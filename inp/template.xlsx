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7552799A-2878-5A49-B3AA-8AB3125CD8B0}" xr6:coauthVersionLast="47" xr6:coauthVersionMax="47" xr10:uidLastSave="{00000000-0000-0000-0000-000000000000}"/>
  <bookViews>
    <workbookView xWindow="19720" yWindow="3180" windowWidth="33600" windowHeight="20500" activeTab="3" xr2:uid="{3765691E-8438-5846-86C2-1BBFA2CD3850}"/>
  </bookViews>
  <sheets>
    <sheet name="input" sheetId="1" r:id="rId1"/>
    <sheet name="case" sheetId="5" r:id="rId2"/>
    <sheet name="RC" sheetId="2" r:id="rId3"/>
    <sheet name="RF" sheetId="3" r:id="rId4"/>
    <sheet name="ind" sheetId="4" r:id="rId5"/>
    <sheet name="grp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H4" i="3"/>
  <c r="I4" i="3"/>
  <c r="I8" i="3" s="1"/>
  <c r="J4" i="3"/>
  <c r="J8" i="3" s="1"/>
  <c r="K4" i="3"/>
  <c r="K8" i="3" s="1"/>
  <c r="L4" i="3"/>
  <c r="D5" i="3"/>
  <c r="E5" i="3"/>
  <c r="F5" i="3"/>
  <c r="G5" i="3"/>
  <c r="H5" i="3"/>
  <c r="H8" i="3" s="1"/>
  <c r="I5" i="3"/>
  <c r="J5" i="3"/>
  <c r="K5" i="3"/>
  <c r="L5" i="3"/>
  <c r="D6" i="3"/>
  <c r="E6" i="3"/>
  <c r="F6" i="3"/>
  <c r="G6" i="3"/>
  <c r="G59" i="3" s="1"/>
  <c r="H6" i="3"/>
  <c r="H59" i="3" s="1"/>
  <c r="I6" i="3"/>
  <c r="I59" i="3" s="1"/>
  <c r="J6" i="3"/>
  <c r="K6" i="3"/>
  <c r="L6" i="3"/>
  <c r="D7" i="3"/>
  <c r="D8" i="3" s="1"/>
  <c r="E7" i="3"/>
  <c r="F7" i="3"/>
  <c r="G7" i="3"/>
  <c r="H7" i="3"/>
  <c r="I7" i="3"/>
  <c r="J7" i="3"/>
  <c r="K7" i="3"/>
  <c r="L7" i="3"/>
  <c r="L8" i="3" s="1"/>
  <c r="E8" i="3"/>
  <c r="E23" i="3" s="1"/>
  <c r="F8" i="3"/>
  <c r="G8" i="3"/>
  <c r="G58" i="3" s="1"/>
  <c r="D11" i="3"/>
  <c r="D18" i="3" s="1"/>
  <c r="D22" i="3" s="1"/>
  <c r="E11" i="3"/>
  <c r="E18" i="3" s="1"/>
  <c r="E22" i="3" s="1"/>
  <c r="F11" i="3"/>
  <c r="G11" i="3"/>
  <c r="H11" i="3"/>
  <c r="I11" i="3"/>
  <c r="J11" i="3"/>
  <c r="J18" i="3" s="1"/>
  <c r="J22" i="3" s="1"/>
  <c r="K11" i="3"/>
  <c r="L11" i="3"/>
  <c r="L18" i="3" s="1"/>
  <c r="L22" i="3" s="1"/>
  <c r="D12" i="3"/>
  <c r="E12" i="3"/>
  <c r="F12" i="3"/>
  <c r="G12" i="3"/>
  <c r="H12" i="3"/>
  <c r="I12" i="3"/>
  <c r="I18" i="3" s="1"/>
  <c r="I22" i="3" s="1"/>
  <c r="J12" i="3"/>
  <c r="K12" i="3"/>
  <c r="K18" i="3" s="1"/>
  <c r="K22" i="3" s="1"/>
  <c r="L12" i="3"/>
  <c r="D13" i="3"/>
  <c r="E13" i="3"/>
  <c r="F13" i="3"/>
  <c r="G13" i="3"/>
  <c r="H13" i="3"/>
  <c r="H18" i="3" s="1"/>
  <c r="H22" i="3" s="1"/>
  <c r="I13" i="3"/>
  <c r="J13" i="3"/>
  <c r="K13" i="3"/>
  <c r="L13" i="3"/>
  <c r="D14" i="3"/>
  <c r="E14" i="3"/>
  <c r="F14" i="3"/>
  <c r="G14" i="3"/>
  <c r="H14" i="3"/>
  <c r="I14" i="3"/>
  <c r="J14" i="3"/>
  <c r="K14" i="3"/>
  <c r="L14" i="3"/>
  <c r="D15" i="3"/>
  <c r="E15" i="3"/>
  <c r="F15" i="3"/>
  <c r="G15" i="3"/>
  <c r="H15" i="3"/>
  <c r="I15" i="3"/>
  <c r="J15" i="3"/>
  <c r="K15" i="3"/>
  <c r="L15" i="3"/>
  <c r="D16" i="3"/>
  <c r="E16" i="3"/>
  <c r="F16" i="3"/>
  <c r="G16" i="3"/>
  <c r="H16" i="3"/>
  <c r="I16" i="3"/>
  <c r="J16" i="3"/>
  <c r="K16" i="3"/>
  <c r="L16" i="3"/>
  <c r="D17" i="3"/>
  <c r="E17" i="3"/>
  <c r="F17" i="3"/>
  <c r="G17" i="3"/>
  <c r="H17" i="3"/>
  <c r="I17" i="3"/>
  <c r="J17" i="3"/>
  <c r="K17" i="3"/>
  <c r="L17" i="3"/>
  <c r="F18" i="3"/>
  <c r="F22" i="3" s="1"/>
  <c r="G18" i="3"/>
  <c r="G22" i="3" s="1"/>
  <c r="D19" i="3"/>
  <c r="E19" i="3"/>
  <c r="F19" i="3"/>
  <c r="G19" i="3"/>
  <c r="H19" i="3"/>
  <c r="I19" i="3"/>
  <c r="J19" i="3"/>
  <c r="K19" i="3"/>
  <c r="L19" i="3"/>
  <c r="D20" i="3"/>
  <c r="E20" i="3"/>
  <c r="F20" i="3"/>
  <c r="G20" i="3"/>
  <c r="H20" i="3"/>
  <c r="I20" i="3"/>
  <c r="J20" i="3"/>
  <c r="K20" i="3"/>
  <c r="L20" i="3"/>
  <c r="D21" i="3"/>
  <c r="E21" i="3"/>
  <c r="F21" i="3"/>
  <c r="G21" i="3"/>
  <c r="H21" i="3"/>
  <c r="I21" i="3"/>
  <c r="J21" i="3"/>
  <c r="K21" i="3"/>
  <c r="L21" i="3"/>
  <c r="D25" i="3"/>
  <c r="E25" i="3"/>
  <c r="E30" i="3" s="1"/>
  <c r="F25" i="3"/>
  <c r="G25" i="3"/>
  <c r="G30" i="3" s="1"/>
  <c r="H25" i="3"/>
  <c r="H30" i="3" s="1"/>
  <c r="I25" i="3"/>
  <c r="I30" i="3" s="1"/>
  <c r="J25" i="3"/>
  <c r="K25" i="3"/>
  <c r="L25" i="3"/>
  <c r="D26" i="3"/>
  <c r="E26" i="3"/>
  <c r="F26" i="3"/>
  <c r="F30" i="3" s="1"/>
  <c r="G26" i="3"/>
  <c r="H26" i="3"/>
  <c r="I26" i="3"/>
  <c r="J26" i="3"/>
  <c r="K26" i="3"/>
  <c r="L26" i="3"/>
  <c r="D27" i="3"/>
  <c r="E27" i="3"/>
  <c r="F27" i="3"/>
  <c r="G27" i="3"/>
  <c r="H27" i="3"/>
  <c r="I27" i="3"/>
  <c r="J27" i="3"/>
  <c r="K27" i="3"/>
  <c r="L27" i="3"/>
  <c r="D28" i="3"/>
  <c r="E28" i="3"/>
  <c r="F28" i="3"/>
  <c r="G28" i="3"/>
  <c r="H28" i="3"/>
  <c r="I28" i="3"/>
  <c r="J28" i="3"/>
  <c r="K28" i="3"/>
  <c r="L28" i="3"/>
  <c r="D29" i="3"/>
  <c r="E29" i="3"/>
  <c r="F29" i="3"/>
  <c r="G29" i="3"/>
  <c r="H29" i="3"/>
  <c r="I29" i="3"/>
  <c r="J29" i="3"/>
  <c r="K29" i="3"/>
  <c r="L29" i="3"/>
  <c r="D30" i="3"/>
  <c r="J30" i="3"/>
  <c r="K30" i="3"/>
  <c r="L30" i="3"/>
  <c r="D34" i="3"/>
  <c r="E34" i="3"/>
  <c r="F34" i="3"/>
  <c r="F40" i="3" s="1"/>
  <c r="G34" i="3"/>
  <c r="H34" i="3"/>
  <c r="H40" i="3" s="1"/>
  <c r="I34" i="3"/>
  <c r="I40" i="3" s="1"/>
  <c r="J34" i="3"/>
  <c r="J40" i="3" s="1"/>
  <c r="K34" i="3"/>
  <c r="L34" i="3"/>
  <c r="D35" i="3"/>
  <c r="E35" i="3"/>
  <c r="E40" i="3" s="1"/>
  <c r="F35" i="3"/>
  <c r="G35" i="3"/>
  <c r="G40" i="3" s="1"/>
  <c r="H35" i="3"/>
  <c r="I35" i="3"/>
  <c r="J35" i="3"/>
  <c r="K35" i="3"/>
  <c r="L35" i="3"/>
  <c r="D36" i="3"/>
  <c r="E36" i="3"/>
  <c r="F36" i="3"/>
  <c r="G36" i="3"/>
  <c r="H36" i="3"/>
  <c r="I36" i="3"/>
  <c r="J36" i="3"/>
  <c r="K36" i="3"/>
  <c r="L36" i="3"/>
  <c r="D37" i="3"/>
  <c r="E37" i="3"/>
  <c r="F37" i="3"/>
  <c r="G37" i="3"/>
  <c r="H37" i="3"/>
  <c r="I37" i="3"/>
  <c r="J37" i="3"/>
  <c r="K37" i="3"/>
  <c r="L37" i="3"/>
  <c r="D38" i="3"/>
  <c r="E38" i="3"/>
  <c r="F38" i="3"/>
  <c r="G38" i="3"/>
  <c r="H38" i="3"/>
  <c r="I38" i="3"/>
  <c r="J38" i="3"/>
  <c r="K38" i="3"/>
  <c r="L38" i="3"/>
  <c r="D39" i="3"/>
  <c r="E39" i="3"/>
  <c r="F39" i="3"/>
  <c r="G39" i="3"/>
  <c r="H39" i="3"/>
  <c r="I39" i="3"/>
  <c r="J39" i="3"/>
  <c r="K39" i="3"/>
  <c r="L39" i="3"/>
  <c r="D40" i="3"/>
  <c r="K40" i="3"/>
  <c r="L40" i="3"/>
  <c r="D43" i="3"/>
  <c r="E43" i="3"/>
  <c r="F43" i="3"/>
  <c r="F48" i="3" s="1"/>
  <c r="G43" i="3"/>
  <c r="H43" i="3"/>
  <c r="H48" i="3" s="1"/>
  <c r="I43" i="3"/>
  <c r="I48" i="3" s="1"/>
  <c r="J43" i="3"/>
  <c r="J48" i="3" s="1"/>
  <c r="K43" i="3"/>
  <c r="L43" i="3"/>
  <c r="D44" i="3"/>
  <c r="E44" i="3"/>
  <c r="F44" i="3"/>
  <c r="G44" i="3"/>
  <c r="G48" i="3" s="1"/>
  <c r="H44" i="3"/>
  <c r="I44" i="3"/>
  <c r="J44" i="3"/>
  <c r="K44" i="3"/>
  <c r="L44" i="3"/>
  <c r="D45" i="3"/>
  <c r="E45" i="3"/>
  <c r="F45" i="3"/>
  <c r="G45" i="3"/>
  <c r="H45" i="3"/>
  <c r="I45" i="3"/>
  <c r="J45" i="3"/>
  <c r="K45" i="3"/>
  <c r="L45" i="3"/>
  <c r="D46" i="3"/>
  <c r="E46" i="3"/>
  <c r="F46" i="3"/>
  <c r="G46" i="3"/>
  <c r="H46" i="3"/>
  <c r="I46" i="3"/>
  <c r="J46" i="3"/>
  <c r="K46" i="3"/>
  <c r="L46" i="3"/>
  <c r="D47" i="3"/>
  <c r="E47" i="3"/>
  <c r="F47" i="3"/>
  <c r="G47" i="3"/>
  <c r="H47" i="3"/>
  <c r="I47" i="3"/>
  <c r="J47" i="3"/>
  <c r="K47" i="3"/>
  <c r="L47" i="3"/>
  <c r="D48" i="3"/>
  <c r="E48" i="3"/>
  <c r="K48" i="3"/>
  <c r="L48" i="3"/>
  <c r="D52" i="3"/>
  <c r="E52" i="3"/>
  <c r="F52" i="3"/>
  <c r="G52" i="3"/>
  <c r="H52" i="3"/>
  <c r="I52" i="3"/>
  <c r="J52" i="3"/>
  <c r="J54" i="3" s="1"/>
  <c r="K52" i="3"/>
  <c r="K54" i="3" s="1"/>
  <c r="L52" i="3"/>
  <c r="D53" i="3"/>
  <c r="E53" i="3"/>
  <c r="F53" i="3"/>
  <c r="F54" i="3" s="1"/>
  <c r="G53" i="3"/>
  <c r="H53" i="3"/>
  <c r="I53" i="3"/>
  <c r="J53" i="3"/>
  <c r="K53" i="3"/>
  <c r="L53" i="3"/>
  <c r="D54" i="3"/>
  <c r="E54" i="3"/>
  <c r="G54" i="3"/>
  <c r="H54" i="3"/>
  <c r="I54" i="3"/>
  <c r="L54" i="3"/>
  <c r="E58" i="3"/>
  <c r="E64" i="3" s="1"/>
  <c r="F58" i="3"/>
  <c r="F64" i="3" s="1"/>
  <c r="D59" i="3"/>
  <c r="E59" i="3"/>
  <c r="F59" i="3"/>
  <c r="J59" i="3"/>
  <c r="K59" i="3"/>
  <c r="L59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G69" i="3" s="1"/>
  <c r="H61" i="3"/>
  <c r="I61" i="3"/>
  <c r="I69" i="3" s="1"/>
  <c r="J61" i="3"/>
  <c r="J69" i="3" s="1"/>
  <c r="J75" i="3" s="1"/>
  <c r="K61" i="3"/>
  <c r="K69" i="3" s="1"/>
  <c r="L61" i="3"/>
  <c r="D62" i="3"/>
  <c r="E62" i="3"/>
  <c r="F62" i="3"/>
  <c r="F69" i="3" s="1"/>
  <c r="F75" i="3" s="1"/>
  <c r="G62" i="3"/>
  <c r="H62" i="3"/>
  <c r="H69" i="3" s="1"/>
  <c r="H75" i="3" s="1"/>
  <c r="I62" i="3"/>
  <c r="J62" i="3"/>
  <c r="K62" i="3"/>
  <c r="L62" i="3"/>
  <c r="D63" i="3"/>
  <c r="E63" i="3"/>
  <c r="E69" i="3" s="1"/>
  <c r="F63" i="3"/>
  <c r="G63" i="3"/>
  <c r="H63" i="3"/>
  <c r="I63" i="3"/>
  <c r="J63" i="3"/>
  <c r="K63" i="3"/>
  <c r="L63" i="3"/>
  <c r="D68" i="3"/>
  <c r="E68" i="3"/>
  <c r="F68" i="3"/>
  <c r="G68" i="3"/>
  <c r="H68" i="3"/>
  <c r="I68" i="3"/>
  <c r="I75" i="3" s="1"/>
  <c r="J68" i="3"/>
  <c r="K68" i="3"/>
  <c r="L68" i="3"/>
  <c r="D69" i="3"/>
  <c r="L69" i="3"/>
  <c r="K70" i="3"/>
  <c r="D71" i="3"/>
  <c r="D70" i="3" s="1"/>
  <c r="E71" i="3"/>
  <c r="E70" i="3" s="1"/>
  <c r="F71" i="3"/>
  <c r="F70" i="3" s="1"/>
  <c r="G71" i="3"/>
  <c r="H71" i="3"/>
  <c r="H70" i="3" s="1"/>
  <c r="I71" i="3"/>
  <c r="I70" i="3" s="1"/>
  <c r="J71" i="3"/>
  <c r="J70" i="3" s="1"/>
  <c r="K71" i="3"/>
  <c r="L71" i="3"/>
  <c r="L70" i="3" s="1"/>
  <c r="D72" i="3"/>
  <c r="E72" i="3"/>
  <c r="F72" i="3"/>
  <c r="G72" i="3"/>
  <c r="G70" i="3" s="1"/>
  <c r="H72" i="3"/>
  <c r="I72" i="3"/>
  <c r="J72" i="3"/>
  <c r="K72" i="3"/>
  <c r="L72" i="3"/>
  <c r="D73" i="3"/>
  <c r="E73" i="3"/>
  <c r="F73" i="3"/>
  <c r="G73" i="3"/>
  <c r="H73" i="3"/>
  <c r="I73" i="3"/>
  <c r="J73" i="3"/>
  <c r="K73" i="3"/>
  <c r="L73" i="3"/>
  <c r="C15" i="3"/>
  <c r="C73" i="3"/>
  <c r="C72" i="3"/>
  <c r="C71" i="3"/>
  <c r="C70" i="3"/>
  <c r="C61" i="3"/>
  <c r="C60" i="3"/>
  <c r="C63" i="3"/>
  <c r="C62" i="3"/>
  <c r="C162" i="2"/>
  <c r="D162" i="2"/>
  <c r="E162" i="2"/>
  <c r="F162" i="2"/>
  <c r="G162" i="2"/>
  <c r="H162" i="2"/>
  <c r="I162" i="2"/>
  <c r="J162" i="2"/>
  <c r="K162" i="2"/>
  <c r="B162" i="2"/>
  <c r="K15" i="4"/>
  <c r="K168" i="4" s="1"/>
  <c r="K211" i="4"/>
  <c r="K8" i="4"/>
  <c r="K47" i="4"/>
  <c r="K172" i="4" s="1"/>
  <c r="C128" i="2"/>
  <c r="D128" i="2"/>
  <c r="E128" i="2"/>
  <c r="F128" i="2"/>
  <c r="G128" i="2"/>
  <c r="H128" i="2"/>
  <c r="I128" i="2"/>
  <c r="J128" i="2"/>
  <c r="K128" i="2"/>
  <c r="B175" i="5"/>
  <c r="B128" i="2"/>
  <c r="J47" i="2"/>
  <c r="K47" i="2"/>
  <c r="J49" i="2"/>
  <c r="K49" i="2"/>
  <c r="J52" i="2"/>
  <c r="K52" i="2"/>
  <c r="K40" i="4" s="1"/>
  <c r="J71" i="2"/>
  <c r="K71" i="2"/>
  <c r="C47" i="2"/>
  <c r="D47" i="2"/>
  <c r="E47" i="2"/>
  <c r="F47" i="2"/>
  <c r="G47" i="2"/>
  <c r="H47" i="2"/>
  <c r="I47" i="2"/>
  <c r="C49" i="2"/>
  <c r="D49" i="2"/>
  <c r="E49" i="2"/>
  <c r="F49" i="2"/>
  <c r="G49" i="2"/>
  <c r="H49" i="2"/>
  <c r="I49" i="2"/>
  <c r="C52" i="2"/>
  <c r="D52" i="2"/>
  <c r="E52" i="2"/>
  <c r="F52" i="2"/>
  <c r="F41" i="4" s="1"/>
  <c r="G52" i="2"/>
  <c r="H52" i="2"/>
  <c r="I52" i="2"/>
  <c r="I40" i="4" s="1"/>
  <c r="C71" i="2"/>
  <c r="D71" i="2"/>
  <c r="E71" i="2"/>
  <c r="F71" i="2"/>
  <c r="G71" i="2"/>
  <c r="H71" i="2"/>
  <c r="I71" i="2"/>
  <c r="B47" i="2"/>
  <c r="B49" i="2"/>
  <c r="B52" i="2"/>
  <c r="B40" i="4" s="1"/>
  <c r="B71" i="2"/>
  <c r="B3" i="5"/>
  <c r="C3" i="5"/>
  <c r="D3" i="5"/>
  <c r="E3" i="5"/>
  <c r="F3" i="5"/>
  <c r="G3" i="5"/>
  <c r="H3" i="5"/>
  <c r="I3" i="5"/>
  <c r="J3" i="5"/>
  <c r="K3" i="5"/>
  <c r="B5" i="5"/>
  <c r="C5" i="5"/>
  <c r="D5" i="5"/>
  <c r="E5" i="5"/>
  <c r="F5" i="5"/>
  <c r="G5" i="5"/>
  <c r="H5" i="5"/>
  <c r="I5" i="5"/>
  <c r="J5" i="5"/>
  <c r="K5" i="5"/>
  <c r="B6" i="5"/>
  <c r="B11" i="2" s="1"/>
  <c r="C6" i="5"/>
  <c r="C11" i="2" s="1"/>
  <c r="D6" i="5"/>
  <c r="D11" i="2" s="1"/>
  <c r="E6" i="5"/>
  <c r="E11" i="2" s="1"/>
  <c r="F6" i="5"/>
  <c r="F11" i="2" s="1"/>
  <c r="G6" i="5"/>
  <c r="G11" i="2" s="1"/>
  <c r="H6" i="5"/>
  <c r="H11" i="2" s="1"/>
  <c r="I6" i="5"/>
  <c r="I11" i="2" s="1"/>
  <c r="J6" i="5"/>
  <c r="J11" i="2" s="1"/>
  <c r="K6" i="5"/>
  <c r="K11" i="2" s="1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B43" i="5"/>
  <c r="C43" i="5"/>
  <c r="D43" i="5"/>
  <c r="E43" i="5"/>
  <c r="F43" i="5"/>
  <c r="G43" i="5"/>
  <c r="H43" i="5"/>
  <c r="I43" i="5"/>
  <c r="J43" i="5"/>
  <c r="K43" i="5"/>
  <c r="B44" i="5"/>
  <c r="C44" i="5"/>
  <c r="D44" i="5"/>
  <c r="E44" i="5"/>
  <c r="F44" i="5"/>
  <c r="G44" i="5"/>
  <c r="H44" i="5"/>
  <c r="I44" i="5"/>
  <c r="J44" i="5"/>
  <c r="K44" i="5"/>
  <c r="B45" i="5"/>
  <c r="C45" i="5"/>
  <c r="D45" i="5"/>
  <c r="E45" i="5"/>
  <c r="F45" i="5"/>
  <c r="G45" i="5"/>
  <c r="H45" i="5"/>
  <c r="I45" i="5"/>
  <c r="J45" i="5"/>
  <c r="K45" i="5"/>
  <c r="B46" i="5"/>
  <c r="C46" i="5"/>
  <c r="D46" i="5"/>
  <c r="E46" i="5"/>
  <c r="F46" i="5"/>
  <c r="G46" i="5"/>
  <c r="H46" i="5"/>
  <c r="I46" i="5"/>
  <c r="J46" i="5"/>
  <c r="K46" i="5"/>
  <c r="B47" i="5"/>
  <c r="C47" i="5"/>
  <c r="D47" i="5"/>
  <c r="E47" i="5"/>
  <c r="F47" i="5"/>
  <c r="G47" i="5"/>
  <c r="H47" i="5"/>
  <c r="I47" i="5"/>
  <c r="J47" i="5"/>
  <c r="K47" i="5"/>
  <c r="B48" i="5"/>
  <c r="C48" i="5"/>
  <c r="D48" i="5"/>
  <c r="E48" i="5"/>
  <c r="F48" i="5"/>
  <c r="G48" i="5"/>
  <c r="H48" i="5"/>
  <c r="I48" i="5"/>
  <c r="J48" i="5"/>
  <c r="K48" i="5"/>
  <c r="B50" i="5"/>
  <c r="C50" i="5"/>
  <c r="D50" i="5"/>
  <c r="E50" i="5"/>
  <c r="F50" i="5"/>
  <c r="G50" i="5"/>
  <c r="H50" i="5"/>
  <c r="I50" i="5"/>
  <c r="J50" i="5"/>
  <c r="K50" i="5"/>
  <c r="B51" i="5"/>
  <c r="C51" i="5"/>
  <c r="D51" i="5"/>
  <c r="E51" i="5"/>
  <c r="F51" i="5"/>
  <c r="G51" i="5"/>
  <c r="H51" i="5"/>
  <c r="I51" i="5"/>
  <c r="J51" i="5"/>
  <c r="K51" i="5"/>
  <c r="B52" i="5"/>
  <c r="C52" i="5"/>
  <c r="D52" i="5"/>
  <c r="E52" i="5"/>
  <c r="F52" i="5"/>
  <c r="G52" i="5"/>
  <c r="H52" i="5"/>
  <c r="I52" i="5"/>
  <c r="J52" i="5"/>
  <c r="K52" i="5"/>
  <c r="B53" i="5"/>
  <c r="C53" i="5"/>
  <c r="D53" i="5"/>
  <c r="E53" i="5"/>
  <c r="F53" i="5"/>
  <c r="G53" i="5"/>
  <c r="H53" i="5"/>
  <c r="I53" i="5"/>
  <c r="J53" i="5"/>
  <c r="K53" i="5"/>
  <c r="B54" i="5"/>
  <c r="C54" i="5"/>
  <c r="D54" i="5"/>
  <c r="E54" i="5"/>
  <c r="F54" i="5"/>
  <c r="G54" i="5"/>
  <c r="H54" i="5"/>
  <c r="I54" i="5"/>
  <c r="J54" i="5"/>
  <c r="K54" i="5"/>
  <c r="B55" i="5"/>
  <c r="C55" i="5"/>
  <c r="D55" i="5"/>
  <c r="E55" i="5"/>
  <c r="F55" i="5"/>
  <c r="G55" i="5"/>
  <c r="H55" i="5"/>
  <c r="I55" i="5"/>
  <c r="J55" i="5"/>
  <c r="K55" i="5"/>
  <c r="B56" i="5"/>
  <c r="C56" i="5"/>
  <c r="D56" i="5"/>
  <c r="E56" i="5"/>
  <c r="F56" i="5"/>
  <c r="G56" i="5"/>
  <c r="H56" i="5"/>
  <c r="I56" i="5"/>
  <c r="J56" i="5"/>
  <c r="K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J59" i="5"/>
  <c r="K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B62" i="5"/>
  <c r="C62" i="5"/>
  <c r="D62" i="5"/>
  <c r="E62" i="5"/>
  <c r="F62" i="5"/>
  <c r="G62" i="5"/>
  <c r="H62" i="5"/>
  <c r="I62" i="5"/>
  <c r="J62" i="5"/>
  <c r="K62" i="5"/>
  <c r="B63" i="5"/>
  <c r="C63" i="5"/>
  <c r="D63" i="5"/>
  <c r="E63" i="5"/>
  <c r="F63" i="5"/>
  <c r="G63" i="5"/>
  <c r="H63" i="5"/>
  <c r="I63" i="5"/>
  <c r="J63" i="5"/>
  <c r="K63" i="5"/>
  <c r="B64" i="5"/>
  <c r="C64" i="5"/>
  <c r="D64" i="5"/>
  <c r="E64" i="5"/>
  <c r="F64" i="5"/>
  <c r="G64" i="5"/>
  <c r="H64" i="5"/>
  <c r="I64" i="5"/>
  <c r="J64" i="5"/>
  <c r="K64" i="5"/>
  <c r="B65" i="5"/>
  <c r="C65" i="5"/>
  <c r="D65" i="5"/>
  <c r="E65" i="5"/>
  <c r="F65" i="5"/>
  <c r="G65" i="5"/>
  <c r="H65" i="5"/>
  <c r="I65" i="5"/>
  <c r="J65" i="5"/>
  <c r="K65" i="5"/>
  <c r="B66" i="5"/>
  <c r="C66" i="5"/>
  <c r="D66" i="5"/>
  <c r="E66" i="5"/>
  <c r="F66" i="5"/>
  <c r="G66" i="5"/>
  <c r="H66" i="5"/>
  <c r="I66" i="5"/>
  <c r="J66" i="5"/>
  <c r="K66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B69" i="5"/>
  <c r="C69" i="5"/>
  <c r="D69" i="5"/>
  <c r="E69" i="5"/>
  <c r="F69" i="5"/>
  <c r="G69" i="5"/>
  <c r="H69" i="5"/>
  <c r="I69" i="5"/>
  <c r="J69" i="5"/>
  <c r="K69" i="5"/>
  <c r="B70" i="5"/>
  <c r="C70" i="5"/>
  <c r="D70" i="5"/>
  <c r="E70" i="5"/>
  <c r="F70" i="5"/>
  <c r="G70" i="5"/>
  <c r="H70" i="5"/>
  <c r="I70" i="5"/>
  <c r="J70" i="5"/>
  <c r="K70" i="5"/>
  <c r="B71" i="5"/>
  <c r="C71" i="5"/>
  <c r="D71" i="5"/>
  <c r="E71" i="5"/>
  <c r="F71" i="5"/>
  <c r="G71" i="5"/>
  <c r="H71" i="5"/>
  <c r="I71" i="5"/>
  <c r="J71" i="5"/>
  <c r="K71" i="5"/>
  <c r="B72" i="5"/>
  <c r="C72" i="5"/>
  <c r="D72" i="5"/>
  <c r="E72" i="5"/>
  <c r="F72" i="5"/>
  <c r="G72" i="5"/>
  <c r="H72" i="5"/>
  <c r="I72" i="5"/>
  <c r="J72" i="5"/>
  <c r="K72" i="5"/>
  <c r="B73" i="5"/>
  <c r="C73" i="5"/>
  <c r="D73" i="5"/>
  <c r="E73" i="5"/>
  <c r="F73" i="5"/>
  <c r="G73" i="5"/>
  <c r="H73" i="5"/>
  <c r="I73" i="5"/>
  <c r="J73" i="5"/>
  <c r="K73" i="5"/>
  <c r="B74" i="5"/>
  <c r="C74" i="5"/>
  <c r="D74" i="5"/>
  <c r="E74" i="5"/>
  <c r="F74" i="5"/>
  <c r="G74" i="5"/>
  <c r="H74" i="5"/>
  <c r="I74" i="5"/>
  <c r="J74" i="5"/>
  <c r="K74" i="5"/>
  <c r="B75" i="5"/>
  <c r="C75" i="5"/>
  <c r="D75" i="5"/>
  <c r="E75" i="5"/>
  <c r="F75" i="5"/>
  <c r="G75" i="5"/>
  <c r="H75" i="5"/>
  <c r="I75" i="5"/>
  <c r="J75" i="5"/>
  <c r="K75" i="5"/>
  <c r="B76" i="5"/>
  <c r="C76" i="5"/>
  <c r="D76" i="5"/>
  <c r="E76" i="5"/>
  <c r="F76" i="5"/>
  <c r="G76" i="5"/>
  <c r="H76" i="5"/>
  <c r="I76" i="5"/>
  <c r="J76" i="5"/>
  <c r="K76" i="5"/>
  <c r="B77" i="5"/>
  <c r="C77" i="5"/>
  <c r="D77" i="5"/>
  <c r="E77" i="5"/>
  <c r="F77" i="5"/>
  <c r="G77" i="5"/>
  <c r="H77" i="5"/>
  <c r="I77" i="5"/>
  <c r="J77" i="5"/>
  <c r="K77" i="5"/>
  <c r="B78" i="5"/>
  <c r="C78" i="5"/>
  <c r="D78" i="5"/>
  <c r="E78" i="5"/>
  <c r="F78" i="5"/>
  <c r="G78" i="5"/>
  <c r="H78" i="5"/>
  <c r="I78" i="5"/>
  <c r="J78" i="5"/>
  <c r="K78" i="5"/>
  <c r="B79" i="5"/>
  <c r="C79" i="5"/>
  <c r="D79" i="5"/>
  <c r="E79" i="5"/>
  <c r="F79" i="5"/>
  <c r="G79" i="5"/>
  <c r="H79" i="5"/>
  <c r="I79" i="5"/>
  <c r="J79" i="5"/>
  <c r="K79" i="5"/>
  <c r="B80" i="5"/>
  <c r="C80" i="5"/>
  <c r="D80" i="5"/>
  <c r="E80" i="5"/>
  <c r="F80" i="5"/>
  <c r="G80" i="5"/>
  <c r="H80" i="5"/>
  <c r="I80" i="5"/>
  <c r="J80" i="5"/>
  <c r="K80" i="5"/>
  <c r="B81" i="5"/>
  <c r="C81" i="5"/>
  <c r="D81" i="5"/>
  <c r="E81" i="5"/>
  <c r="F81" i="5"/>
  <c r="G81" i="5"/>
  <c r="H81" i="5"/>
  <c r="I81" i="5"/>
  <c r="J81" i="5"/>
  <c r="K81" i="5"/>
  <c r="B82" i="5"/>
  <c r="C82" i="5"/>
  <c r="D82" i="5"/>
  <c r="E82" i="5"/>
  <c r="F82" i="5"/>
  <c r="G82" i="5"/>
  <c r="H82" i="5"/>
  <c r="I82" i="5"/>
  <c r="J82" i="5"/>
  <c r="K82" i="5"/>
  <c r="B83" i="5"/>
  <c r="C83" i="5"/>
  <c r="D83" i="5"/>
  <c r="E83" i="5"/>
  <c r="F83" i="5"/>
  <c r="G83" i="5"/>
  <c r="H83" i="5"/>
  <c r="I83" i="5"/>
  <c r="J83" i="5"/>
  <c r="K83" i="5"/>
  <c r="B84" i="5"/>
  <c r="C84" i="5"/>
  <c r="D84" i="5"/>
  <c r="E84" i="5"/>
  <c r="F84" i="5"/>
  <c r="G84" i="5"/>
  <c r="H84" i="5"/>
  <c r="I84" i="5"/>
  <c r="J84" i="5"/>
  <c r="K84" i="5"/>
  <c r="B85" i="5"/>
  <c r="C85" i="5"/>
  <c r="D85" i="5"/>
  <c r="E85" i="5"/>
  <c r="F85" i="5"/>
  <c r="G85" i="5"/>
  <c r="H85" i="5"/>
  <c r="I85" i="5"/>
  <c r="J85" i="5"/>
  <c r="K85" i="5"/>
  <c r="B86" i="5"/>
  <c r="B32" i="2" s="1"/>
  <c r="C86" i="5"/>
  <c r="C32" i="2" s="1"/>
  <c r="D86" i="5"/>
  <c r="D32" i="2" s="1"/>
  <c r="E86" i="5"/>
  <c r="E32" i="2" s="1"/>
  <c r="F86" i="5"/>
  <c r="F32" i="2" s="1"/>
  <c r="G86" i="5"/>
  <c r="G32" i="2" s="1"/>
  <c r="H86" i="5"/>
  <c r="H32" i="2" s="1"/>
  <c r="I86" i="5"/>
  <c r="I32" i="2" s="1"/>
  <c r="J86" i="5"/>
  <c r="J32" i="2" s="1"/>
  <c r="K86" i="5"/>
  <c r="K32" i="2" s="1"/>
  <c r="B87" i="5"/>
  <c r="C87" i="5"/>
  <c r="D87" i="5"/>
  <c r="E87" i="5"/>
  <c r="F87" i="5"/>
  <c r="G87" i="5"/>
  <c r="H87" i="5"/>
  <c r="I87" i="5"/>
  <c r="J87" i="5"/>
  <c r="K87" i="5"/>
  <c r="B88" i="5"/>
  <c r="C88" i="5"/>
  <c r="D88" i="5"/>
  <c r="E88" i="5"/>
  <c r="F88" i="5"/>
  <c r="G88" i="5"/>
  <c r="H88" i="5"/>
  <c r="I88" i="5"/>
  <c r="J88" i="5"/>
  <c r="K88" i="5"/>
  <c r="B89" i="5"/>
  <c r="C89" i="5"/>
  <c r="D89" i="5"/>
  <c r="E89" i="5"/>
  <c r="F89" i="5"/>
  <c r="G89" i="5"/>
  <c r="H89" i="5"/>
  <c r="I89" i="5"/>
  <c r="J89" i="5"/>
  <c r="K89" i="5"/>
  <c r="B90" i="5"/>
  <c r="C90" i="5"/>
  <c r="D90" i="5"/>
  <c r="D30" i="2" s="1"/>
  <c r="E90" i="5"/>
  <c r="F90" i="5"/>
  <c r="F30" i="2" s="1"/>
  <c r="G90" i="5"/>
  <c r="H90" i="5"/>
  <c r="I90" i="5"/>
  <c r="J90" i="5"/>
  <c r="K90" i="5"/>
  <c r="B91" i="5"/>
  <c r="C91" i="5"/>
  <c r="D91" i="5"/>
  <c r="E91" i="5"/>
  <c r="F91" i="5"/>
  <c r="G91" i="5"/>
  <c r="H91" i="5"/>
  <c r="I91" i="5"/>
  <c r="J91" i="5"/>
  <c r="K91" i="5"/>
  <c r="B92" i="5"/>
  <c r="C92" i="5"/>
  <c r="D92" i="5"/>
  <c r="E92" i="5"/>
  <c r="F92" i="5"/>
  <c r="G92" i="5"/>
  <c r="H92" i="5"/>
  <c r="I92" i="5"/>
  <c r="J92" i="5"/>
  <c r="K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K94" i="5"/>
  <c r="B95" i="5"/>
  <c r="B37" i="2" s="1"/>
  <c r="C95" i="5"/>
  <c r="C37" i="2" s="1"/>
  <c r="D95" i="5"/>
  <c r="D37" i="2" s="1"/>
  <c r="E95" i="5"/>
  <c r="E37" i="2" s="1"/>
  <c r="F95" i="5"/>
  <c r="F37" i="2" s="1"/>
  <c r="G95" i="5"/>
  <c r="G37" i="2" s="1"/>
  <c r="H95" i="5"/>
  <c r="H37" i="2" s="1"/>
  <c r="I95" i="5"/>
  <c r="I37" i="2" s="1"/>
  <c r="J95" i="5"/>
  <c r="J37" i="2" s="1"/>
  <c r="K95" i="5"/>
  <c r="K37" i="2" s="1"/>
  <c r="B98" i="5"/>
  <c r="C98" i="5"/>
  <c r="D98" i="5"/>
  <c r="E98" i="5"/>
  <c r="F98" i="5"/>
  <c r="G98" i="5"/>
  <c r="H98" i="5"/>
  <c r="I98" i="5"/>
  <c r="J98" i="5"/>
  <c r="K98" i="5"/>
  <c r="B99" i="5"/>
  <c r="C99" i="5"/>
  <c r="D99" i="5"/>
  <c r="E99" i="5"/>
  <c r="F99" i="5"/>
  <c r="G99" i="5"/>
  <c r="H99" i="5"/>
  <c r="I99" i="5"/>
  <c r="J99" i="5"/>
  <c r="K99" i="5"/>
  <c r="B100" i="5"/>
  <c r="C100" i="5"/>
  <c r="D100" i="5"/>
  <c r="E100" i="5"/>
  <c r="F100" i="5"/>
  <c r="G100" i="5"/>
  <c r="H100" i="5"/>
  <c r="I100" i="5"/>
  <c r="J100" i="5"/>
  <c r="K100" i="5"/>
  <c r="B101" i="5"/>
  <c r="C101" i="5"/>
  <c r="D101" i="5"/>
  <c r="E101" i="5"/>
  <c r="F101" i="5"/>
  <c r="G101" i="5"/>
  <c r="H101" i="5"/>
  <c r="I101" i="5"/>
  <c r="J101" i="5"/>
  <c r="K101" i="5"/>
  <c r="B102" i="5"/>
  <c r="C102" i="5"/>
  <c r="D102" i="5"/>
  <c r="E102" i="5"/>
  <c r="F102" i="5"/>
  <c r="G102" i="5"/>
  <c r="H102" i="5"/>
  <c r="I102" i="5"/>
  <c r="J102" i="5"/>
  <c r="K102" i="5"/>
  <c r="B103" i="5"/>
  <c r="C103" i="5"/>
  <c r="D103" i="5"/>
  <c r="E103" i="5"/>
  <c r="F103" i="5"/>
  <c r="G103" i="5"/>
  <c r="H103" i="5"/>
  <c r="I103" i="5"/>
  <c r="J103" i="5"/>
  <c r="K103" i="5"/>
  <c r="B104" i="5"/>
  <c r="C104" i="5"/>
  <c r="D104" i="5"/>
  <c r="E104" i="5"/>
  <c r="F104" i="5"/>
  <c r="G104" i="5"/>
  <c r="H104" i="5"/>
  <c r="I104" i="5"/>
  <c r="J104" i="5"/>
  <c r="K104" i="5"/>
  <c r="B105" i="5"/>
  <c r="C105" i="5"/>
  <c r="D105" i="5"/>
  <c r="E105" i="5"/>
  <c r="F105" i="5"/>
  <c r="G105" i="5"/>
  <c r="H105" i="5"/>
  <c r="I105" i="5"/>
  <c r="J105" i="5"/>
  <c r="K105" i="5"/>
  <c r="B106" i="5"/>
  <c r="C106" i="5"/>
  <c r="D106" i="5"/>
  <c r="E106" i="5"/>
  <c r="F106" i="5"/>
  <c r="G106" i="5"/>
  <c r="H106" i="5"/>
  <c r="I106" i="5"/>
  <c r="J106" i="5"/>
  <c r="K106" i="5"/>
  <c r="B107" i="5"/>
  <c r="C107" i="5"/>
  <c r="D107" i="5"/>
  <c r="E107" i="5"/>
  <c r="F107" i="5"/>
  <c r="G107" i="5"/>
  <c r="H107" i="5"/>
  <c r="I107" i="5"/>
  <c r="J107" i="5"/>
  <c r="K107" i="5"/>
  <c r="B108" i="5"/>
  <c r="C108" i="5"/>
  <c r="D108" i="5"/>
  <c r="E108" i="5"/>
  <c r="F108" i="5"/>
  <c r="G108" i="5"/>
  <c r="H108" i="5"/>
  <c r="I108" i="5"/>
  <c r="J108" i="5"/>
  <c r="K108" i="5"/>
  <c r="B109" i="5"/>
  <c r="C109" i="5"/>
  <c r="D109" i="5"/>
  <c r="E109" i="5"/>
  <c r="F109" i="5"/>
  <c r="G109" i="5"/>
  <c r="H109" i="5"/>
  <c r="I109" i="5"/>
  <c r="J109" i="5"/>
  <c r="K109" i="5"/>
  <c r="B110" i="5"/>
  <c r="C110" i="5"/>
  <c r="D110" i="5"/>
  <c r="E110" i="5"/>
  <c r="F110" i="5"/>
  <c r="G110" i="5"/>
  <c r="H110" i="5"/>
  <c r="I110" i="5"/>
  <c r="J110" i="5"/>
  <c r="K110" i="5"/>
  <c r="B111" i="5"/>
  <c r="C111" i="5"/>
  <c r="D111" i="5"/>
  <c r="E111" i="5"/>
  <c r="F111" i="5"/>
  <c r="G111" i="5"/>
  <c r="H111" i="5"/>
  <c r="I111" i="5"/>
  <c r="J111" i="5"/>
  <c r="K111" i="5"/>
  <c r="B112" i="5"/>
  <c r="C112" i="5"/>
  <c r="D112" i="5"/>
  <c r="E112" i="5"/>
  <c r="F112" i="5"/>
  <c r="G112" i="5"/>
  <c r="H112" i="5"/>
  <c r="I112" i="5"/>
  <c r="J112" i="5"/>
  <c r="K112" i="5"/>
  <c r="B113" i="5"/>
  <c r="C113" i="5"/>
  <c r="D113" i="5"/>
  <c r="E113" i="5"/>
  <c r="F113" i="5"/>
  <c r="G113" i="5"/>
  <c r="H113" i="5"/>
  <c r="I113" i="5"/>
  <c r="J113" i="5"/>
  <c r="K113" i="5"/>
  <c r="B114" i="5"/>
  <c r="B82" i="2" s="1"/>
  <c r="C114" i="5"/>
  <c r="C82" i="2" s="1"/>
  <c r="D114" i="5"/>
  <c r="D82" i="2" s="1"/>
  <c r="E114" i="5"/>
  <c r="E82" i="2" s="1"/>
  <c r="F114" i="5"/>
  <c r="F82" i="2" s="1"/>
  <c r="G114" i="5"/>
  <c r="G82" i="2" s="1"/>
  <c r="H114" i="5"/>
  <c r="H82" i="2" s="1"/>
  <c r="I114" i="5"/>
  <c r="I82" i="2" s="1"/>
  <c r="J114" i="5"/>
  <c r="J82" i="2" s="1"/>
  <c r="K114" i="5"/>
  <c r="K82" i="2" s="1"/>
  <c r="K52" i="4" s="1"/>
  <c r="B115" i="5"/>
  <c r="C115" i="5"/>
  <c r="D115" i="5"/>
  <c r="E115" i="5"/>
  <c r="F115" i="5"/>
  <c r="G115" i="5"/>
  <c r="H115" i="5"/>
  <c r="I115" i="5"/>
  <c r="J115" i="5"/>
  <c r="K115" i="5"/>
  <c r="B116" i="5"/>
  <c r="C116" i="5"/>
  <c r="D116" i="5"/>
  <c r="E116" i="5"/>
  <c r="F116" i="5"/>
  <c r="G116" i="5"/>
  <c r="H116" i="5"/>
  <c r="I116" i="5"/>
  <c r="J116" i="5"/>
  <c r="K116" i="5"/>
  <c r="B117" i="5"/>
  <c r="C117" i="5"/>
  <c r="D117" i="5"/>
  <c r="E117" i="5"/>
  <c r="F117" i="5"/>
  <c r="G117" i="5"/>
  <c r="H117" i="5"/>
  <c r="I117" i="5"/>
  <c r="J117" i="5"/>
  <c r="K117" i="5"/>
  <c r="B118" i="5"/>
  <c r="C118" i="5"/>
  <c r="D118" i="5"/>
  <c r="E118" i="5"/>
  <c r="F118" i="5"/>
  <c r="G118" i="5"/>
  <c r="H118" i="5"/>
  <c r="I118" i="5"/>
  <c r="J118" i="5"/>
  <c r="K118" i="5"/>
  <c r="B119" i="5"/>
  <c r="C119" i="5"/>
  <c r="D119" i="5"/>
  <c r="E119" i="5"/>
  <c r="F119" i="5"/>
  <c r="G119" i="5"/>
  <c r="H119" i="5"/>
  <c r="I119" i="5"/>
  <c r="J119" i="5"/>
  <c r="K119" i="5"/>
  <c r="B120" i="5"/>
  <c r="C120" i="5"/>
  <c r="D120" i="5"/>
  <c r="E120" i="5"/>
  <c r="F120" i="5"/>
  <c r="G120" i="5"/>
  <c r="H120" i="5"/>
  <c r="I120" i="5"/>
  <c r="J120" i="5"/>
  <c r="K120" i="5"/>
  <c r="B121" i="5"/>
  <c r="C121" i="5"/>
  <c r="D121" i="5"/>
  <c r="E121" i="5"/>
  <c r="F121" i="5"/>
  <c r="G121" i="5"/>
  <c r="H121" i="5"/>
  <c r="I121" i="5"/>
  <c r="J121" i="5"/>
  <c r="K121" i="5"/>
  <c r="B122" i="5"/>
  <c r="B83" i="2" s="1"/>
  <c r="C122" i="5"/>
  <c r="C83" i="2" s="1"/>
  <c r="D122" i="5"/>
  <c r="D83" i="2" s="1"/>
  <c r="E122" i="5"/>
  <c r="E83" i="2" s="1"/>
  <c r="F122" i="5"/>
  <c r="F83" i="2" s="1"/>
  <c r="G122" i="5"/>
  <c r="G83" i="2" s="1"/>
  <c r="H122" i="5"/>
  <c r="H83" i="2" s="1"/>
  <c r="I122" i="5"/>
  <c r="I83" i="2" s="1"/>
  <c r="J122" i="5"/>
  <c r="J83" i="2" s="1"/>
  <c r="K122" i="5"/>
  <c r="K83" i="2" s="1"/>
  <c r="B123" i="5"/>
  <c r="C123" i="5"/>
  <c r="D123" i="5"/>
  <c r="E123" i="5"/>
  <c r="F123" i="5"/>
  <c r="G123" i="5"/>
  <c r="H123" i="5"/>
  <c r="I123" i="5"/>
  <c r="J123" i="5"/>
  <c r="K123" i="5"/>
  <c r="B124" i="5"/>
  <c r="C124" i="5"/>
  <c r="D124" i="5"/>
  <c r="E124" i="5"/>
  <c r="F124" i="5"/>
  <c r="G124" i="5"/>
  <c r="H124" i="5"/>
  <c r="I124" i="5"/>
  <c r="J124" i="5"/>
  <c r="K124" i="5"/>
  <c r="B125" i="5"/>
  <c r="B60" i="2" s="1"/>
  <c r="C125" i="5"/>
  <c r="C60" i="2" s="1"/>
  <c r="D125" i="5"/>
  <c r="D60" i="2" s="1"/>
  <c r="E125" i="5"/>
  <c r="E60" i="2" s="1"/>
  <c r="F125" i="5"/>
  <c r="F60" i="2" s="1"/>
  <c r="G125" i="5"/>
  <c r="G60" i="2" s="1"/>
  <c r="H125" i="5"/>
  <c r="H60" i="2" s="1"/>
  <c r="I125" i="5"/>
  <c r="I60" i="2" s="1"/>
  <c r="J125" i="5"/>
  <c r="J60" i="2" s="1"/>
  <c r="K125" i="5"/>
  <c r="K60" i="2" s="1"/>
  <c r="B126" i="5"/>
  <c r="B72" i="2" s="1"/>
  <c r="C126" i="5"/>
  <c r="C72" i="2" s="1"/>
  <c r="D126" i="5"/>
  <c r="D72" i="2" s="1"/>
  <c r="E126" i="5"/>
  <c r="E72" i="2" s="1"/>
  <c r="F126" i="5"/>
  <c r="F72" i="2" s="1"/>
  <c r="G126" i="5"/>
  <c r="G72" i="2" s="1"/>
  <c r="H126" i="5"/>
  <c r="H72" i="2" s="1"/>
  <c r="I126" i="5"/>
  <c r="I72" i="2" s="1"/>
  <c r="J126" i="5"/>
  <c r="J72" i="2" s="1"/>
  <c r="K126" i="5"/>
  <c r="K72" i="2" s="1"/>
  <c r="B127" i="5"/>
  <c r="C127" i="5"/>
  <c r="D127" i="5"/>
  <c r="E127" i="5"/>
  <c r="F127" i="5"/>
  <c r="G127" i="5"/>
  <c r="H127" i="5"/>
  <c r="I127" i="5"/>
  <c r="J127" i="5"/>
  <c r="K127" i="5"/>
  <c r="B128" i="5"/>
  <c r="C128" i="5"/>
  <c r="D128" i="5"/>
  <c r="E128" i="5"/>
  <c r="F128" i="5"/>
  <c r="G128" i="5"/>
  <c r="H128" i="5"/>
  <c r="I128" i="5"/>
  <c r="J128" i="5"/>
  <c r="K128" i="5"/>
  <c r="B129" i="5"/>
  <c r="B53" i="2" s="1"/>
  <c r="C129" i="5"/>
  <c r="C53" i="2" s="1"/>
  <c r="D129" i="5"/>
  <c r="D53" i="2" s="1"/>
  <c r="E129" i="5"/>
  <c r="E53" i="2" s="1"/>
  <c r="F129" i="5"/>
  <c r="F53" i="2" s="1"/>
  <c r="G129" i="5"/>
  <c r="G53" i="2" s="1"/>
  <c r="H129" i="5"/>
  <c r="H53" i="2" s="1"/>
  <c r="I129" i="5"/>
  <c r="I53" i="2" s="1"/>
  <c r="J129" i="5"/>
  <c r="J53" i="2" s="1"/>
  <c r="K129" i="5"/>
  <c r="K53" i="2" s="1"/>
  <c r="B130" i="5"/>
  <c r="C130" i="5"/>
  <c r="D130" i="5"/>
  <c r="E130" i="5"/>
  <c r="F130" i="5"/>
  <c r="G130" i="5"/>
  <c r="H130" i="5"/>
  <c r="I130" i="5"/>
  <c r="J130" i="5"/>
  <c r="K130" i="5"/>
  <c r="B131" i="5"/>
  <c r="C131" i="5"/>
  <c r="D131" i="5"/>
  <c r="E131" i="5"/>
  <c r="F131" i="5"/>
  <c r="G131" i="5"/>
  <c r="H131" i="5"/>
  <c r="I131" i="5"/>
  <c r="J131" i="5"/>
  <c r="K131" i="5"/>
  <c r="B132" i="5"/>
  <c r="C132" i="5"/>
  <c r="D132" i="5"/>
  <c r="E132" i="5"/>
  <c r="F132" i="5"/>
  <c r="G132" i="5"/>
  <c r="H132" i="5"/>
  <c r="I132" i="5"/>
  <c r="J132" i="5"/>
  <c r="K132" i="5"/>
  <c r="B133" i="5"/>
  <c r="C133" i="5"/>
  <c r="D133" i="5"/>
  <c r="E133" i="5"/>
  <c r="F133" i="5"/>
  <c r="G133" i="5"/>
  <c r="H133" i="5"/>
  <c r="I133" i="5"/>
  <c r="J133" i="5"/>
  <c r="K133" i="5"/>
  <c r="B134" i="5"/>
  <c r="C134" i="5"/>
  <c r="D134" i="5"/>
  <c r="E134" i="5"/>
  <c r="F134" i="5"/>
  <c r="G134" i="5"/>
  <c r="H134" i="5"/>
  <c r="I134" i="5"/>
  <c r="J134" i="5"/>
  <c r="K134" i="5"/>
  <c r="B135" i="5"/>
  <c r="C135" i="5"/>
  <c r="D135" i="5"/>
  <c r="E135" i="5"/>
  <c r="F135" i="5"/>
  <c r="G135" i="5"/>
  <c r="H135" i="5"/>
  <c r="I135" i="5"/>
  <c r="J135" i="5"/>
  <c r="K135" i="5"/>
  <c r="B136" i="5"/>
  <c r="C136" i="5"/>
  <c r="D136" i="5"/>
  <c r="E136" i="5"/>
  <c r="F136" i="5"/>
  <c r="G136" i="5"/>
  <c r="H136" i="5"/>
  <c r="I136" i="5"/>
  <c r="J136" i="5"/>
  <c r="K136" i="5"/>
  <c r="B137" i="5"/>
  <c r="C137" i="5"/>
  <c r="D137" i="5"/>
  <c r="E137" i="5"/>
  <c r="F137" i="5"/>
  <c r="G137" i="5"/>
  <c r="H137" i="5"/>
  <c r="I137" i="5"/>
  <c r="J137" i="5"/>
  <c r="K137" i="5"/>
  <c r="B138" i="5"/>
  <c r="C138" i="5"/>
  <c r="D138" i="5"/>
  <c r="E138" i="5"/>
  <c r="F138" i="5"/>
  <c r="G138" i="5"/>
  <c r="H138" i="5"/>
  <c r="I138" i="5"/>
  <c r="J138" i="5"/>
  <c r="K138" i="5"/>
  <c r="B139" i="5"/>
  <c r="C139" i="5"/>
  <c r="D139" i="5"/>
  <c r="E139" i="5"/>
  <c r="F139" i="5"/>
  <c r="G139" i="5"/>
  <c r="H139" i="5"/>
  <c r="I139" i="5"/>
  <c r="J139" i="5"/>
  <c r="K139" i="5"/>
  <c r="B140" i="5"/>
  <c r="C140" i="5"/>
  <c r="D140" i="5"/>
  <c r="E140" i="5"/>
  <c r="F140" i="5"/>
  <c r="G140" i="5"/>
  <c r="H140" i="5"/>
  <c r="I140" i="5"/>
  <c r="J140" i="5"/>
  <c r="K140" i="5"/>
  <c r="B141" i="5"/>
  <c r="C141" i="5"/>
  <c r="D141" i="5"/>
  <c r="E141" i="5"/>
  <c r="F141" i="5"/>
  <c r="G141" i="5"/>
  <c r="H141" i="5"/>
  <c r="I141" i="5"/>
  <c r="J141" i="5"/>
  <c r="K141" i="5"/>
  <c r="B142" i="5"/>
  <c r="C142" i="5"/>
  <c r="D142" i="5"/>
  <c r="E142" i="5"/>
  <c r="F142" i="5"/>
  <c r="G142" i="5"/>
  <c r="H142" i="5"/>
  <c r="I142" i="5"/>
  <c r="J142" i="5"/>
  <c r="K142" i="5"/>
  <c r="B143" i="5"/>
  <c r="C143" i="5"/>
  <c r="D143" i="5"/>
  <c r="E143" i="5"/>
  <c r="F143" i="5"/>
  <c r="G143" i="5"/>
  <c r="H143" i="5"/>
  <c r="I143" i="5"/>
  <c r="J143" i="5"/>
  <c r="K143" i="5"/>
  <c r="B144" i="5"/>
  <c r="C144" i="5"/>
  <c r="D144" i="5"/>
  <c r="E144" i="5"/>
  <c r="F144" i="5"/>
  <c r="G144" i="5"/>
  <c r="H144" i="5"/>
  <c r="I144" i="5"/>
  <c r="J144" i="5"/>
  <c r="K144" i="5"/>
  <c r="B145" i="5"/>
  <c r="C145" i="5"/>
  <c r="D145" i="5"/>
  <c r="E145" i="5"/>
  <c r="F145" i="5"/>
  <c r="G145" i="5"/>
  <c r="H145" i="5"/>
  <c r="I145" i="5"/>
  <c r="J145" i="5"/>
  <c r="K145" i="5"/>
  <c r="B146" i="5"/>
  <c r="C146" i="5"/>
  <c r="D146" i="5"/>
  <c r="E146" i="5"/>
  <c r="F146" i="5"/>
  <c r="G146" i="5"/>
  <c r="H146" i="5"/>
  <c r="I146" i="5"/>
  <c r="J146" i="5"/>
  <c r="K146" i="5"/>
  <c r="B147" i="5"/>
  <c r="C147" i="5"/>
  <c r="D147" i="5"/>
  <c r="E147" i="5"/>
  <c r="F147" i="5"/>
  <c r="G147" i="5"/>
  <c r="H147" i="5"/>
  <c r="I147" i="5"/>
  <c r="J147" i="5"/>
  <c r="K147" i="5"/>
  <c r="B148" i="5"/>
  <c r="C148" i="5"/>
  <c r="D148" i="5"/>
  <c r="E148" i="5"/>
  <c r="F148" i="5"/>
  <c r="G148" i="5"/>
  <c r="H148" i="5"/>
  <c r="I148" i="5"/>
  <c r="J148" i="5"/>
  <c r="K148" i="5"/>
  <c r="B149" i="5"/>
  <c r="C149" i="5"/>
  <c r="D149" i="5"/>
  <c r="E149" i="5"/>
  <c r="F149" i="5"/>
  <c r="G149" i="5"/>
  <c r="H149" i="5"/>
  <c r="I149" i="5"/>
  <c r="J149" i="5"/>
  <c r="K149" i="5"/>
  <c r="B150" i="5"/>
  <c r="C150" i="5"/>
  <c r="D150" i="5"/>
  <c r="E150" i="5"/>
  <c r="F150" i="5"/>
  <c r="G150" i="5"/>
  <c r="H150" i="5"/>
  <c r="I150" i="5"/>
  <c r="J150" i="5"/>
  <c r="K150" i="5"/>
  <c r="B151" i="5"/>
  <c r="C151" i="5"/>
  <c r="D151" i="5"/>
  <c r="E151" i="5"/>
  <c r="F151" i="5"/>
  <c r="G151" i="5"/>
  <c r="H151" i="5"/>
  <c r="I151" i="5"/>
  <c r="J151" i="5"/>
  <c r="K151" i="5"/>
  <c r="B152" i="5"/>
  <c r="C152" i="5"/>
  <c r="D152" i="5"/>
  <c r="E152" i="5"/>
  <c r="F152" i="5"/>
  <c r="G152" i="5"/>
  <c r="H152" i="5"/>
  <c r="I152" i="5"/>
  <c r="J152" i="5"/>
  <c r="K152" i="5"/>
  <c r="B153" i="5"/>
  <c r="C153" i="5"/>
  <c r="D153" i="5"/>
  <c r="E153" i="5"/>
  <c r="F153" i="5"/>
  <c r="G153" i="5"/>
  <c r="H153" i="5"/>
  <c r="I153" i="5"/>
  <c r="J153" i="5"/>
  <c r="K153" i="5"/>
  <c r="B154" i="5"/>
  <c r="C154" i="5"/>
  <c r="D154" i="5"/>
  <c r="E154" i="5"/>
  <c r="F154" i="5"/>
  <c r="G154" i="5"/>
  <c r="H154" i="5"/>
  <c r="I154" i="5"/>
  <c r="J154" i="5"/>
  <c r="K154" i="5"/>
  <c r="B155" i="5"/>
  <c r="C155" i="5"/>
  <c r="D155" i="5"/>
  <c r="E155" i="5"/>
  <c r="F155" i="5"/>
  <c r="G155" i="5"/>
  <c r="H155" i="5"/>
  <c r="I155" i="5"/>
  <c r="J155" i="5"/>
  <c r="K155" i="5"/>
  <c r="B156" i="5"/>
  <c r="C156" i="5"/>
  <c r="D156" i="5"/>
  <c r="E156" i="5"/>
  <c r="F156" i="5"/>
  <c r="G156" i="5"/>
  <c r="H156" i="5"/>
  <c r="I156" i="5"/>
  <c r="J156" i="5"/>
  <c r="K156" i="5"/>
  <c r="B157" i="5"/>
  <c r="C157" i="5"/>
  <c r="D157" i="5"/>
  <c r="E157" i="5"/>
  <c r="F157" i="5"/>
  <c r="G157" i="5"/>
  <c r="H157" i="5"/>
  <c r="I157" i="5"/>
  <c r="J157" i="5"/>
  <c r="K157" i="5"/>
  <c r="B158" i="5"/>
  <c r="C158" i="5"/>
  <c r="D158" i="5"/>
  <c r="E158" i="5"/>
  <c r="F158" i="5"/>
  <c r="G158" i="5"/>
  <c r="H158" i="5"/>
  <c r="I158" i="5"/>
  <c r="J158" i="5"/>
  <c r="K158" i="5"/>
  <c r="B159" i="5"/>
  <c r="C159" i="5"/>
  <c r="D159" i="5"/>
  <c r="E159" i="5"/>
  <c r="F159" i="5"/>
  <c r="G159" i="5"/>
  <c r="H159" i="5"/>
  <c r="I159" i="5"/>
  <c r="J159" i="5"/>
  <c r="K159" i="5"/>
  <c r="B160" i="5"/>
  <c r="C160" i="5"/>
  <c r="D160" i="5"/>
  <c r="E160" i="5"/>
  <c r="F160" i="5"/>
  <c r="G160" i="5"/>
  <c r="H160" i="5"/>
  <c r="I160" i="5"/>
  <c r="J160" i="5"/>
  <c r="K160" i="5"/>
  <c r="B161" i="5"/>
  <c r="C161" i="5"/>
  <c r="D161" i="5"/>
  <c r="E161" i="5"/>
  <c r="F161" i="5"/>
  <c r="G161" i="5"/>
  <c r="H161" i="5"/>
  <c r="I161" i="5"/>
  <c r="J161" i="5"/>
  <c r="K161" i="5"/>
  <c r="B162" i="5"/>
  <c r="C162" i="5"/>
  <c r="D162" i="5"/>
  <c r="E162" i="5"/>
  <c r="F162" i="5"/>
  <c r="G162" i="5"/>
  <c r="H162" i="5"/>
  <c r="I162" i="5"/>
  <c r="J162" i="5"/>
  <c r="K162" i="5"/>
  <c r="B163" i="5"/>
  <c r="C163" i="5"/>
  <c r="D163" i="5"/>
  <c r="E163" i="5"/>
  <c r="F163" i="5"/>
  <c r="G163" i="5"/>
  <c r="H163" i="5"/>
  <c r="I163" i="5"/>
  <c r="J163" i="5"/>
  <c r="K163" i="5"/>
  <c r="B164" i="5"/>
  <c r="C164" i="5"/>
  <c r="D164" i="5"/>
  <c r="E164" i="5"/>
  <c r="F164" i="5"/>
  <c r="G164" i="5"/>
  <c r="H164" i="5"/>
  <c r="I164" i="5"/>
  <c r="J164" i="5"/>
  <c r="K164" i="5"/>
  <c r="B165" i="5"/>
  <c r="C165" i="5"/>
  <c r="D165" i="5"/>
  <c r="E165" i="5"/>
  <c r="F165" i="5"/>
  <c r="G165" i="5"/>
  <c r="H165" i="5"/>
  <c r="I165" i="5"/>
  <c r="J165" i="5"/>
  <c r="K165" i="5"/>
  <c r="B166" i="5"/>
  <c r="C166" i="5"/>
  <c r="D166" i="5"/>
  <c r="E166" i="5"/>
  <c r="F166" i="5"/>
  <c r="G166" i="5"/>
  <c r="H166" i="5"/>
  <c r="I166" i="5"/>
  <c r="J166" i="5"/>
  <c r="K166" i="5"/>
  <c r="B167" i="5"/>
  <c r="C167" i="5"/>
  <c r="D167" i="5"/>
  <c r="E167" i="5"/>
  <c r="F167" i="5"/>
  <c r="G167" i="5"/>
  <c r="H167" i="5"/>
  <c r="I167" i="5"/>
  <c r="J167" i="5"/>
  <c r="K167" i="5"/>
  <c r="B168" i="5"/>
  <c r="B88" i="2" s="1"/>
  <c r="C168" i="5"/>
  <c r="C88" i="2" s="1"/>
  <c r="D168" i="5"/>
  <c r="D88" i="2" s="1"/>
  <c r="E168" i="5"/>
  <c r="E88" i="2" s="1"/>
  <c r="F168" i="5"/>
  <c r="F88" i="2" s="1"/>
  <c r="G168" i="5"/>
  <c r="G88" i="2" s="1"/>
  <c r="H168" i="5"/>
  <c r="H88" i="2" s="1"/>
  <c r="I168" i="5"/>
  <c r="I88" i="2" s="1"/>
  <c r="J168" i="5"/>
  <c r="J88" i="2" s="1"/>
  <c r="K168" i="5"/>
  <c r="K88" i="2" s="1"/>
  <c r="B169" i="5"/>
  <c r="C169" i="5"/>
  <c r="D169" i="5"/>
  <c r="E169" i="5"/>
  <c r="F169" i="5"/>
  <c r="G169" i="5"/>
  <c r="H169" i="5"/>
  <c r="I169" i="5"/>
  <c r="J169" i="5"/>
  <c r="K169" i="5"/>
  <c r="B172" i="5"/>
  <c r="C172" i="5"/>
  <c r="D172" i="5"/>
  <c r="E172" i="5"/>
  <c r="F172" i="5"/>
  <c r="G172" i="5"/>
  <c r="H172" i="5"/>
  <c r="I172" i="5"/>
  <c r="J172" i="5"/>
  <c r="K172" i="5"/>
  <c r="B173" i="5"/>
  <c r="C173" i="5"/>
  <c r="D173" i="5"/>
  <c r="E173" i="5"/>
  <c r="F173" i="5"/>
  <c r="G173" i="5"/>
  <c r="H173" i="5"/>
  <c r="I173" i="5"/>
  <c r="J173" i="5"/>
  <c r="K173" i="5"/>
  <c r="B174" i="5"/>
  <c r="B118" i="2" s="1"/>
  <c r="C174" i="5"/>
  <c r="C118" i="2" s="1"/>
  <c r="D174" i="5"/>
  <c r="D118" i="2" s="1"/>
  <c r="E174" i="5"/>
  <c r="E118" i="2" s="1"/>
  <c r="F174" i="5"/>
  <c r="F118" i="2" s="1"/>
  <c r="G174" i="5"/>
  <c r="G118" i="2" s="1"/>
  <c r="H174" i="5"/>
  <c r="H118" i="2" s="1"/>
  <c r="I174" i="5"/>
  <c r="I118" i="2" s="1"/>
  <c r="J174" i="5"/>
  <c r="J118" i="2" s="1"/>
  <c r="K174" i="5"/>
  <c r="K118" i="2" s="1"/>
  <c r="B119" i="2"/>
  <c r="C175" i="5"/>
  <c r="C119" i="2" s="1"/>
  <c r="D175" i="5"/>
  <c r="D119" i="2" s="1"/>
  <c r="E175" i="5"/>
  <c r="E119" i="2" s="1"/>
  <c r="F175" i="5"/>
  <c r="F119" i="2" s="1"/>
  <c r="G175" i="5"/>
  <c r="G119" i="2" s="1"/>
  <c r="H175" i="5"/>
  <c r="H119" i="2" s="1"/>
  <c r="I175" i="5"/>
  <c r="I119" i="2" s="1"/>
  <c r="J175" i="5"/>
  <c r="J119" i="2" s="1"/>
  <c r="K175" i="5"/>
  <c r="K119" i="2" s="1"/>
  <c r="B176" i="5"/>
  <c r="C176" i="5"/>
  <c r="D176" i="5"/>
  <c r="E176" i="5"/>
  <c r="F176" i="5"/>
  <c r="G176" i="5"/>
  <c r="H176" i="5"/>
  <c r="I176" i="5"/>
  <c r="J176" i="5"/>
  <c r="K176" i="5"/>
  <c r="B177" i="5"/>
  <c r="B126" i="2" s="1"/>
  <c r="C177" i="5"/>
  <c r="C126" i="2" s="1"/>
  <c r="D177" i="5"/>
  <c r="D126" i="2" s="1"/>
  <c r="E177" i="5"/>
  <c r="E126" i="2" s="1"/>
  <c r="F177" i="5"/>
  <c r="F126" i="2" s="1"/>
  <c r="G177" i="5"/>
  <c r="G126" i="2" s="1"/>
  <c r="H177" i="5"/>
  <c r="H126" i="2" s="1"/>
  <c r="I177" i="5"/>
  <c r="I126" i="2" s="1"/>
  <c r="J177" i="5"/>
  <c r="J126" i="2" s="1"/>
  <c r="K177" i="5"/>
  <c r="K126" i="2" s="1"/>
  <c r="B178" i="5"/>
  <c r="C178" i="5"/>
  <c r="D178" i="5"/>
  <c r="E178" i="5"/>
  <c r="F178" i="5"/>
  <c r="G178" i="5"/>
  <c r="H178" i="5"/>
  <c r="I178" i="5"/>
  <c r="J178" i="5"/>
  <c r="K178" i="5"/>
  <c r="B179" i="5"/>
  <c r="B127" i="2" s="1"/>
  <c r="C179" i="5"/>
  <c r="C127" i="2" s="1"/>
  <c r="D179" i="5"/>
  <c r="D127" i="2" s="1"/>
  <c r="E179" i="5"/>
  <c r="E127" i="2" s="1"/>
  <c r="F179" i="5"/>
  <c r="F127" i="2" s="1"/>
  <c r="G179" i="5"/>
  <c r="G127" i="2" s="1"/>
  <c r="H179" i="5"/>
  <c r="H127" i="2" s="1"/>
  <c r="I179" i="5"/>
  <c r="I127" i="2" s="1"/>
  <c r="J179" i="5"/>
  <c r="J127" i="2" s="1"/>
  <c r="K179" i="5"/>
  <c r="K127" i="2" s="1"/>
  <c r="B180" i="5"/>
  <c r="C180" i="5"/>
  <c r="D180" i="5"/>
  <c r="E180" i="5"/>
  <c r="F180" i="5"/>
  <c r="G180" i="5"/>
  <c r="H180" i="5"/>
  <c r="I180" i="5"/>
  <c r="J180" i="5"/>
  <c r="K180" i="5"/>
  <c r="B181" i="5"/>
  <c r="B113" i="2" s="1"/>
  <c r="C181" i="5"/>
  <c r="C113" i="2" s="1"/>
  <c r="D181" i="5"/>
  <c r="D113" i="2" s="1"/>
  <c r="E181" i="5"/>
  <c r="E113" i="2" s="1"/>
  <c r="F181" i="5"/>
  <c r="F113" i="2" s="1"/>
  <c r="G181" i="5"/>
  <c r="G113" i="2" s="1"/>
  <c r="H181" i="5"/>
  <c r="H113" i="2" s="1"/>
  <c r="I181" i="5"/>
  <c r="I113" i="2" s="1"/>
  <c r="J181" i="5"/>
  <c r="J113" i="2" s="1"/>
  <c r="K181" i="5"/>
  <c r="K113" i="2" s="1"/>
  <c r="B182" i="5"/>
  <c r="B114" i="2" s="1"/>
  <c r="C182" i="5"/>
  <c r="C114" i="2" s="1"/>
  <c r="D182" i="5"/>
  <c r="D114" i="2" s="1"/>
  <c r="E182" i="5"/>
  <c r="E114" i="2" s="1"/>
  <c r="F182" i="5"/>
  <c r="F114" i="2" s="1"/>
  <c r="G182" i="5"/>
  <c r="G114" i="2" s="1"/>
  <c r="H182" i="5"/>
  <c r="H114" i="2" s="1"/>
  <c r="I182" i="5"/>
  <c r="I114" i="2" s="1"/>
  <c r="J182" i="5"/>
  <c r="J114" i="2" s="1"/>
  <c r="K182" i="5"/>
  <c r="K114" i="2" s="1"/>
  <c r="B183" i="5"/>
  <c r="B115" i="2" s="1"/>
  <c r="C183" i="5"/>
  <c r="C115" i="2" s="1"/>
  <c r="D183" i="5"/>
  <c r="D115" i="2" s="1"/>
  <c r="E183" i="5"/>
  <c r="E115" i="2" s="1"/>
  <c r="F183" i="5"/>
  <c r="F115" i="2" s="1"/>
  <c r="G183" i="5"/>
  <c r="G115" i="2" s="1"/>
  <c r="H183" i="5"/>
  <c r="H115" i="2" s="1"/>
  <c r="I183" i="5"/>
  <c r="I115" i="2" s="1"/>
  <c r="J183" i="5"/>
  <c r="J115" i="2" s="1"/>
  <c r="K183" i="5"/>
  <c r="K115" i="2" s="1"/>
  <c r="B184" i="5"/>
  <c r="B122" i="2" s="1"/>
  <c r="C184" i="5"/>
  <c r="C122" i="2" s="1"/>
  <c r="D184" i="5"/>
  <c r="D122" i="2" s="1"/>
  <c r="E184" i="5"/>
  <c r="E122" i="2" s="1"/>
  <c r="F184" i="5"/>
  <c r="F122" i="2" s="1"/>
  <c r="G184" i="5"/>
  <c r="G122" i="2" s="1"/>
  <c r="H184" i="5"/>
  <c r="H122" i="2" s="1"/>
  <c r="I184" i="5"/>
  <c r="I122" i="2" s="1"/>
  <c r="J184" i="5"/>
  <c r="J122" i="2" s="1"/>
  <c r="K184" i="5"/>
  <c r="K122" i="2" s="1"/>
  <c r="K13" i="4" s="1"/>
  <c r="K125" i="4" s="1"/>
  <c r="B185" i="5"/>
  <c r="C185" i="5"/>
  <c r="D185" i="5"/>
  <c r="E185" i="5"/>
  <c r="F185" i="5"/>
  <c r="G185" i="5"/>
  <c r="H185" i="5"/>
  <c r="I185" i="5"/>
  <c r="J185" i="5"/>
  <c r="K185" i="5"/>
  <c r="B186" i="5"/>
  <c r="C186" i="5"/>
  <c r="D186" i="5"/>
  <c r="E186" i="5"/>
  <c r="F186" i="5"/>
  <c r="G186" i="5"/>
  <c r="H186" i="5"/>
  <c r="I186" i="5"/>
  <c r="J186" i="5"/>
  <c r="K186" i="5"/>
  <c r="B187" i="5"/>
  <c r="C187" i="5"/>
  <c r="D187" i="5"/>
  <c r="E187" i="5"/>
  <c r="F187" i="5"/>
  <c r="G187" i="5"/>
  <c r="H187" i="5"/>
  <c r="I187" i="5"/>
  <c r="J187" i="5"/>
  <c r="K187" i="5"/>
  <c r="B188" i="5"/>
  <c r="C188" i="5"/>
  <c r="D188" i="5"/>
  <c r="E188" i="5"/>
  <c r="F188" i="5"/>
  <c r="G188" i="5"/>
  <c r="H188" i="5"/>
  <c r="I188" i="5"/>
  <c r="J188" i="5"/>
  <c r="K188" i="5"/>
  <c r="B189" i="5"/>
  <c r="C189" i="5"/>
  <c r="D189" i="5"/>
  <c r="E189" i="5"/>
  <c r="F189" i="5"/>
  <c r="G189" i="5"/>
  <c r="H189" i="5"/>
  <c r="I189" i="5"/>
  <c r="J189" i="5"/>
  <c r="K189" i="5"/>
  <c r="B190" i="5"/>
  <c r="C190" i="5"/>
  <c r="D190" i="5"/>
  <c r="E190" i="5"/>
  <c r="F190" i="5"/>
  <c r="G190" i="5"/>
  <c r="H190" i="5"/>
  <c r="I190" i="5"/>
  <c r="J190" i="5"/>
  <c r="K190" i="5"/>
  <c r="B191" i="5"/>
  <c r="C191" i="5"/>
  <c r="D191" i="5"/>
  <c r="E191" i="5"/>
  <c r="F191" i="5"/>
  <c r="G191" i="5"/>
  <c r="H191" i="5"/>
  <c r="I191" i="5"/>
  <c r="J191" i="5"/>
  <c r="K191" i="5"/>
  <c r="B192" i="5"/>
  <c r="C192" i="5"/>
  <c r="D192" i="5"/>
  <c r="E192" i="5"/>
  <c r="F192" i="5"/>
  <c r="G192" i="5"/>
  <c r="H192" i="5"/>
  <c r="I192" i="5"/>
  <c r="J192" i="5"/>
  <c r="K192" i="5"/>
  <c r="B193" i="5"/>
  <c r="C193" i="5"/>
  <c r="D193" i="5"/>
  <c r="E193" i="5"/>
  <c r="F193" i="5"/>
  <c r="G193" i="5"/>
  <c r="H193" i="5"/>
  <c r="I193" i="5"/>
  <c r="J193" i="5"/>
  <c r="K193" i="5"/>
  <c r="B194" i="5"/>
  <c r="C194" i="5"/>
  <c r="D194" i="5"/>
  <c r="E194" i="5"/>
  <c r="F194" i="5"/>
  <c r="G194" i="5"/>
  <c r="H194" i="5"/>
  <c r="I194" i="5"/>
  <c r="J194" i="5"/>
  <c r="K194" i="5"/>
  <c r="B195" i="5"/>
  <c r="C195" i="5"/>
  <c r="D195" i="5"/>
  <c r="E195" i="5"/>
  <c r="F195" i="5"/>
  <c r="G195" i="5"/>
  <c r="H195" i="5"/>
  <c r="I195" i="5"/>
  <c r="J195" i="5"/>
  <c r="K195" i="5"/>
  <c r="B196" i="5"/>
  <c r="C196" i="5"/>
  <c r="D196" i="5"/>
  <c r="E196" i="5"/>
  <c r="F196" i="5"/>
  <c r="G196" i="5"/>
  <c r="H196" i="5"/>
  <c r="I196" i="5"/>
  <c r="J196" i="5"/>
  <c r="K196" i="5"/>
  <c r="B197" i="5"/>
  <c r="B117" i="2" s="1"/>
  <c r="C197" i="5"/>
  <c r="C117" i="2" s="1"/>
  <c r="D197" i="5"/>
  <c r="D117" i="2" s="1"/>
  <c r="E197" i="5"/>
  <c r="E117" i="2" s="1"/>
  <c r="F197" i="5"/>
  <c r="F117" i="2" s="1"/>
  <c r="G197" i="5"/>
  <c r="G117" i="2" s="1"/>
  <c r="H197" i="5"/>
  <c r="H117" i="2" s="1"/>
  <c r="I197" i="5"/>
  <c r="I117" i="2" s="1"/>
  <c r="J197" i="5"/>
  <c r="J117" i="2" s="1"/>
  <c r="K197" i="5"/>
  <c r="K117" i="2" s="1"/>
  <c r="B198" i="5"/>
  <c r="C198" i="5"/>
  <c r="D198" i="5"/>
  <c r="E198" i="5"/>
  <c r="F198" i="5"/>
  <c r="G198" i="5"/>
  <c r="H198" i="5"/>
  <c r="I198" i="5"/>
  <c r="J198" i="5"/>
  <c r="K198" i="5"/>
  <c r="B199" i="5"/>
  <c r="C199" i="5"/>
  <c r="D199" i="5"/>
  <c r="E199" i="5"/>
  <c r="F199" i="5"/>
  <c r="G199" i="5"/>
  <c r="H199" i="5"/>
  <c r="I199" i="5"/>
  <c r="J199" i="5"/>
  <c r="K199" i="5"/>
  <c r="B200" i="5"/>
  <c r="B130" i="2" s="1"/>
  <c r="C200" i="5"/>
  <c r="C130" i="2" s="1"/>
  <c r="D200" i="5"/>
  <c r="D130" i="2" s="1"/>
  <c r="E200" i="5"/>
  <c r="E130" i="2" s="1"/>
  <c r="F200" i="5"/>
  <c r="F130" i="2" s="1"/>
  <c r="G200" i="5"/>
  <c r="G130" i="2" s="1"/>
  <c r="H200" i="5"/>
  <c r="H130" i="2" s="1"/>
  <c r="I200" i="5"/>
  <c r="I130" i="2" s="1"/>
  <c r="J200" i="5"/>
  <c r="J130" i="2" s="1"/>
  <c r="K200" i="5"/>
  <c r="K130" i="2" s="1"/>
  <c r="B201" i="5"/>
  <c r="B133" i="2" s="1"/>
  <c r="C201" i="5"/>
  <c r="C133" i="2" s="1"/>
  <c r="D201" i="5"/>
  <c r="D133" i="2" s="1"/>
  <c r="E201" i="5"/>
  <c r="E133" i="2" s="1"/>
  <c r="F201" i="5"/>
  <c r="F133" i="2" s="1"/>
  <c r="G201" i="5"/>
  <c r="G133" i="2" s="1"/>
  <c r="H201" i="5"/>
  <c r="H133" i="2" s="1"/>
  <c r="I201" i="5"/>
  <c r="I133" i="2" s="1"/>
  <c r="J201" i="5"/>
  <c r="J133" i="2" s="1"/>
  <c r="K201" i="5"/>
  <c r="K133" i="2" s="1"/>
  <c r="B202" i="5"/>
  <c r="C202" i="5"/>
  <c r="D202" i="5"/>
  <c r="E202" i="5"/>
  <c r="F202" i="5"/>
  <c r="G202" i="5"/>
  <c r="H202" i="5"/>
  <c r="I202" i="5"/>
  <c r="J202" i="5"/>
  <c r="K202" i="5"/>
  <c r="B203" i="5"/>
  <c r="C203" i="5"/>
  <c r="D203" i="5"/>
  <c r="E203" i="5"/>
  <c r="F203" i="5"/>
  <c r="G203" i="5"/>
  <c r="H203" i="5"/>
  <c r="I203" i="5"/>
  <c r="J203" i="5"/>
  <c r="K203" i="5"/>
  <c r="B204" i="5"/>
  <c r="B144" i="2" s="1"/>
  <c r="B17" i="4" s="1"/>
  <c r="B74" i="4" s="1"/>
  <c r="C204" i="5"/>
  <c r="C144" i="2" s="1"/>
  <c r="C17" i="4" s="1"/>
  <c r="C74" i="4" s="1"/>
  <c r="D204" i="5"/>
  <c r="D144" i="2" s="1"/>
  <c r="D17" i="4" s="1"/>
  <c r="D74" i="4" s="1"/>
  <c r="E204" i="5"/>
  <c r="E144" i="2" s="1"/>
  <c r="E17" i="4" s="1"/>
  <c r="E74" i="4" s="1"/>
  <c r="F204" i="5"/>
  <c r="F144" i="2" s="1"/>
  <c r="F17" i="4" s="1"/>
  <c r="F74" i="4" s="1"/>
  <c r="G204" i="5"/>
  <c r="G144" i="2" s="1"/>
  <c r="G17" i="4" s="1"/>
  <c r="G74" i="4" s="1"/>
  <c r="H204" i="5"/>
  <c r="H144" i="2" s="1"/>
  <c r="H17" i="4" s="1"/>
  <c r="H74" i="4" s="1"/>
  <c r="I204" i="5"/>
  <c r="I144" i="2" s="1"/>
  <c r="I17" i="4" s="1"/>
  <c r="I74" i="4" s="1"/>
  <c r="J204" i="5"/>
  <c r="J144" i="2" s="1"/>
  <c r="J17" i="4" s="1"/>
  <c r="J74" i="4" s="1"/>
  <c r="K204" i="5"/>
  <c r="K144" i="2" s="1"/>
  <c r="K17" i="4" s="1"/>
  <c r="K74" i="4" s="1"/>
  <c r="B205" i="5"/>
  <c r="C205" i="5"/>
  <c r="D205" i="5"/>
  <c r="E205" i="5"/>
  <c r="F205" i="5"/>
  <c r="G205" i="5"/>
  <c r="H205" i="5"/>
  <c r="I205" i="5"/>
  <c r="J205" i="5"/>
  <c r="K205" i="5"/>
  <c r="B206" i="5"/>
  <c r="C206" i="5"/>
  <c r="D206" i="5"/>
  <c r="E206" i="5"/>
  <c r="F206" i="5"/>
  <c r="G206" i="5"/>
  <c r="H206" i="5"/>
  <c r="I206" i="5"/>
  <c r="J206" i="5"/>
  <c r="K206" i="5"/>
  <c r="B207" i="5"/>
  <c r="C207" i="5"/>
  <c r="D207" i="5"/>
  <c r="E207" i="5"/>
  <c r="F207" i="5"/>
  <c r="G207" i="5"/>
  <c r="H207" i="5"/>
  <c r="I207" i="5"/>
  <c r="J207" i="5"/>
  <c r="K207" i="5"/>
  <c r="B208" i="5"/>
  <c r="C208" i="5"/>
  <c r="D208" i="5"/>
  <c r="E208" i="5"/>
  <c r="F208" i="5"/>
  <c r="G208" i="5"/>
  <c r="H208" i="5"/>
  <c r="I208" i="5"/>
  <c r="J208" i="5"/>
  <c r="K208" i="5"/>
  <c r="B209" i="5"/>
  <c r="C209" i="5"/>
  <c r="D209" i="5"/>
  <c r="E209" i="5"/>
  <c r="F209" i="5"/>
  <c r="G209" i="5"/>
  <c r="H209" i="5"/>
  <c r="I209" i="5"/>
  <c r="J209" i="5"/>
  <c r="K209" i="5"/>
  <c r="B210" i="5"/>
  <c r="C210" i="5"/>
  <c r="D210" i="5"/>
  <c r="E210" i="5"/>
  <c r="F210" i="5"/>
  <c r="G210" i="5"/>
  <c r="H210" i="5"/>
  <c r="I210" i="5"/>
  <c r="J210" i="5"/>
  <c r="K210" i="5"/>
  <c r="B211" i="5"/>
  <c r="C211" i="5"/>
  <c r="D211" i="5"/>
  <c r="E211" i="5"/>
  <c r="F211" i="5"/>
  <c r="G211" i="5"/>
  <c r="H211" i="5"/>
  <c r="I211" i="5"/>
  <c r="J211" i="5"/>
  <c r="K211" i="5"/>
  <c r="B212" i="5"/>
  <c r="C212" i="5"/>
  <c r="D212" i="5"/>
  <c r="E212" i="5"/>
  <c r="F212" i="5"/>
  <c r="G212" i="5"/>
  <c r="H212" i="5"/>
  <c r="I212" i="5"/>
  <c r="J212" i="5"/>
  <c r="K212" i="5"/>
  <c r="B213" i="5"/>
  <c r="C213" i="5"/>
  <c r="D213" i="5"/>
  <c r="E213" i="5"/>
  <c r="F213" i="5"/>
  <c r="G213" i="5"/>
  <c r="H213" i="5"/>
  <c r="I213" i="5"/>
  <c r="J213" i="5"/>
  <c r="K213" i="5"/>
  <c r="B214" i="5"/>
  <c r="C214" i="5"/>
  <c r="D214" i="5"/>
  <c r="E214" i="5"/>
  <c r="F214" i="5"/>
  <c r="G214" i="5"/>
  <c r="H214" i="5"/>
  <c r="I214" i="5"/>
  <c r="J214" i="5"/>
  <c r="K214" i="5"/>
  <c r="B215" i="5"/>
  <c r="C215" i="5"/>
  <c r="D215" i="5"/>
  <c r="E215" i="5"/>
  <c r="F215" i="5"/>
  <c r="G215" i="5"/>
  <c r="H215" i="5"/>
  <c r="I215" i="5"/>
  <c r="J215" i="5"/>
  <c r="K215" i="5"/>
  <c r="B216" i="5"/>
  <c r="C216" i="5"/>
  <c r="D216" i="5"/>
  <c r="E216" i="5"/>
  <c r="F216" i="5"/>
  <c r="G216" i="5"/>
  <c r="H216" i="5"/>
  <c r="I216" i="5"/>
  <c r="J216" i="5"/>
  <c r="K216" i="5"/>
  <c r="B217" i="5"/>
  <c r="C217" i="5"/>
  <c r="D217" i="5"/>
  <c r="E217" i="5"/>
  <c r="F217" i="5"/>
  <c r="G217" i="5"/>
  <c r="H217" i="5"/>
  <c r="I217" i="5"/>
  <c r="J217" i="5"/>
  <c r="K217" i="5"/>
  <c r="B218" i="5"/>
  <c r="B138" i="2" s="1"/>
  <c r="B27" i="4" s="1"/>
  <c r="B218" i="4" s="1"/>
  <c r="C218" i="5"/>
  <c r="C138" i="2" s="1"/>
  <c r="C27" i="4" s="1"/>
  <c r="C66" i="4" s="1"/>
  <c r="D218" i="5"/>
  <c r="D138" i="2" s="1"/>
  <c r="D27" i="4" s="1"/>
  <c r="D66" i="4" s="1"/>
  <c r="E218" i="5"/>
  <c r="E138" i="2" s="1"/>
  <c r="E27" i="4" s="1"/>
  <c r="E66" i="4" s="1"/>
  <c r="F218" i="5"/>
  <c r="F138" i="2" s="1"/>
  <c r="F27" i="4" s="1"/>
  <c r="F66" i="4" s="1"/>
  <c r="G218" i="5"/>
  <c r="G138" i="2" s="1"/>
  <c r="G27" i="4" s="1"/>
  <c r="H218" i="5"/>
  <c r="H138" i="2" s="1"/>
  <c r="H27" i="4" s="1"/>
  <c r="H66" i="4" s="1"/>
  <c r="I218" i="5"/>
  <c r="I138" i="2" s="1"/>
  <c r="I27" i="4" s="1"/>
  <c r="J218" i="5"/>
  <c r="J138" i="2" s="1"/>
  <c r="J27" i="4" s="1"/>
  <c r="J66" i="4" s="1"/>
  <c r="K218" i="5"/>
  <c r="K138" i="2" s="1"/>
  <c r="K27" i="4" s="1"/>
  <c r="K66" i="4" s="1"/>
  <c r="B219" i="5"/>
  <c r="C219" i="5"/>
  <c r="D219" i="5"/>
  <c r="E219" i="5"/>
  <c r="F219" i="5"/>
  <c r="G219" i="5"/>
  <c r="H219" i="5"/>
  <c r="I219" i="5"/>
  <c r="J219" i="5"/>
  <c r="K219" i="5"/>
  <c r="B220" i="5"/>
  <c r="C220" i="5"/>
  <c r="D220" i="5"/>
  <c r="E220" i="5"/>
  <c r="F220" i="5"/>
  <c r="G220" i="5"/>
  <c r="H220" i="5"/>
  <c r="I220" i="5"/>
  <c r="J220" i="5"/>
  <c r="K220" i="5"/>
  <c r="B221" i="5"/>
  <c r="C221" i="5"/>
  <c r="C139" i="2" s="1"/>
  <c r="D221" i="5"/>
  <c r="D139" i="2" s="1"/>
  <c r="E221" i="5"/>
  <c r="E139" i="2" s="1"/>
  <c r="F221" i="5"/>
  <c r="F139" i="2" s="1"/>
  <c r="G221" i="5"/>
  <c r="G139" i="2" s="1"/>
  <c r="H221" i="5"/>
  <c r="H139" i="2" s="1"/>
  <c r="I221" i="5"/>
  <c r="I139" i="2" s="1"/>
  <c r="J221" i="5"/>
  <c r="J139" i="2" s="1"/>
  <c r="K221" i="5"/>
  <c r="K139" i="2" s="1"/>
  <c r="B222" i="5"/>
  <c r="C222" i="5"/>
  <c r="D222" i="5"/>
  <c r="E222" i="5"/>
  <c r="F222" i="5"/>
  <c r="G222" i="5"/>
  <c r="H222" i="5"/>
  <c r="I222" i="5"/>
  <c r="J222" i="5"/>
  <c r="K222" i="5"/>
  <c r="B223" i="5"/>
  <c r="C223" i="5"/>
  <c r="D223" i="5"/>
  <c r="E223" i="5"/>
  <c r="F223" i="5"/>
  <c r="G223" i="5"/>
  <c r="H223" i="5"/>
  <c r="I223" i="5"/>
  <c r="J223" i="5"/>
  <c r="K223" i="5"/>
  <c r="B224" i="5"/>
  <c r="C224" i="5"/>
  <c r="D224" i="5"/>
  <c r="E224" i="5"/>
  <c r="F224" i="5"/>
  <c r="G224" i="5"/>
  <c r="H224" i="5"/>
  <c r="I224" i="5"/>
  <c r="J224" i="5"/>
  <c r="K224" i="5"/>
  <c r="B225" i="5"/>
  <c r="C225" i="5"/>
  <c r="D225" i="5"/>
  <c r="E225" i="5"/>
  <c r="F225" i="5"/>
  <c r="G225" i="5"/>
  <c r="H225" i="5"/>
  <c r="I225" i="5"/>
  <c r="J225" i="5"/>
  <c r="K225" i="5"/>
  <c r="B226" i="5"/>
  <c r="C226" i="5"/>
  <c r="D226" i="5"/>
  <c r="E226" i="5"/>
  <c r="F226" i="5"/>
  <c r="G226" i="5"/>
  <c r="H226" i="5"/>
  <c r="I226" i="5"/>
  <c r="J226" i="5"/>
  <c r="K226" i="5"/>
  <c r="B227" i="5"/>
  <c r="C227" i="5"/>
  <c r="D227" i="5"/>
  <c r="E227" i="5"/>
  <c r="F227" i="5"/>
  <c r="G227" i="5"/>
  <c r="H227" i="5"/>
  <c r="I227" i="5"/>
  <c r="J227" i="5"/>
  <c r="K227" i="5"/>
  <c r="B228" i="5"/>
  <c r="C228" i="5"/>
  <c r="D228" i="5"/>
  <c r="E228" i="5"/>
  <c r="F228" i="5"/>
  <c r="G228" i="5"/>
  <c r="H228" i="5"/>
  <c r="I228" i="5"/>
  <c r="J228" i="5"/>
  <c r="K228" i="5"/>
  <c r="B229" i="5"/>
  <c r="C229" i="5"/>
  <c r="D229" i="5"/>
  <c r="E229" i="5"/>
  <c r="F229" i="5"/>
  <c r="G229" i="5"/>
  <c r="H229" i="5"/>
  <c r="I229" i="5"/>
  <c r="J229" i="5"/>
  <c r="K229" i="5"/>
  <c r="B230" i="5"/>
  <c r="C230" i="5"/>
  <c r="D230" i="5"/>
  <c r="E230" i="5"/>
  <c r="F230" i="5"/>
  <c r="G230" i="5"/>
  <c r="H230" i="5"/>
  <c r="I230" i="5"/>
  <c r="J230" i="5"/>
  <c r="K230" i="5"/>
  <c r="B231" i="5"/>
  <c r="C231" i="5"/>
  <c r="D231" i="5"/>
  <c r="E231" i="5"/>
  <c r="F231" i="5"/>
  <c r="G231" i="5"/>
  <c r="H231" i="5"/>
  <c r="I231" i="5"/>
  <c r="J231" i="5"/>
  <c r="K231" i="5"/>
  <c r="B232" i="5"/>
  <c r="C232" i="5"/>
  <c r="D232" i="5"/>
  <c r="E232" i="5"/>
  <c r="F232" i="5"/>
  <c r="G232" i="5"/>
  <c r="H232" i="5"/>
  <c r="I232" i="5"/>
  <c r="J232" i="5"/>
  <c r="K232" i="5"/>
  <c r="B233" i="5"/>
  <c r="C233" i="5"/>
  <c r="D233" i="5"/>
  <c r="E233" i="5"/>
  <c r="F233" i="5"/>
  <c r="G233" i="5"/>
  <c r="H233" i="5"/>
  <c r="I233" i="5"/>
  <c r="J233" i="5"/>
  <c r="K233" i="5"/>
  <c r="B234" i="5"/>
  <c r="C234" i="5"/>
  <c r="D234" i="5"/>
  <c r="E234" i="5"/>
  <c r="F234" i="5"/>
  <c r="G234" i="5"/>
  <c r="H234" i="5"/>
  <c r="I234" i="5"/>
  <c r="J234" i="5"/>
  <c r="K234" i="5"/>
  <c r="B235" i="5"/>
  <c r="C235" i="5"/>
  <c r="D235" i="5"/>
  <c r="E235" i="5"/>
  <c r="F235" i="5"/>
  <c r="G235" i="5"/>
  <c r="H235" i="5"/>
  <c r="I235" i="5"/>
  <c r="J235" i="5"/>
  <c r="K235" i="5"/>
  <c r="B236" i="5"/>
  <c r="C236" i="5"/>
  <c r="D236" i="5"/>
  <c r="E236" i="5"/>
  <c r="F236" i="5"/>
  <c r="G236" i="5"/>
  <c r="H236" i="5"/>
  <c r="I236" i="5"/>
  <c r="J236" i="5"/>
  <c r="K236" i="5"/>
  <c r="B237" i="5"/>
  <c r="C237" i="5"/>
  <c r="D237" i="5"/>
  <c r="E237" i="5"/>
  <c r="F237" i="5"/>
  <c r="G237" i="5"/>
  <c r="H237" i="5"/>
  <c r="I237" i="5"/>
  <c r="J237" i="5"/>
  <c r="K237" i="5"/>
  <c r="B238" i="5"/>
  <c r="C238" i="5"/>
  <c r="D238" i="5"/>
  <c r="E238" i="5"/>
  <c r="F238" i="5"/>
  <c r="G238" i="5"/>
  <c r="H238" i="5"/>
  <c r="I238" i="5"/>
  <c r="J238" i="5"/>
  <c r="K238" i="5"/>
  <c r="B239" i="5"/>
  <c r="C239" i="5"/>
  <c r="D239" i="5"/>
  <c r="E239" i="5"/>
  <c r="F239" i="5"/>
  <c r="G239" i="5"/>
  <c r="H239" i="5"/>
  <c r="I239" i="5"/>
  <c r="J239" i="5"/>
  <c r="K239" i="5"/>
  <c r="B240" i="5"/>
  <c r="C240" i="5"/>
  <c r="D240" i="5"/>
  <c r="E240" i="5"/>
  <c r="F240" i="5"/>
  <c r="G240" i="5"/>
  <c r="H240" i="5"/>
  <c r="I240" i="5"/>
  <c r="J240" i="5"/>
  <c r="K240" i="5"/>
  <c r="B241" i="5"/>
  <c r="C241" i="5"/>
  <c r="D241" i="5"/>
  <c r="E241" i="5"/>
  <c r="F241" i="5"/>
  <c r="G241" i="5"/>
  <c r="H241" i="5"/>
  <c r="I241" i="5"/>
  <c r="J241" i="5"/>
  <c r="K241" i="5"/>
  <c r="B242" i="5"/>
  <c r="B149" i="2" s="1"/>
  <c r="B29" i="4" s="1"/>
  <c r="C242" i="5"/>
  <c r="C149" i="2" s="1"/>
  <c r="C29" i="4" s="1"/>
  <c r="D242" i="5"/>
  <c r="D149" i="2" s="1"/>
  <c r="D29" i="4" s="1"/>
  <c r="E242" i="5"/>
  <c r="E149" i="2" s="1"/>
  <c r="E29" i="4" s="1"/>
  <c r="F242" i="5"/>
  <c r="F149" i="2" s="1"/>
  <c r="F29" i="4" s="1"/>
  <c r="G242" i="5"/>
  <c r="G149" i="2" s="1"/>
  <c r="G29" i="4" s="1"/>
  <c r="H242" i="5"/>
  <c r="H149" i="2" s="1"/>
  <c r="H29" i="4" s="1"/>
  <c r="I242" i="5"/>
  <c r="I149" i="2" s="1"/>
  <c r="I29" i="4" s="1"/>
  <c r="J242" i="5"/>
  <c r="J149" i="2" s="1"/>
  <c r="J29" i="4" s="1"/>
  <c r="K242" i="5"/>
  <c r="K149" i="2" s="1"/>
  <c r="K29" i="4" s="1"/>
  <c r="B243" i="5"/>
  <c r="C243" i="5"/>
  <c r="D243" i="5"/>
  <c r="E243" i="5"/>
  <c r="F243" i="5"/>
  <c r="G243" i="5"/>
  <c r="H243" i="5"/>
  <c r="I243" i="5"/>
  <c r="J243" i="5"/>
  <c r="K243" i="5"/>
  <c r="B244" i="5"/>
  <c r="C244" i="5"/>
  <c r="D244" i="5"/>
  <c r="E244" i="5"/>
  <c r="F244" i="5"/>
  <c r="G244" i="5"/>
  <c r="H244" i="5"/>
  <c r="I244" i="5"/>
  <c r="J244" i="5"/>
  <c r="K244" i="5"/>
  <c r="B245" i="5"/>
  <c r="C245" i="5"/>
  <c r="D245" i="5"/>
  <c r="E245" i="5"/>
  <c r="F245" i="5"/>
  <c r="G245" i="5"/>
  <c r="H245" i="5"/>
  <c r="I245" i="5"/>
  <c r="J245" i="5"/>
  <c r="K245" i="5"/>
  <c r="B246" i="5"/>
  <c r="C246" i="5"/>
  <c r="D246" i="5"/>
  <c r="E246" i="5"/>
  <c r="F246" i="5"/>
  <c r="G246" i="5"/>
  <c r="H246" i="5"/>
  <c r="I246" i="5"/>
  <c r="J246" i="5"/>
  <c r="K246" i="5"/>
  <c r="B247" i="5"/>
  <c r="C247" i="5"/>
  <c r="D247" i="5"/>
  <c r="E247" i="5"/>
  <c r="F247" i="5"/>
  <c r="G247" i="5"/>
  <c r="H247" i="5"/>
  <c r="I247" i="5"/>
  <c r="J247" i="5"/>
  <c r="K247" i="5"/>
  <c r="B248" i="5"/>
  <c r="C248" i="5"/>
  <c r="D248" i="5"/>
  <c r="E248" i="5"/>
  <c r="F248" i="5"/>
  <c r="G248" i="5"/>
  <c r="H248" i="5"/>
  <c r="I248" i="5"/>
  <c r="J248" i="5"/>
  <c r="K248" i="5"/>
  <c r="B249" i="5"/>
  <c r="B152" i="2" s="1"/>
  <c r="C249" i="5"/>
  <c r="C152" i="2" s="1"/>
  <c r="D249" i="5"/>
  <c r="D152" i="2" s="1"/>
  <c r="E249" i="5"/>
  <c r="E152" i="2" s="1"/>
  <c r="F249" i="5"/>
  <c r="F152" i="2" s="1"/>
  <c r="G249" i="5"/>
  <c r="G152" i="2" s="1"/>
  <c r="H249" i="5"/>
  <c r="H152" i="2" s="1"/>
  <c r="I249" i="5"/>
  <c r="I152" i="2" s="1"/>
  <c r="J249" i="5"/>
  <c r="J152" i="2" s="1"/>
  <c r="K249" i="5"/>
  <c r="K152" i="2" s="1"/>
  <c r="B250" i="5"/>
  <c r="C250" i="5"/>
  <c r="D250" i="5"/>
  <c r="E250" i="5"/>
  <c r="F250" i="5"/>
  <c r="G250" i="5"/>
  <c r="H250" i="5"/>
  <c r="I250" i="5"/>
  <c r="J250" i="5"/>
  <c r="K250" i="5"/>
  <c r="C2" i="5"/>
  <c r="C76" i="2" s="1"/>
  <c r="D2" i="5"/>
  <c r="D39" i="2" s="1"/>
  <c r="E2" i="5"/>
  <c r="E39" i="2" s="1"/>
  <c r="F2" i="5"/>
  <c r="F39" i="2" s="1"/>
  <c r="G2" i="5"/>
  <c r="G39" i="2" s="1"/>
  <c r="H2" i="5"/>
  <c r="H39" i="2" s="1"/>
  <c r="I2" i="5"/>
  <c r="I39" i="2" s="1"/>
  <c r="J2" i="5"/>
  <c r="J39" i="2" s="1"/>
  <c r="K2" i="5"/>
  <c r="K76" i="2" s="1"/>
  <c r="B2" i="5"/>
  <c r="B39" i="2" s="1"/>
  <c r="A3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" i="5"/>
  <c r="C1" i="5"/>
  <c r="C1" i="2" s="1"/>
  <c r="C108" i="2" s="1"/>
  <c r="D1" i="5"/>
  <c r="D1" i="2" s="1"/>
  <c r="D108" i="2" s="1"/>
  <c r="E1" i="5"/>
  <c r="E1" i="2" s="1"/>
  <c r="E44" i="2" s="1"/>
  <c r="F1" i="5"/>
  <c r="F1" i="2" s="1"/>
  <c r="F44" i="2" s="1"/>
  <c r="G1" i="5"/>
  <c r="G1" i="2" s="1"/>
  <c r="G108" i="2" s="1"/>
  <c r="H1" i="5"/>
  <c r="H1" i="2" s="1"/>
  <c r="H108" i="2" s="1"/>
  <c r="I1" i="5"/>
  <c r="I1" i="2" s="1"/>
  <c r="I108" i="2" s="1"/>
  <c r="J1" i="5"/>
  <c r="J1" i="2" s="1"/>
  <c r="J108" i="2" s="1"/>
  <c r="K1" i="5"/>
  <c r="K1" i="2" s="1"/>
  <c r="K108" i="2" s="1"/>
  <c r="B1" i="5"/>
  <c r="B1" i="2" s="1"/>
  <c r="B108" i="2" s="1"/>
  <c r="K23" i="3" l="1"/>
  <c r="K31" i="3" s="1"/>
  <c r="K58" i="3"/>
  <c r="K64" i="3" s="1"/>
  <c r="G64" i="3"/>
  <c r="J58" i="3"/>
  <c r="J64" i="3" s="1"/>
  <c r="J23" i="3"/>
  <c r="J31" i="3" s="1"/>
  <c r="F23" i="3"/>
  <c r="F31" i="3" s="1"/>
  <c r="H58" i="3"/>
  <c r="H64" i="3" s="1"/>
  <c r="H23" i="3"/>
  <c r="H31" i="3" s="1"/>
  <c r="I58" i="3"/>
  <c r="I64" i="3" s="1"/>
  <c r="I23" i="3"/>
  <c r="I31" i="3" s="1"/>
  <c r="E31" i="3"/>
  <c r="E75" i="3"/>
  <c r="L23" i="3"/>
  <c r="L31" i="3" s="1"/>
  <c r="L58" i="3"/>
  <c r="L64" i="3" s="1"/>
  <c r="D23" i="3"/>
  <c r="D31" i="3" s="1"/>
  <c r="D58" i="3"/>
  <c r="D64" i="3" s="1"/>
  <c r="L75" i="3"/>
  <c r="D75" i="3"/>
  <c r="G75" i="3"/>
  <c r="K75" i="3"/>
  <c r="G23" i="3"/>
  <c r="G31" i="3" s="1"/>
  <c r="C69" i="3"/>
  <c r="C53" i="3"/>
  <c r="C47" i="3"/>
  <c r="C19" i="3"/>
  <c r="C36" i="3"/>
  <c r="G40" i="4"/>
  <c r="I13" i="4"/>
  <c r="I125" i="4" s="1"/>
  <c r="D13" i="4"/>
  <c r="D125" i="4" s="1"/>
  <c r="D52" i="4"/>
  <c r="E40" i="4"/>
  <c r="H13" i="4"/>
  <c r="H125" i="4" s="1"/>
  <c r="J111" i="2"/>
  <c r="J7" i="4" s="1"/>
  <c r="J9" i="4" s="1"/>
  <c r="J116" i="4" s="1"/>
  <c r="G13" i="4"/>
  <c r="G125" i="4" s="1"/>
  <c r="E13" i="4"/>
  <c r="E125" i="4" s="1"/>
  <c r="E52" i="4"/>
  <c r="G129" i="2"/>
  <c r="C13" i="4"/>
  <c r="C125" i="4" s="1"/>
  <c r="E111" i="2"/>
  <c r="E7" i="4" s="1"/>
  <c r="E9" i="4" s="1"/>
  <c r="E116" i="4" s="1"/>
  <c r="C52" i="4"/>
  <c r="D40" i="4"/>
  <c r="J13" i="4"/>
  <c r="J125" i="4" s="1"/>
  <c r="B13" i="4"/>
  <c r="B125" i="4" s="1"/>
  <c r="B52" i="4"/>
  <c r="C40" i="4"/>
  <c r="J40" i="4"/>
  <c r="H40" i="4"/>
  <c r="F13" i="4"/>
  <c r="F125" i="4" s="1"/>
  <c r="F52" i="4"/>
  <c r="G66" i="4"/>
  <c r="G218" i="4"/>
  <c r="I218" i="4"/>
  <c r="I66" i="4"/>
  <c r="J52" i="4"/>
  <c r="E41" i="4"/>
  <c r="F40" i="4"/>
  <c r="I52" i="4"/>
  <c r="K50" i="4"/>
  <c r="D41" i="4"/>
  <c r="H52" i="4"/>
  <c r="K41" i="4"/>
  <c r="C41" i="4"/>
  <c r="G52" i="4"/>
  <c r="J41" i="4"/>
  <c r="B41" i="4"/>
  <c r="I41" i="4"/>
  <c r="H41" i="4"/>
  <c r="G41" i="4"/>
  <c r="K218" i="4"/>
  <c r="H218" i="4"/>
  <c r="J218" i="4"/>
  <c r="F218" i="4"/>
  <c r="D218" i="4"/>
  <c r="C218" i="4"/>
  <c r="E218" i="4"/>
  <c r="B66" i="4"/>
  <c r="F129" i="2"/>
  <c r="D111" i="2"/>
  <c r="E129" i="2"/>
  <c r="K111" i="2"/>
  <c r="C111" i="2"/>
  <c r="H111" i="2"/>
  <c r="K1" i="3"/>
  <c r="J1" i="4" s="1"/>
  <c r="J56" i="4" s="1"/>
  <c r="J1" i="3"/>
  <c r="I1" i="4" s="1"/>
  <c r="I56" i="4" s="1"/>
  <c r="I1" i="3"/>
  <c r="H1" i="4" s="1"/>
  <c r="H56" i="4" s="1"/>
  <c r="H1" i="3"/>
  <c r="G1" i="4" s="1"/>
  <c r="G56" i="4" s="1"/>
  <c r="G1" i="3"/>
  <c r="F1" i="4" s="1"/>
  <c r="F56" i="4" s="1"/>
  <c r="G137" i="2"/>
  <c r="G28" i="4" s="1"/>
  <c r="G70" i="4" s="1"/>
  <c r="F1" i="3"/>
  <c r="E1" i="4" s="1"/>
  <c r="E56" i="4" s="1"/>
  <c r="E1" i="3"/>
  <c r="D1" i="4" s="1"/>
  <c r="D56" i="4" s="1"/>
  <c r="E61" i="2"/>
  <c r="L1" i="3"/>
  <c r="K1" i="4" s="1"/>
  <c r="K56" i="4" s="1"/>
  <c r="D1" i="3"/>
  <c r="C1" i="4" s="1"/>
  <c r="C56" i="4" s="1"/>
  <c r="K31" i="2"/>
  <c r="C31" i="2"/>
  <c r="I10" i="2"/>
  <c r="H137" i="2"/>
  <c r="H28" i="4" s="1"/>
  <c r="H70" i="4" s="1"/>
  <c r="J31" i="2"/>
  <c r="B31" i="2"/>
  <c r="H10" i="2"/>
  <c r="I31" i="2"/>
  <c r="G10" i="2"/>
  <c r="H31" i="2"/>
  <c r="F10" i="2"/>
  <c r="G31" i="2"/>
  <c r="E10" i="2"/>
  <c r="F31" i="2"/>
  <c r="D10" i="2"/>
  <c r="E31" i="2"/>
  <c r="K10" i="2"/>
  <c r="C10" i="2"/>
  <c r="J137" i="2"/>
  <c r="J28" i="4" s="1"/>
  <c r="J70" i="4" s="1"/>
  <c r="H129" i="2"/>
  <c r="D124" i="2"/>
  <c r="F111" i="2"/>
  <c r="D31" i="2"/>
  <c r="J10" i="2"/>
  <c r="B10" i="2"/>
  <c r="I137" i="2"/>
  <c r="I28" i="4" s="1"/>
  <c r="I70" i="4" s="1"/>
  <c r="K124" i="2"/>
  <c r="C124" i="2"/>
  <c r="C1" i="3"/>
  <c r="B1" i="4" s="1"/>
  <c r="B56" i="4" s="1"/>
  <c r="J124" i="2"/>
  <c r="B124" i="2"/>
  <c r="I124" i="2"/>
  <c r="I6" i="2"/>
  <c r="K81" i="2"/>
  <c r="F137" i="2"/>
  <c r="F28" i="4" s="1"/>
  <c r="F70" i="4" s="1"/>
  <c r="D129" i="2"/>
  <c r="H124" i="2"/>
  <c r="B111" i="2"/>
  <c r="B7" i="4" s="1"/>
  <c r="B128" i="4" s="1"/>
  <c r="B132" i="4" s="1"/>
  <c r="B136" i="4" s="1"/>
  <c r="K145" i="2"/>
  <c r="K23" i="4" s="1"/>
  <c r="C145" i="2"/>
  <c r="C23" i="4" s="1"/>
  <c r="E137" i="2"/>
  <c r="E28" i="4" s="1"/>
  <c r="E70" i="4" s="1"/>
  <c r="K129" i="2"/>
  <c r="C129" i="2"/>
  <c r="G124" i="2"/>
  <c r="I111" i="2"/>
  <c r="G80" i="2"/>
  <c r="D145" i="2"/>
  <c r="D23" i="4" s="1"/>
  <c r="D137" i="2"/>
  <c r="D28" i="4" s="1"/>
  <c r="D70" i="4" s="1"/>
  <c r="J129" i="2"/>
  <c r="F124" i="2"/>
  <c r="F6" i="2"/>
  <c r="I145" i="2"/>
  <c r="K137" i="2"/>
  <c r="K28" i="4" s="1"/>
  <c r="K70" i="4" s="1"/>
  <c r="C137" i="2"/>
  <c r="I129" i="2"/>
  <c r="E124" i="2"/>
  <c r="G111" i="2"/>
  <c r="K39" i="2"/>
  <c r="C39" i="2"/>
  <c r="J116" i="2"/>
  <c r="H116" i="2"/>
  <c r="H120" i="2" s="1"/>
  <c r="B44" i="2"/>
  <c r="D44" i="2"/>
  <c r="F108" i="2"/>
  <c r="K44" i="2"/>
  <c r="C44" i="2"/>
  <c r="E108" i="2"/>
  <c r="J44" i="2"/>
  <c r="I44" i="2"/>
  <c r="H44" i="2"/>
  <c r="G44" i="2"/>
  <c r="G116" i="2"/>
  <c r="K48" i="2"/>
  <c r="H145" i="2"/>
  <c r="F145" i="2"/>
  <c r="H48" i="2"/>
  <c r="D6" i="2"/>
  <c r="C48" i="2"/>
  <c r="E145" i="2"/>
  <c r="K6" i="2"/>
  <c r="C6" i="2"/>
  <c r="J6" i="2"/>
  <c r="B6" i="2"/>
  <c r="D61" i="2"/>
  <c r="H80" i="2"/>
  <c r="H6" i="2"/>
  <c r="B24" i="2"/>
  <c r="C65" i="2"/>
  <c r="C66" i="2" s="1"/>
  <c r="G6" i="2"/>
  <c r="J145" i="2"/>
  <c r="G145" i="2"/>
  <c r="E6" i="2"/>
  <c r="F116" i="2"/>
  <c r="C116" i="2"/>
  <c r="H140" i="2"/>
  <c r="G140" i="2"/>
  <c r="E116" i="2"/>
  <c r="D116" i="2"/>
  <c r="I116" i="2"/>
  <c r="K116" i="2"/>
  <c r="B116" i="2"/>
  <c r="G25" i="2"/>
  <c r="F25" i="2"/>
  <c r="C79" i="2"/>
  <c r="E80" i="2"/>
  <c r="I78" i="2"/>
  <c r="I30" i="2"/>
  <c r="I33" i="2" s="1"/>
  <c r="G20" i="2"/>
  <c r="K19" i="2"/>
  <c r="C19" i="2"/>
  <c r="G5" i="2"/>
  <c r="I24" i="2"/>
  <c r="E25" i="2"/>
  <c r="I50" i="2"/>
  <c r="H78" i="2"/>
  <c r="F20" i="2"/>
  <c r="D25" i="2"/>
  <c r="K25" i="2"/>
  <c r="C25" i="2"/>
  <c r="J25" i="2"/>
  <c r="B25" i="2"/>
  <c r="E30" i="2"/>
  <c r="I25" i="2"/>
  <c r="H25" i="2"/>
  <c r="B145" i="2"/>
  <c r="D59" i="2"/>
  <c r="D65" i="2"/>
  <c r="D66" i="2" s="1"/>
  <c r="D48" i="2"/>
  <c r="F79" i="2"/>
  <c r="D78" i="2"/>
  <c r="J20" i="2"/>
  <c r="B20" i="2"/>
  <c r="F19" i="2"/>
  <c r="B5" i="2"/>
  <c r="H14" i="2"/>
  <c r="H15" i="2" s="1"/>
  <c r="K59" i="2"/>
  <c r="C59" i="2"/>
  <c r="K78" i="2"/>
  <c r="C78" i="2"/>
  <c r="K30" i="2"/>
  <c r="C30" i="2"/>
  <c r="I20" i="2"/>
  <c r="E19" i="2"/>
  <c r="I5" i="2"/>
  <c r="K24" i="2"/>
  <c r="C24" i="2"/>
  <c r="F80" i="2"/>
  <c r="J30" i="2"/>
  <c r="B30" i="2"/>
  <c r="C39" i="3" s="1"/>
  <c r="B139" i="2"/>
  <c r="H30" i="2"/>
  <c r="B76" i="2"/>
  <c r="C45" i="3" s="1"/>
  <c r="E48" i="2"/>
  <c r="G61" i="2"/>
  <c r="E81" i="2"/>
  <c r="E78" i="2"/>
  <c r="G30" i="2"/>
  <c r="F12" i="2"/>
  <c r="I65" i="2"/>
  <c r="I66" i="2" s="1"/>
  <c r="I48" i="2"/>
  <c r="K69" i="2"/>
  <c r="E70" i="2"/>
  <c r="G69" i="2"/>
  <c r="I70" i="2"/>
  <c r="I54" i="2"/>
  <c r="E7" i="2"/>
  <c r="E14" i="2"/>
  <c r="E15" i="2" s="1"/>
  <c r="I81" i="2"/>
  <c r="K12" i="2"/>
  <c r="C12" i="2"/>
  <c r="H59" i="2"/>
  <c r="H65" i="2"/>
  <c r="H66" i="2" s="1"/>
  <c r="D50" i="2"/>
  <c r="F69" i="2"/>
  <c r="H70" i="2"/>
  <c r="H61" i="2"/>
  <c r="B79" i="2"/>
  <c r="C43" i="3" s="1"/>
  <c r="D80" i="2"/>
  <c r="B81" i="2"/>
  <c r="J19" i="2"/>
  <c r="B19" i="2"/>
  <c r="F5" i="2"/>
  <c r="D14" i="2"/>
  <c r="D15" i="2" s="1"/>
  <c r="H24" i="2"/>
  <c r="H26" i="2"/>
  <c r="H81" i="2"/>
  <c r="J12" i="2"/>
  <c r="E59" i="2"/>
  <c r="E62" i="2" s="1"/>
  <c r="G59" i="2"/>
  <c r="E65" i="2"/>
  <c r="E66" i="2" s="1"/>
  <c r="G65" i="2"/>
  <c r="G66" i="2" s="1"/>
  <c r="G48" i="2"/>
  <c r="K50" i="2"/>
  <c r="E69" i="2"/>
  <c r="G70" i="2"/>
  <c r="G79" i="2"/>
  <c r="I79" i="2"/>
  <c r="K80" i="2"/>
  <c r="C80" i="2"/>
  <c r="G78" i="2"/>
  <c r="G54" i="2"/>
  <c r="I7" i="2"/>
  <c r="C20" i="2"/>
  <c r="E20" i="2"/>
  <c r="G19" i="2"/>
  <c r="I19" i="2"/>
  <c r="K5" i="2"/>
  <c r="C5" i="2"/>
  <c r="E5" i="2"/>
  <c r="K14" i="2"/>
  <c r="K15" i="2" s="1"/>
  <c r="C14" i="2"/>
  <c r="C15" i="2" s="1"/>
  <c r="E24" i="2"/>
  <c r="G24" i="2"/>
  <c r="E26" i="2"/>
  <c r="G26" i="2"/>
  <c r="G81" i="2"/>
  <c r="I12" i="2"/>
  <c r="F59" i="2"/>
  <c r="F65" i="2"/>
  <c r="F66" i="2" s="1"/>
  <c r="F48" i="2"/>
  <c r="B50" i="2"/>
  <c r="D69" i="2"/>
  <c r="F70" i="2"/>
  <c r="F61" i="2"/>
  <c r="H79" i="2"/>
  <c r="J80" i="2"/>
  <c r="B80" i="2"/>
  <c r="F78" i="2"/>
  <c r="F33" i="2"/>
  <c r="D20" i="2"/>
  <c r="B7" i="2"/>
  <c r="B14" i="2"/>
  <c r="B15" i="2" s="1"/>
  <c r="F24" i="2"/>
  <c r="F81" i="2"/>
  <c r="H12" i="2"/>
  <c r="C69" i="2"/>
  <c r="I80" i="2"/>
  <c r="H50" i="2"/>
  <c r="B69" i="2"/>
  <c r="D54" i="2"/>
  <c r="H7" i="2"/>
  <c r="B26" i="2"/>
  <c r="D81" i="2"/>
  <c r="E54" i="2"/>
  <c r="G50" i="2"/>
  <c r="I69" i="2"/>
  <c r="C70" i="2"/>
  <c r="C61" i="2"/>
  <c r="E79" i="2"/>
  <c r="E51" i="4" s="1"/>
  <c r="C54" i="2"/>
  <c r="G7" i="2"/>
  <c r="C81" i="2"/>
  <c r="B59" i="2"/>
  <c r="B65" i="2"/>
  <c r="B66" i="2" s="1"/>
  <c r="C27" i="3" s="1"/>
  <c r="J48" i="2"/>
  <c r="B48" i="2"/>
  <c r="C14" i="3" s="1"/>
  <c r="F50" i="2"/>
  <c r="H69" i="2"/>
  <c r="J70" i="2"/>
  <c r="B70" i="2"/>
  <c r="J61" i="2"/>
  <c r="B61" i="2"/>
  <c r="D79" i="2"/>
  <c r="B78" i="2"/>
  <c r="C46" i="3" s="1"/>
  <c r="B54" i="2"/>
  <c r="D19" i="2"/>
  <c r="H5" i="2"/>
  <c r="J81" i="2"/>
  <c r="K65" i="2"/>
  <c r="K66" i="2" s="1"/>
  <c r="K70" i="2"/>
  <c r="K61" i="2"/>
  <c r="K54" i="2"/>
  <c r="G14" i="2"/>
  <c r="G15" i="2" s="1"/>
  <c r="K26" i="2"/>
  <c r="C26" i="2"/>
  <c r="E12" i="2"/>
  <c r="E76" i="2"/>
  <c r="B137" i="2"/>
  <c r="B28" i="4" s="1"/>
  <c r="B70" i="4" s="1"/>
  <c r="J59" i="2"/>
  <c r="J65" i="2"/>
  <c r="J66" i="2" s="1"/>
  <c r="J78" i="2"/>
  <c r="J54" i="2"/>
  <c r="H20" i="2"/>
  <c r="F7" i="2"/>
  <c r="F14" i="2"/>
  <c r="F15" i="2" s="1"/>
  <c r="J24" i="2"/>
  <c r="J26" i="2"/>
  <c r="D12" i="2"/>
  <c r="D76" i="2"/>
  <c r="I59" i="2"/>
  <c r="E50" i="2"/>
  <c r="I61" i="2"/>
  <c r="K79" i="2"/>
  <c r="I26" i="2"/>
  <c r="J79" i="2"/>
  <c r="H54" i="2"/>
  <c r="D7" i="2"/>
  <c r="B12" i="2"/>
  <c r="C25" i="3" s="1"/>
  <c r="J76" i="2"/>
  <c r="C50" i="2"/>
  <c r="K7" i="2"/>
  <c r="C7" i="2"/>
  <c r="I14" i="2"/>
  <c r="I15" i="2" s="1"/>
  <c r="I76" i="2"/>
  <c r="J50" i="2"/>
  <c r="F54" i="2"/>
  <c r="H19" i="2"/>
  <c r="D5" i="2"/>
  <c r="J7" i="2"/>
  <c r="J14" i="2"/>
  <c r="J15" i="2" s="1"/>
  <c r="F26" i="2"/>
  <c r="H76" i="2"/>
  <c r="K20" i="2"/>
  <c r="K21" i="2" s="1"/>
  <c r="B129" i="2"/>
  <c r="J69" i="2"/>
  <c r="D70" i="2"/>
  <c r="D33" i="2"/>
  <c r="J5" i="2"/>
  <c r="D24" i="2"/>
  <c r="D26" i="2"/>
  <c r="F76" i="2"/>
  <c r="G12" i="2"/>
  <c r="G76" i="2"/>
  <c r="J65" i="3" l="1"/>
  <c r="J41" i="3"/>
  <c r="D41" i="3"/>
  <c r="D65" i="3"/>
  <c r="G66" i="3"/>
  <c r="D66" i="3"/>
  <c r="I65" i="3"/>
  <c r="I41" i="3"/>
  <c r="H65" i="3"/>
  <c r="H41" i="3"/>
  <c r="K66" i="3"/>
  <c r="J66" i="3"/>
  <c r="I66" i="3"/>
  <c r="L41" i="3"/>
  <c r="L65" i="3"/>
  <c r="L66" i="3" s="1"/>
  <c r="H66" i="3"/>
  <c r="E41" i="3"/>
  <c r="E65" i="3"/>
  <c r="E66" i="3" s="1"/>
  <c r="F41" i="3"/>
  <c r="F65" i="3"/>
  <c r="F66" i="3" s="1"/>
  <c r="K65" i="3"/>
  <c r="K41" i="3"/>
  <c r="G41" i="3"/>
  <c r="G65" i="3"/>
  <c r="I140" i="2"/>
  <c r="C52" i="3"/>
  <c r="C54" i="3" s="1"/>
  <c r="J140" i="2"/>
  <c r="B27" i="2"/>
  <c r="C20" i="3"/>
  <c r="C21" i="3"/>
  <c r="C38" i="3"/>
  <c r="C29" i="3"/>
  <c r="C12" i="3"/>
  <c r="C37" i="3"/>
  <c r="C13" i="3"/>
  <c r="C11" i="3"/>
  <c r="C44" i="3"/>
  <c r="C48" i="3" s="1"/>
  <c r="E140" i="2"/>
  <c r="E33" i="2"/>
  <c r="D31" i="4" s="1"/>
  <c r="D71" i="4" s="1"/>
  <c r="D72" i="4" s="1"/>
  <c r="D140" i="2"/>
  <c r="B51" i="4"/>
  <c r="C146" i="2"/>
  <c r="D51" i="4"/>
  <c r="K146" i="2"/>
  <c r="D146" i="2"/>
  <c r="J59" i="4"/>
  <c r="K140" i="2"/>
  <c r="F140" i="2"/>
  <c r="I8" i="4"/>
  <c r="D62" i="2"/>
  <c r="J128" i="4"/>
  <c r="J132" i="4" s="1"/>
  <c r="J136" i="4" s="1"/>
  <c r="E128" i="4"/>
  <c r="E132" i="4" s="1"/>
  <c r="E136" i="4" s="1"/>
  <c r="H51" i="4"/>
  <c r="E59" i="4"/>
  <c r="D8" i="4"/>
  <c r="G50" i="4"/>
  <c r="J42" i="4"/>
  <c r="J43" i="4"/>
  <c r="J50" i="4"/>
  <c r="H32" i="4"/>
  <c r="H115" i="4" s="1"/>
  <c r="C42" i="4"/>
  <c r="C43" i="4"/>
  <c r="F33" i="4"/>
  <c r="F119" i="4" s="1"/>
  <c r="G51" i="4"/>
  <c r="H21" i="4"/>
  <c r="H22" i="4"/>
  <c r="B146" i="2"/>
  <c r="C5" i="3" s="1"/>
  <c r="B23" i="4"/>
  <c r="B120" i="2"/>
  <c r="B11" i="4"/>
  <c r="B120" i="4" s="1"/>
  <c r="B10" i="4"/>
  <c r="E146" i="2"/>
  <c r="E23" i="4"/>
  <c r="B49" i="4"/>
  <c r="F49" i="4"/>
  <c r="J32" i="4"/>
  <c r="J115" i="4" s="1"/>
  <c r="J117" i="4" s="1"/>
  <c r="G44" i="4"/>
  <c r="G45" i="4"/>
  <c r="B44" i="4"/>
  <c r="B45" i="4"/>
  <c r="H42" i="4"/>
  <c r="H43" i="4"/>
  <c r="B20" i="4"/>
  <c r="H44" i="4"/>
  <c r="H45" i="4"/>
  <c r="F21" i="4"/>
  <c r="F22" i="4"/>
  <c r="J45" i="4"/>
  <c r="J44" i="4"/>
  <c r="K120" i="2"/>
  <c r="K10" i="4"/>
  <c r="K11" i="4"/>
  <c r="K120" i="4" s="1"/>
  <c r="C120" i="2"/>
  <c r="C10" i="4"/>
  <c r="C11" i="4"/>
  <c r="C120" i="4" s="1"/>
  <c r="H34" i="4"/>
  <c r="H123" i="4" s="1"/>
  <c r="H35" i="4"/>
  <c r="C33" i="4"/>
  <c r="C119" i="4" s="1"/>
  <c r="D7" i="4"/>
  <c r="C8" i="4"/>
  <c r="B59" i="4"/>
  <c r="G49" i="4"/>
  <c r="D50" i="4"/>
  <c r="E42" i="4"/>
  <c r="E43" i="4"/>
  <c r="C44" i="4"/>
  <c r="C45" i="4"/>
  <c r="G42" i="4"/>
  <c r="G43" i="4"/>
  <c r="I120" i="2"/>
  <c r="I121" i="2" s="1"/>
  <c r="I123" i="2" s="1"/>
  <c r="I10" i="4"/>
  <c r="I11" i="4"/>
  <c r="I120" i="4" s="1"/>
  <c r="F120" i="2"/>
  <c r="F10" i="4"/>
  <c r="F11" i="4"/>
  <c r="F120" i="4" s="1"/>
  <c r="D35" i="4"/>
  <c r="D34" i="4"/>
  <c r="D123" i="4" s="1"/>
  <c r="H10" i="4"/>
  <c r="H11" i="4"/>
  <c r="H120" i="4" s="1"/>
  <c r="C140" i="2"/>
  <c r="C28" i="4"/>
  <c r="C70" i="4" s="1"/>
  <c r="F7" i="4"/>
  <c r="E8" i="4"/>
  <c r="C49" i="4"/>
  <c r="H49" i="4"/>
  <c r="H50" i="4"/>
  <c r="I50" i="4"/>
  <c r="D44" i="4"/>
  <c r="D45" i="4"/>
  <c r="J21" i="4"/>
  <c r="J22" i="4"/>
  <c r="B33" i="4"/>
  <c r="B119" i="4" s="1"/>
  <c r="I44" i="4"/>
  <c r="I45" i="4"/>
  <c r="E32" i="4"/>
  <c r="E115" i="4" s="1"/>
  <c r="E117" i="4" s="1"/>
  <c r="K44" i="4"/>
  <c r="K45" i="4"/>
  <c r="E34" i="4"/>
  <c r="E123" i="4" s="1"/>
  <c r="E35" i="4"/>
  <c r="H33" i="4"/>
  <c r="H119" i="4" s="1"/>
  <c r="J120" i="2"/>
  <c r="J10" i="4"/>
  <c r="J11" i="4"/>
  <c r="J120" i="4" s="1"/>
  <c r="I7" i="4"/>
  <c r="H8" i="4"/>
  <c r="H7" i="4"/>
  <c r="G8" i="4"/>
  <c r="I49" i="4"/>
  <c r="J33" i="4"/>
  <c r="J119" i="4" s="1"/>
  <c r="B43" i="4"/>
  <c r="B42" i="4"/>
  <c r="C32" i="4"/>
  <c r="C115" i="4" s="1"/>
  <c r="G33" i="4"/>
  <c r="G119" i="4" s="1"/>
  <c r="K42" i="4"/>
  <c r="K43" i="4"/>
  <c r="E33" i="4"/>
  <c r="E119" i="4" s="1"/>
  <c r="F51" i="4"/>
  <c r="G146" i="2"/>
  <c r="G23" i="4"/>
  <c r="B35" i="4"/>
  <c r="B34" i="4"/>
  <c r="B123" i="4" s="1"/>
  <c r="F146" i="2"/>
  <c r="F23" i="4"/>
  <c r="I146" i="2"/>
  <c r="I23" i="4"/>
  <c r="E49" i="4"/>
  <c r="B22" i="4"/>
  <c r="B21" i="4"/>
  <c r="I42" i="4"/>
  <c r="I43" i="4"/>
  <c r="K32" i="4"/>
  <c r="K115" i="4" s="1"/>
  <c r="G21" i="4"/>
  <c r="G22" i="4"/>
  <c r="I33" i="4"/>
  <c r="I119" i="4" s="1"/>
  <c r="B50" i="4"/>
  <c r="I32" i="4"/>
  <c r="I115" i="4" s="1"/>
  <c r="D33" i="4"/>
  <c r="D119" i="4" s="1"/>
  <c r="C51" i="4"/>
  <c r="D120" i="2"/>
  <c r="D11" i="4"/>
  <c r="D120" i="4" s="1"/>
  <c r="D10" i="4"/>
  <c r="J146" i="2"/>
  <c r="J23" i="4"/>
  <c r="J34" i="4"/>
  <c r="J123" i="4" s="1"/>
  <c r="J35" i="4"/>
  <c r="H146" i="2"/>
  <c r="H23" i="4"/>
  <c r="F34" i="4"/>
  <c r="F123" i="4" s="1"/>
  <c r="F35" i="4"/>
  <c r="B8" i="4"/>
  <c r="C7" i="4"/>
  <c r="F50" i="4"/>
  <c r="J51" i="4"/>
  <c r="K49" i="4"/>
  <c r="E50" i="4"/>
  <c r="K21" i="4"/>
  <c r="K22" i="4"/>
  <c r="D43" i="4"/>
  <c r="D42" i="4"/>
  <c r="E21" i="4"/>
  <c r="E22" i="4"/>
  <c r="F32" i="4"/>
  <c r="F115" i="4" s="1"/>
  <c r="F42" i="4"/>
  <c r="F43" i="4"/>
  <c r="I22" i="4"/>
  <c r="I21" i="4"/>
  <c r="D21" i="4"/>
  <c r="D22" i="4"/>
  <c r="G32" i="4"/>
  <c r="G115" i="4" s="1"/>
  <c r="E120" i="2"/>
  <c r="E10" i="4"/>
  <c r="E11" i="4"/>
  <c r="E120" i="4" s="1"/>
  <c r="H121" i="2"/>
  <c r="H123" i="2" s="1"/>
  <c r="G34" i="4"/>
  <c r="G123" i="4" s="1"/>
  <c r="G35" i="4"/>
  <c r="C34" i="4"/>
  <c r="C123" i="4" s="1"/>
  <c r="C35" i="4"/>
  <c r="K33" i="4"/>
  <c r="K119" i="4" s="1"/>
  <c r="K7" i="4"/>
  <c r="J8" i="4"/>
  <c r="J49" i="4"/>
  <c r="D49" i="4"/>
  <c r="D32" i="4"/>
  <c r="D115" i="4" s="1"/>
  <c r="E44" i="4"/>
  <c r="E45" i="4"/>
  <c r="I51" i="4"/>
  <c r="F44" i="4"/>
  <c r="F45" i="4"/>
  <c r="B32" i="4"/>
  <c r="B115" i="4" s="1"/>
  <c r="C21" i="4"/>
  <c r="C22" i="4"/>
  <c r="K34" i="4"/>
  <c r="K123" i="4" s="1"/>
  <c r="K35" i="4"/>
  <c r="G120" i="2"/>
  <c r="G10" i="4"/>
  <c r="G11" i="4"/>
  <c r="G120" i="4" s="1"/>
  <c r="G7" i="4"/>
  <c r="F8" i="4"/>
  <c r="I34" i="4"/>
  <c r="I123" i="4" s="1"/>
  <c r="I35" i="4"/>
  <c r="B9" i="4"/>
  <c r="B116" i="4" s="1"/>
  <c r="C50" i="4"/>
  <c r="H55" i="2"/>
  <c r="K55" i="2"/>
  <c r="D55" i="2"/>
  <c r="G55" i="2"/>
  <c r="F55" i="2"/>
  <c r="E55" i="2"/>
  <c r="I55" i="2"/>
  <c r="J55" i="2"/>
  <c r="C55" i="2"/>
  <c r="C21" i="2"/>
  <c r="B55" i="2"/>
  <c r="H33" i="2"/>
  <c r="H31" i="4" s="1"/>
  <c r="H71" i="4" s="1"/>
  <c r="H72" i="4" s="1"/>
  <c r="C6" i="3"/>
  <c r="C59" i="3" s="1"/>
  <c r="C28" i="3"/>
  <c r="H51" i="2"/>
  <c r="G33" i="2"/>
  <c r="F31" i="4" s="1"/>
  <c r="F71" i="4" s="1"/>
  <c r="F72" i="4" s="1"/>
  <c r="B33" i="2"/>
  <c r="C33" i="2"/>
  <c r="C31" i="4" s="1"/>
  <c r="C71" i="4" s="1"/>
  <c r="B94" i="2"/>
  <c r="J33" i="2"/>
  <c r="K33" i="2"/>
  <c r="K31" i="4" s="1"/>
  <c r="K71" i="4" s="1"/>
  <c r="K72" i="4" s="1"/>
  <c r="K51" i="2"/>
  <c r="B8" i="2"/>
  <c r="I51" i="2"/>
  <c r="H27" i="2"/>
  <c r="K77" i="2"/>
  <c r="C51" i="2"/>
  <c r="J21" i="2"/>
  <c r="E21" i="2"/>
  <c r="I27" i="2"/>
  <c r="I73" i="2"/>
  <c r="G21" i="2"/>
  <c r="F21" i="2"/>
  <c r="I21" i="2"/>
  <c r="H77" i="2"/>
  <c r="G62" i="2"/>
  <c r="C8" i="2"/>
  <c r="E73" i="2"/>
  <c r="K8" i="2"/>
  <c r="B77" i="2"/>
  <c r="B51" i="2"/>
  <c r="H73" i="2"/>
  <c r="E8" i="2"/>
  <c r="I8" i="2"/>
  <c r="E27" i="2"/>
  <c r="G27" i="2"/>
  <c r="J62" i="2"/>
  <c r="H62" i="2"/>
  <c r="F62" i="2"/>
  <c r="B140" i="2"/>
  <c r="C34" i="3" s="1"/>
  <c r="J73" i="2"/>
  <c r="I62" i="2"/>
  <c r="J51" i="2"/>
  <c r="F77" i="2"/>
  <c r="F51" i="2"/>
  <c r="F73" i="2"/>
  <c r="B73" i="2"/>
  <c r="I77" i="2"/>
  <c r="B62" i="2"/>
  <c r="C73" i="2"/>
  <c r="D73" i="2"/>
  <c r="G77" i="2"/>
  <c r="G51" i="2"/>
  <c r="G73" i="2"/>
  <c r="E51" i="2"/>
  <c r="J77" i="2"/>
  <c r="K73" i="2"/>
  <c r="K30" i="4" s="1"/>
  <c r="C77" i="2"/>
  <c r="D77" i="2"/>
  <c r="C62" i="2"/>
  <c r="E77" i="2"/>
  <c r="K62" i="2"/>
  <c r="D51" i="2"/>
  <c r="B21" i="2"/>
  <c r="G8" i="2"/>
  <c r="H21" i="2"/>
  <c r="K27" i="2"/>
  <c r="F27" i="2"/>
  <c r="C27" i="2"/>
  <c r="C26" i="3" s="1"/>
  <c r="D21" i="2"/>
  <c r="F8" i="2"/>
  <c r="H8" i="2"/>
  <c r="J8" i="2"/>
  <c r="D8" i="2"/>
  <c r="D27" i="2"/>
  <c r="J27" i="2"/>
  <c r="F49" i="3" l="1"/>
  <c r="F55" i="3" s="1"/>
  <c r="F56" i="3" s="1"/>
  <c r="F76" i="3"/>
  <c r="F77" i="3" s="1"/>
  <c r="E49" i="3"/>
  <c r="E55" i="3" s="1"/>
  <c r="E56" i="3" s="1"/>
  <c r="E76" i="3"/>
  <c r="E77" i="3" s="1"/>
  <c r="K49" i="3"/>
  <c r="K55" i="3" s="1"/>
  <c r="K56" i="3" s="1"/>
  <c r="K76" i="3"/>
  <c r="K77" i="3" s="1"/>
  <c r="D76" i="3"/>
  <c r="D77" i="3" s="1"/>
  <c r="D49" i="3"/>
  <c r="D55" i="3" s="1"/>
  <c r="D56" i="3" s="1"/>
  <c r="G76" i="3"/>
  <c r="G77" i="3" s="1"/>
  <c r="G49" i="3"/>
  <c r="G55" i="3" s="1"/>
  <c r="G56" i="3" s="1"/>
  <c r="L76" i="3"/>
  <c r="L77" i="3" s="1"/>
  <c r="L49" i="3"/>
  <c r="L55" i="3" s="1"/>
  <c r="L56" i="3" s="1"/>
  <c r="I76" i="3"/>
  <c r="I77" i="3" s="1"/>
  <c r="I49" i="3"/>
  <c r="I55" i="3" s="1"/>
  <c r="I56" i="3" s="1"/>
  <c r="J76" i="3"/>
  <c r="J77" i="3" s="1"/>
  <c r="J49" i="3"/>
  <c r="J55" i="3" s="1"/>
  <c r="J56" i="3" s="1"/>
  <c r="H76" i="3"/>
  <c r="H77" i="3" s="1"/>
  <c r="H49" i="3"/>
  <c r="H55" i="3" s="1"/>
  <c r="H56" i="3" s="1"/>
  <c r="C16" i="3"/>
  <c r="C30" i="3"/>
  <c r="K121" i="4"/>
  <c r="K160" i="4"/>
  <c r="J121" i="4"/>
  <c r="C17" i="3"/>
  <c r="C18" i="3" s="1"/>
  <c r="C22" i="3" s="1"/>
  <c r="C160" i="4"/>
  <c r="E31" i="4"/>
  <c r="E71" i="4" s="1"/>
  <c r="E72" i="4" s="1"/>
  <c r="B160" i="4"/>
  <c r="K67" i="4"/>
  <c r="K68" i="4" s="1"/>
  <c r="K24" i="4"/>
  <c r="D160" i="4"/>
  <c r="J160" i="4"/>
  <c r="H121" i="4"/>
  <c r="G121" i="4"/>
  <c r="E160" i="4"/>
  <c r="B31" i="4"/>
  <c r="B71" i="4" s="1"/>
  <c r="B72" i="4" s="1"/>
  <c r="I160" i="4"/>
  <c r="F121" i="4"/>
  <c r="H30" i="4"/>
  <c r="I121" i="4"/>
  <c r="C72" i="4"/>
  <c r="F160" i="4"/>
  <c r="I125" i="2"/>
  <c r="I131" i="2" s="1"/>
  <c r="I134" i="2" s="1"/>
  <c r="I5" i="4"/>
  <c r="I222" i="4" s="1"/>
  <c r="H160" i="4"/>
  <c r="K20" i="4"/>
  <c r="K156" i="4" s="1"/>
  <c r="K161" i="4" s="1"/>
  <c r="K19" i="4"/>
  <c r="C129" i="4"/>
  <c r="F129" i="4"/>
  <c r="F121" i="2"/>
  <c r="F123" i="2" s="1"/>
  <c r="F12" i="4"/>
  <c r="F124" i="4" s="1"/>
  <c r="F126" i="4" s="1"/>
  <c r="C84" i="2"/>
  <c r="C53" i="4"/>
  <c r="C30" i="4"/>
  <c r="J37" i="4"/>
  <c r="J36" i="4"/>
  <c r="G36" i="4"/>
  <c r="G37" i="4"/>
  <c r="J30" i="4"/>
  <c r="E36" i="4"/>
  <c r="E37" i="4"/>
  <c r="H84" i="2"/>
  <c r="H53" i="4"/>
  <c r="B37" i="4"/>
  <c r="B36" i="4"/>
  <c r="E121" i="2"/>
  <c r="E123" i="2" s="1"/>
  <c r="E12" i="4"/>
  <c r="E124" i="4" s="1"/>
  <c r="E126" i="4" s="1"/>
  <c r="K51" i="4"/>
  <c r="D9" i="4"/>
  <c r="D116" i="4" s="1"/>
  <c r="D117" i="4" s="1"/>
  <c r="D185" i="4"/>
  <c r="D128" i="4"/>
  <c r="D59" i="4"/>
  <c r="C121" i="2"/>
  <c r="C123" i="2" s="1"/>
  <c r="C12" i="4"/>
  <c r="C124" i="4" s="1"/>
  <c r="C126" i="4" s="1"/>
  <c r="D36" i="4"/>
  <c r="D37" i="4"/>
  <c r="G128" i="4"/>
  <c r="G185" i="4"/>
  <c r="G9" i="4"/>
  <c r="G116" i="4" s="1"/>
  <c r="G117" i="4" s="1"/>
  <c r="G59" i="4"/>
  <c r="C121" i="4"/>
  <c r="B156" i="4"/>
  <c r="B161" i="4" s="1"/>
  <c r="D19" i="4"/>
  <c r="D20" i="4"/>
  <c r="D156" i="4" s="1"/>
  <c r="D161" i="4" s="1"/>
  <c r="D95" i="2"/>
  <c r="D30" i="4"/>
  <c r="J38" i="4"/>
  <c r="J39" i="4"/>
  <c r="J148" i="4" s="1"/>
  <c r="J152" i="4" s="1"/>
  <c r="C36" i="4"/>
  <c r="C37" i="4"/>
  <c r="I38" i="4"/>
  <c r="I39" i="4"/>
  <c r="I148" i="4" s="1"/>
  <c r="I152" i="4" s="1"/>
  <c r="I36" i="4"/>
  <c r="I37" i="4"/>
  <c r="F36" i="4"/>
  <c r="F37" i="4"/>
  <c r="B121" i="2"/>
  <c r="B123" i="2" s="1"/>
  <c r="B12" i="4"/>
  <c r="B124" i="4" s="1"/>
  <c r="B126" i="4" s="1"/>
  <c r="D84" i="2"/>
  <c r="D53" i="4"/>
  <c r="E19" i="4"/>
  <c r="E20" i="4"/>
  <c r="E156" i="4" s="1"/>
  <c r="E161" i="4" s="1"/>
  <c r="I129" i="4"/>
  <c r="K129" i="4"/>
  <c r="J121" i="2"/>
  <c r="J123" i="2" s="1"/>
  <c r="J12" i="4"/>
  <c r="J124" i="4" s="1"/>
  <c r="J126" i="4" s="1"/>
  <c r="H36" i="4"/>
  <c r="H37" i="4"/>
  <c r="J84" i="2"/>
  <c r="J53" i="4"/>
  <c r="I84" i="2"/>
  <c r="I53" i="4"/>
  <c r="D38" i="4"/>
  <c r="D39" i="4"/>
  <c r="D148" i="4" s="1"/>
  <c r="D152" i="4" s="1"/>
  <c r="J185" i="4"/>
  <c r="G129" i="4"/>
  <c r="D121" i="2"/>
  <c r="D123" i="2" s="1"/>
  <c r="D12" i="4"/>
  <c r="D124" i="4" s="1"/>
  <c r="D126" i="4" s="1"/>
  <c r="E121" i="4"/>
  <c r="H59" i="4"/>
  <c r="H185" i="4"/>
  <c r="H9" i="4"/>
  <c r="H116" i="4" s="1"/>
  <c r="H117" i="4" s="1"/>
  <c r="H128" i="4"/>
  <c r="H132" i="4" s="1"/>
  <c r="D129" i="4"/>
  <c r="I12" i="4"/>
  <c r="I124" i="4" s="1"/>
  <c r="I126" i="4" s="1"/>
  <c r="G30" i="4"/>
  <c r="F95" i="2"/>
  <c r="F30" i="4"/>
  <c r="B84" i="2"/>
  <c r="B53" i="4"/>
  <c r="K84" i="2"/>
  <c r="K53" i="4"/>
  <c r="G31" i="4"/>
  <c r="G71" i="4" s="1"/>
  <c r="G72" i="4" s="1"/>
  <c r="K9" i="4"/>
  <c r="K116" i="4" s="1"/>
  <c r="K117" i="4" s="1"/>
  <c r="K128" i="4"/>
  <c r="K185" i="4"/>
  <c r="K59" i="4"/>
  <c r="E129" i="4"/>
  <c r="E130" i="4" s="1"/>
  <c r="K121" i="2"/>
  <c r="K123" i="2" s="1"/>
  <c r="K12" i="4"/>
  <c r="K124" i="4" s="1"/>
  <c r="K126" i="4" s="1"/>
  <c r="B117" i="4"/>
  <c r="C9" i="4"/>
  <c r="C116" i="4" s="1"/>
  <c r="C117" i="4" s="1"/>
  <c r="C185" i="4"/>
  <c r="C128" i="4"/>
  <c r="C59" i="4"/>
  <c r="J129" i="4"/>
  <c r="J130" i="4" s="1"/>
  <c r="D121" i="4"/>
  <c r="G160" i="4"/>
  <c r="B129" i="4"/>
  <c r="B130" i="4" s="1"/>
  <c r="I59" i="4"/>
  <c r="I9" i="4"/>
  <c r="I116" i="4" s="1"/>
  <c r="I117" i="4" s="1"/>
  <c r="I185" i="4"/>
  <c r="I128" i="4"/>
  <c r="E185" i="4"/>
  <c r="H129" i="4"/>
  <c r="E38" i="4"/>
  <c r="E39" i="4"/>
  <c r="E148" i="4" s="1"/>
  <c r="E152" i="4" s="1"/>
  <c r="B30" i="4"/>
  <c r="B39" i="4"/>
  <c r="B148" i="4" s="1"/>
  <c r="B152" i="4" s="1"/>
  <c r="B38" i="4"/>
  <c r="C56" i="2"/>
  <c r="C38" i="4"/>
  <c r="C39" i="4"/>
  <c r="C148" i="4" s="1"/>
  <c r="C152" i="4" s="1"/>
  <c r="K56" i="2"/>
  <c r="K38" i="4"/>
  <c r="K39" i="4"/>
  <c r="K148" i="4" s="1"/>
  <c r="K152" i="4" s="1"/>
  <c r="C20" i="4"/>
  <c r="C156" i="4" s="1"/>
  <c r="C161" i="4" s="1"/>
  <c r="C19" i="4"/>
  <c r="E84" i="2"/>
  <c r="E53" i="4"/>
  <c r="G38" i="4"/>
  <c r="G39" i="4"/>
  <c r="G148" i="4" s="1"/>
  <c r="G152" i="4" s="1"/>
  <c r="F56" i="2"/>
  <c r="F38" i="4"/>
  <c r="F39" i="4"/>
  <c r="F148" i="4" s="1"/>
  <c r="F152" i="4" s="1"/>
  <c r="K36" i="4"/>
  <c r="K37" i="4"/>
  <c r="K147" i="4" s="1"/>
  <c r="I95" i="2"/>
  <c r="I30" i="4"/>
  <c r="H39" i="4"/>
  <c r="H148" i="4" s="1"/>
  <c r="H152" i="4" s="1"/>
  <c r="H38" i="4"/>
  <c r="G121" i="2"/>
  <c r="G123" i="2" s="1"/>
  <c r="G12" i="4"/>
  <c r="G124" i="4" s="1"/>
  <c r="G126" i="4" s="1"/>
  <c r="H12" i="4"/>
  <c r="H124" i="4" s="1"/>
  <c r="H126" i="4" s="1"/>
  <c r="J19" i="4"/>
  <c r="J20" i="4"/>
  <c r="J156" i="4" s="1"/>
  <c r="J161" i="4" s="1"/>
  <c r="F19" i="4"/>
  <c r="F20" i="4"/>
  <c r="F156" i="4" s="1"/>
  <c r="F161" i="4" s="1"/>
  <c r="G84" i="2"/>
  <c r="G53" i="4"/>
  <c r="F84" i="2"/>
  <c r="F53" i="4"/>
  <c r="G19" i="4"/>
  <c r="G20" i="4"/>
  <c r="G156" i="4" s="1"/>
  <c r="G161" i="4" s="1"/>
  <c r="E95" i="2"/>
  <c r="E30" i="4"/>
  <c r="I19" i="4"/>
  <c r="I20" i="4"/>
  <c r="I156" i="4" s="1"/>
  <c r="I161" i="4" s="1"/>
  <c r="H19" i="4"/>
  <c r="H20" i="4"/>
  <c r="H156" i="4" s="1"/>
  <c r="H161" i="4" s="1"/>
  <c r="J31" i="4"/>
  <c r="J71" i="4" s="1"/>
  <c r="J72" i="4" s="1"/>
  <c r="H125" i="2"/>
  <c r="H131" i="2" s="1"/>
  <c r="H5" i="4"/>
  <c r="H222" i="4" s="1"/>
  <c r="B121" i="4"/>
  <c r="F59" i="4"/>
  <c r="F9" i="4"/>
  <c r="F116" i="4" s="1"/>
  <c r="F117" i="4" s="1"/>
  <c r="F185" i="4"/>
  <c r="F128" i="4"/>
  <c r="B19" i="4"/>
  <c r="B185" i="4"/>
  <c r="I31" i="4"/>
  <c r="I71" i="4" s="1"/>
  <c r="I72" i="4" s="1"/>
  <c r="D56" i="2"/>
  <c r="E56" i="2"/>
  <c r="B56" i="2"/>
  <c r="J56" i="2"/>
  <c r="G56" i="2"/>
  <c r="H56" i="2"/>
  <c r="I56" i="2"/>
  <c r="K95" i="2"/>
  <c r="J95" i="2"/>
  <c r="G95" i="2"/>
  <c r="B101" i="2"/>
  <c r="H16" i="2"/>
  <c r="H35" i="2" s="1"/>
  <c r="H97" i="2" s="1"/>
  <c r="H101" i="2"/>
  <c r="B16" i="2"/>
  <c r="K16" i="2"/>
  <c r="K35" i="2" s="1"/>
  <c r="K101" i="2"/>
  <c r="F16" i="2"/>
  <c r="F35" i="2" s="1"/>
  <c r="F97" i="2" s="1"/>
  <c r="F101" i="2"/>
  <c r="H95" i="2"/>
  <c r="E94" i="2"/>
  <c r="C16" i="2"/>
  <c r="C35" i="2" s="1"/>
  <c r="C101" i="2"/>
  <c r="D94" i="2"/>
  <c r="J16" i="2"/>
  <c r="J35" i="2" s="1"/>
  <c r="J97" i="2" s="1"/>
  <c r="J101" i="2"/>
  <c r="G16" i="2"/>
  <c r="G101" i="2"/>
  <c r="I94" i="2"/>
  <c r="H94" i="2"/>
  <c r="I16" i="2"/>
  <c r="I35" i="2" s="1"/>
  <c r="I101" i="2"/>
  <c r="C95" i="2"/>
  <c r="G94" i="2"/>
  <c r="C94" i="2"/>
  <c r="B18" i="4" s="1"/>
  <c r="B75" i="4" s="1"/>
  <c r="B76" i="4" s="1"/>
  <c r="J94" i="2"/>
  <c r="F94" i="2"/>
  <c r="E16" i="2"/>
  <c r="E101" i="2"/>
  <c r="B95" i="2"/>
  <c r="K94" i="2"/>
  <c r="D16" i="2"/>
  <c r="D101" i="2"/>
  <c r="I141" i="2" l="1"/>
  <c r="I148" i="2" s="1"/>
  <c r="I150" i="2" s="1"/>
  <c r="D86" i="2"/>
  <c r="C86" i="2"/>
  <c r="D67" i="4"/>
  <c r="D68" i="4" s="1"/>
  <c r="D24" i="4"/>
  <c r="D202" i="4" s="1"/>
  <c r="E67" i="4"/>
  <c r="E68" i="4" s="1"/>
  <c r="E24" i="4"/>
  <c r="E202" i="4" s="1"/>
  <c r="F67" i="4"/>
  <c r="F68" i="4" s="1"/>
  <c r="F24" i="4"/>
  <c r="F202" i="4" s="1"/>
  <c r="F86" i="2"/>
  <c r="F89" i="2" s="1"/>
  <c r="B67" i="4"/>
  <c r="B68" i="4" s="1"/>
  <c r="B24" i="4"/>
  <c r="B202" i="4" s="1"/>
  <c r="G67" i="4"/>
  <c r="G68" i="4" s="1"/>
  <c r="G24" i="4"/>
  <c r="G202" i="4" s="1"/>
  <c r="C67" i="4"/>
  <c r="C68" i="4" s="1"/>
  <c r="C24" i="4"/>
  <c r="C202" i="4" s="1"/>
  <c r="H67" i="4"/>
  <c r="H68" i="4" s="1"/>
  <c r="H24" i="4"/>
  <c r="I67" i="4"/>
  <c r="I68" i="4" s="1"/>
  <c r="I24" i="4"/>
  <c r="I202" i="4" s="1"/>
  <c r="K26" i="4"/>
  <c r="K25" i="4"/>
  <c r="K86" i="2"/>
  <c r="K98" i="2" s="1"/>
  <c r="J67" i="4"/>
  <c r="J68" i="4" s="1"/>
  <c r="J24" i="4"/>
  <c r="J202" i="4" s="1"/>
  <c r="E86" i="2"/>
  <c r="E89" i="2" s="1"/>
  <c r="H86" i="2"/>
  <c r="H90" i="2" s="1"/>
  <c r="I86" i="2"/>
  <c r="I89" i="2" s="1"/>
  <c r="B86" i="2"/>
  <c r="B98" i="2" s="1"/>
  <c r="G86" i="2"/>
  <c r="G89" i="2" s="1"/>
  <c r="H96" i="2"/>
  <c r="H48" i="4"/>
  <c r="H46" i="4"/>
  <c r="G47" i="4"/>
  <c r="J151" i="4"/>
  <c r="J153" i="4" s="1"/>
  <c r="J147" i="4"/>
  <c r="J149" i="4" s="1"/>
  <c r="B96" i="2"/>
  <c r="B48" i="4"/>
  <c r="B46" i="4"/>
  <c r="D96" i="2"/>
  <c r="D46" i="4"/>
  <c r="C47" i="4"/>
  <c r="C172" i="4" s="1"/>
  <c r="D48" i="4"/>
  <c r="B212" i="4"/>
  <c r="C125" i="2"/>
  <c r="C131" i="2" s="1"/>
  <c r="C5" i="4"/>
  <c r="C222" i="4" s="1"/>
  <c r="G18" i="4"/>
  <c r="G75" i="4" s="1"/>
  <c r="G76" i="4" s="1"/>
  <c r="G210" i="4"/>
  <c r="F211" i="4"/>
  <c r="G212" i="4"/>
  <c r="F132" i="4"/>
  <c r="F130" i="4"/>
  <c r="K130" i="4"/>
  <c r="K132" i="4"/>
  <c r="H147" i="4"/>
  <c r="H149" i="4" s="1"/>
  <c r="H151" i="4"/>
  <c r="H153" i="4" s="1"/>
  <c r="D147" i="4"/>
  <c r="D149" i="4" s="1"/>
  <c r="D151" i="4"/>
  <c r="D153" i="4" s="1"/>
  <c r="E147" i="4"/>
  <c r="E149" i="4" s="1"/>
  <c r="E151" i="4"/>
  <c r="E153" i="4" s="1"/>
  <c r="F103" i="2"/>
  <c r="B125" i="2"/>
  <c r="B131" i="2" s="1"/>
  <c r="B134" i="2" s="1"/>
  <c r="B5" i="4"/>
  <c r="B222" i="4" s="1"/>
  <c r="C147" i="4"/>
  <c r="C149" i="4" s="1"/>
  <c r="C151" i="4"/>
  <c r="C153" i="4" s="1"/>
  <c r="D132" i="4"/>
  <c r="D130" i="4"/>
  <c r="E125" i="2"/>
  <c r="E131" i="2" s="1"/>
  <c r="E5" i="4"/>
  <c r="E222" i="4" s="1"/>
  <c r="H3" i="4"/>
  <c r="H4" i="4"/>
  <c r="H141" i="2"/>
  <c r="H148" i="2" s="1"/>
  <c r="H134" i="2"/>
  <c r="I132" i="4"/>
  <c r="I130" i="4"/>
  <c r="D125" i="2"/>
  <c r="D131" i="2" s="1"/>
  <c r="D5" i="4"/>
  <c r="D222" i="4" s="1"/>
  <c r="F96" i="2"/>
  <c r="F46" i="4"/>
  <c r="E47" i="4"/>
  <c r="E172" i="4" s="1"/>
  <c r="F48" i="4"/>
  <c r="K149" i="4"/>
  <c r="E96" i="2"/>
  <c r="E46" i="4"/>
  <c r="D47" i="4"/>
  <c r="D172" i="4" s="1"/>
  <c r="E48" i="4"/>
  <c r="F147" i="4"/>
  <c r="F149" i="4" s="1"/>
  <c r="F151" i="4"/>
  <c r="F153" i="4" s="1"/>
  <c r="G132" i="4"/>
  <c r="G130" i="4"/>
  <c r="C96" i="2"/>
  <c r="C46" i="4"/>
  <c r="C48" i="4"/>
  <c r="B47" i="4"/>
  <c r="B172" i="4" s="1"/>
  <c r="J125" i="2"/>
  <c r="J131" i="2" s="1"/>
  <c r="J5" i="4"/>
  <c r="J222" i="4" s="1"/>
  <c r="B147" i="4"/>
  <c r="B149" i="4" s="1"/>
  <c r="B151" i="4"/>
  <c r="B153" i="4" s="1"/>
  <c r="G151" i="4"/>
  <c r="G153" i="4" s="1"/>
  <c r="G147" i="4"/>
  <c r="G149" i="4" s="1"/>
  <c r="I3" i="4"/>
  <c r="I4" i="4"/>
  <c r="I103" i="2"/>
  <c r="K125" i="2"/>
  <c r="K131" i="2" s="1"/>
  <c r="K5" i="4"/>
  <c r="K222" i="4" s="1"/>
  <c r="K103" i="2"/>
  <c r="K202" i="4"/>
  <c r="H18" i="4"/>
  <c r="H75" i="4" s="1"/>
  <c r="H76" i="4" s="1"/>
  <c r="H210" i="4"/>
  <c r="G211" i="4"/>
  <c r="H212" i="4"/>
  <c r="H136" i="4"/>
  <c r="F18" i="4"/>
  <c r="F75" i="4" s="1"/>
  <c r="F76" i="4" s="1"/>
  <c r="F210" i="4"/>
  <c r="E211" i="4"/>
  <c r="F212" i="4"/>
  <c r="I212" i="4"/>
  <c r="I18" i="4"/>
  <c r="I75" i="4" s="1"/>
  <c r="I76" i="4" s="1"/>
  <c r="I210" i="4"/>
  <c r="H211" i="4"/>
  <c r="E18" i="4"/>
  <c r="E75" i="4" s="1"/>
  <c r="E76" i="4" s="1"/>
  <c r="E210" i="4"/>
  <c r="D211" i="4"/>
  <c r="E212" i="4"/>
  <c r="K151" i="4"/>
  <c r="K153" i="4" s="1"/>
  <c r="G96" i="2"/>
  <c r="G48" i="4"/>
  <c r="G46" i="4"/>
  <c r="G96" i="4" s="1"/>
  <c r="F47" i="4"/>
  <c r="H130" i="4"/>
  <c r="C132" i="4"/>
  <c r="C130" i="4"/>
  <c r="K96" i="2"/>
  <c r="K46" i="4"/>
  <c r="J47" i="4"/>
  <c r="J172" i="4" s="1"/>
  <c r="K48" i="4"/>
  <c r="I96" i="2"/>
  <c r="I46" i="4"/>
  <c r="H47" i="4"/>
  <c r="H172" i="4" s="1"/>
  <c r="I48" i="4"/>
  <c r="I151" i="4"/>
  <c r="I153" i="4" s="1"/>
  <c r="I147" i="4"/>
  <c r="I149" i="4" s="1"/>
  <c r="F5" i="4"/>
  <c r="F222" i="4" s="1"/>
  <c r="F125" i="2"/>
  <c r="F131" i="2" s="1"/>
  <c r="C210" i="4"/>
  <c r="C212" i="4"/>
  <c r="B211" i="4"/>
  <c r="C18" i="4"/>
  <c r="C75" i="4" s="1"/>
  <c r="C76" i="4" s="1"/>
  <c r="J96" i="2"/>
  <c r="J46" i="4"/>
  <c r="I47" i="4"/>
  <c r="I172" i="4" s="1"/>
  <c r="J48" i="4"/>
  <c r="K210" i="4"/>
  <c r="J211" i="4"/>
  <c r="K212" i="4"/>
  <c r="K18" i="4"/>
  <c r="K75" i="4" s="1"/>
  <c r="K76" i="4" s="1"/>
  <c r="C103" i="2"/>
  <c r="G103" i="2"/>
  <c r="B103" i="2"/>
  <c r="D210" i="4"/>
  <c r="C211" i="4"/>
  <c r="D212" i="4"/>
  <c r="D18" i="4"/>
  <c r="D75" i="4" s="1"/>
  <c r="D76" i="4" s="1"/>
  <c r="J103" i="2"/>
  <c r="J86" i="2"/>
  <c r="J98" i="2" s="1"/>
  <c r="J99" i="2" s="1"/>
  <c r="J212" i="4"/>
  <c r="J18" i="4"/>
  <c r="J75" i="4" s="1"/>
  <c r="J76" i="4" s="1"/>
  <c r="J210" i="4"/>
  <c r="I211" i="4"/>
  <c r="H103" i="2"/>
  <c r="E103" i="2"/>
  <c r="G125" i="2"/>
  <c r="G131" i="2" s="1"/>
  <c r="G5" i="4"/>
  <c r="G222" i="4" s="1"/>
  <c r="D103" i="2"/>
  <c r="B210" i="4"/>
  <c r="I156" i="2"/>
  <c r="I157" i="2" s="1"/>
  <c r="K38" i="2"/>
  <c r="K40" i="2" s="1"/>
  <c r="K97" i="2"/>
  <c r="B102" i="2"/>
  <c r="B93" i="2"/>
  <c r="B16" i="4" s="1"/>
  <c r="E93" i="2"/>
  <c r="E102" i="2"/>
  <c r="F98" i="2"/>
  <c r="F99" i="2" s="1"/>
  <c r="I38" i="2"/>
  <c r="I40" i="2" s="1"/>
  <c r="I97" i="2"/>
  <c r="D102" i="2"/>
  <c r="D93" i="2"/>
  <c r="H102" i="2"/>
  <c r="H93" i="2"/>
  <c r="I102" i="2"/>
  <c r="I93" i="2"/>
  <c r="J102" i="2"/>
  <c r="J93" i="2"/>
  <c r="K102" i="2"/>
  <c r="K133" i="4" s="1"/>
  <c r="K93" i="2"/>
  <c r="C38" i="2"/>
  <c r="C40" i="2" s="1"/>
  <c r="C97" i="2"/>
  <c r="F93" i="2"/>
  <c r="F102" i="2"/>
  <c r="D89" i="2"/>
  <c r="D98" i="2"/>
  <c r="G102" i="2"/>
  <c r="G93" i="2"/>
  <c r="C102" i="2"/>
  <c r="C93" i="2"/>
  <c r="C89" i="2"/>
  <c r="C98" i="2"/>
  <c r="G35" i="2"/>
  <c r="B35" i="2"/>
  <c r="D35" i="2"/>
  <c r="D97" i="2" s="1"/>
  <c r="E35" i="2"/>
  <c r="E97" i="2" s="1"/>
  <c r="C90" i="2"/>
  <c r="J38" i="2"/>
  <c r="J40" i="2" s="1"/>
  <c r="H38" i="2"/>
  <c r="H40" i="2" s="1"/>
  <c r="F38" i="2"/>
  <c r="F40" i="2" s="1"/>
  <c r="F90" i="2"/>
  <c r="I153" i="2" l="1"/>
  <c r="I154" i="2"/>
  <c r="I6" i="4"/>
  <c r="B89" i="2"/>
  <c r="E98" i="2"/>
  <c r="E99" i="2" s="1"/>
  <c r="I90" i="2"/>
  <c r="I98" i="2"/>
  <c r="I99" i="2" s="1"/>
  <c r="G90" i="2"/>
  <c r="D95" i="4"/>
  <c r="I95" i="4"/>
  <c r="B90" i="2"/>
  <c r="G98" i="2"/>
  <c r="H89" i="2"/>
  <c r="G16" i="4"/>
  <c r="F15" i="4"/>
  <c r="F168" i="4" s="1"/>
  <c r="I15" i="4"/>
  <c r="I168" i="4" s="1"/>
  <c r="J16" i="4"/>
  <c r="C15" i="4"/>
  <c r="C168" i="4" s="1"/>
  <c r="D16" i="4"/>
  <c r="E15" i="4"/>
  <c r="E168" i="4" s="1"/>
  <c r="F16" i="4"/>
  <c r="D15" i="4"/>
  <c r="D168" i="4" s="1"/>
  <c r="E16" i="4"/>
  <c r="H26" i="4"/>
  <c r="H25" i="4"/>
  <c r="H221" i="4" s="1"/>
  <c r="H223" i="4" s="1"/>
  <c r="K90" i="2"/>
  <c r="H98" i="2"/>
  <c r="H99" i="2" s="1"/>
  <c r="J26" i="4"/>
  <c r="J25" i="4"/>
  <c r="J221" i="4" s="1"/>
  <c r="J223" i="4" s="1"/>
  <c r="F25" i="4"/>
  <c r="F221" i="4" s="1"/>
  <c r="F223" i="4" s="1"/>
  <c r="F26" i="4"/>
  <c r="C26" i="4"/>
  <c r="C25" i="4"/>
  <c r="C221" i="4" s="1"/>
  <c r="C223" i="4" s="1"/>
  <c r="E26" i="4"/>
  <c r="E25" i="4"/>
  <c r="E221" i="4" s="1"/>
  <c r="E223" i="4" s="1"/>
  <c r="K89" i="2"/>
  <c r="G25" i="4"/>
  <c r="G221" i="4" s="1"/>
  <c r="G223" i="4" s="1"/>
  <c r="G26" i="4"/>
  <c r="H15" i="4"/>
  <c r="H168" i="4" s="1"/>
  <c r="I16" i="4"/>
  <c r="I133" i="4"/>
  <c r="I134" i="4" s="1"/>
  <c r="H202" i="4"/>
  <c r="C16" i="4"/>
  <c r="B15" i="4"/>
  <c r="B168" i="4" s="1"/>
  <c r="F133" i="4"/>
  <c r="F134" i="4" s="1"/>
  <c r="J15" i="4"/>
  <c r="J168" i="4" s="1"/>
  <c r="K16" i="4"/>
  <c r="H16" i="4"/>
  <c r="G15" i="4"/>
  <c r="G168" i="4" s="1"/>
  <c r="J95" i="4"/>
  <c r="D26" i="4"/>
  <c r="D25" i="4"/>
  <c r="D221" i="4" s="1"/>
  <c r="D223" i="4" s="1"/>
  <c r="I26" i="4"/>
  <c r="I25" i="4"/>
  <c r="I221" i="4" s="1"/>
  <c r="I223" i="4" s="1"/>
  <c r="B26" i="4"/>
  <c r="B25" i="4"/>
  <c r="B221" i="4" s="1"/>
  <c r="B223" i="4" s="1"/>
  <c r="C133" i="4"/>
  <c r="C134" i="4" s="1"/>
  <c r="J89" i="2"/>
  <c r="I96" i="4"/>
  <c r="G95" i="4"/>
  <c r="D99" i="2"/>
  <c r="D133" i="4"/>
  <c r="D134" i="4" s="1"/>
  <c r="H97" i="4"/>
  <c r="E105" i="2"/>
  <c r="J133" i="4"/>
  <c r="J134" i="4" s="1"/>
  <c r="K14" i="4"/>
  <c r="K105" i="4"/>
  <c r="K83" i="4"/>
  <c r="K79" i="4"/>
  <c r="K95" i="4"/>
  <c r="K96" i="4"/>
  <c r="G14" i="4"/>
  <c r="E14" i="4"/>
  <c r="C136" i="4"/>
  <c r="I104" i="4"/>
  <c r="I82" i="4"/>
  <c r="I107" i="4"/>
  <c r="I136" i="4"/>
  <c r="E3" i="4"/>
  <c r="E4" i="4"/>
  <c r="E141" i="2"/>
  <c r="E148" i="2" s="1"/>
  <c r="E134" i="2"/>
  <c r="C14" i="4"/>
  <c r="H105" i="2"/>
  <c r="G155" i="4"/>
  <c r="G171" i="4"/>
  <c r="G203" i="4"/>
  <c r="G204" i="4" s="1"/>
  <c r="C105" i="2"/>
  <c r="B79" i="4"/>
  <c r="B105" i="4"/>
  <c r="B83" i="4"/>
  <c r="B96" i="4"/>
  <c r="B14" i="4"/>
  <c r="B105" i="2"/>
  <c r="I79" i="4"/>
  <c r="I83" i="4"/>
  <c r="I105" i="4"/>
  <c r="F83" i="4"/>
  <c r="F79" i="4"/>
  <c r="F105" i="4"/>
  <c r="F96" i="4"/>
  <c r="F95" i="4"/>
  <c r="D203" i="4"/>
  <c r="D204" i="4" s="1"/>
  <c r="D155" i="4"/>
  <c r="D171" i="4"/>
  <c r="I105" i="2"/>
  <c r="F172" i="4"/>
  <c r="K3" i="4"/>
  <c r="K4" i="4"/>
  <c r="K141" i="2"/>
  <c r="K148" i="2" s="1"/>
  <c r="K134" i="2"/>
  <c r="C203" i="4"/>
  <c r="C204" i="4" s="1"/>
  <c r="C171" i="4"/>
  <c r="C155" i="4"/>
  <c r="E155" i="4"/>
  <c r="E171" i="4"/>
  <c r="E203" i="4"/>
  <c r="E204" i="4" s="1"/>
  <c r="F105" i="2"/>
  <c r="H150" i="2"/>
  <c r="H156" i="2"/>
  <c r="H157" i="2" s="1"/>
  <c r="D136" i="4"/>
  <c r="K136" i="4"/>
  <c r="K134" i="4"/>
  <c r="G172" i="4"/>
  <c r="F14" i="4"/>
  <c r="B133" i="4"/>
  <c r="B134" i="4" s="1"/>
  <c r="J96" i="4"/>
  <c r="J155" i="4"/>
  <c r="J171" i="4"/>
  <c r="J203" i="4"/>
  <c r="J204" i="4" s="1"/>
  <c r="F3" i="4"/>
  <c r="F4" i="4"/>
  <c r="F134" i="2"/>
  <c r="F141" i="2"/>
  <c r="F148" i="2" s="1"/>
  <c r="I14" i="4"/>
  <c r="J105" i="2"/>
  <c r="G105" i="2"/>
  <c r="K171" i="4"/>
  <c r="K155" i="4"/>
  <c r="K203" i="4"/>
  <c r="K204" i="4" s="1"/>
  <c r="G105" i="4"/>
  <c r="G83" i="4"/>
  <c r="G79" i="4"/>
  <c r="E97" i="4"/>
  <c r="F97" i="4"/>
  <c r="C105" i="4"/>
  <c r="C83" i="4"/>
  <c r="C79" i="4"/>
  <c r="C96" i="4"/>
  <c r="H62" i="4"/>
  <c r="H58" i="4"/>
  <c r="H60" i="4" s="1"/>
  <c r="H141" i="4" s="1"/>
  <c r="H217" i="4"/>
  <c r="H219" i="4" s="1"/>
  <c r="D83" i="4"/>
  <c r="D79" i="4"/>
  <c r="D105" i="4"/>
  <c r="D96" i="4"/>
  <c r="H79" i="4"/>
  <c r="H83" i="4"/>
  <c r="H105" i="4"/>
  <c r="H96" i="4"/>
  <c r="H95" i="4"/>
  <c r="E105" i="4"/>
  <c r="E83" i="4"/>
  <c r="E79" i="4"/>
  <c r="E96" i="4"/>
  <c r="H104" i="4"/>
  <c r="H107" i="4"/>
  <c r="H82" i="4"/>
  <c r="B95" i="4"/>
  <c r="G97" i="4"/>
  <c r="D105" i="2"/>
  <c r="H155" i="4"/>
  <c r="H203" i="4"/>
  <c r="H171" i="4"/>
  <c r="D97" i="4"/>
  <c r="J79" i="4"/>
  <c r="J83" i="4"/>
  <c r="J105" i="4"/>
  <c r="H14" i="4"/>
  <c r="G4" i="4"/>
  <c r="G3" i="4"/>
  <c r="G141" i="2"/>
  <c r="G148" i="2" s="1"/>
  <c r="G134" i="2"/>
  <c r="K97" i="4"/>
  <c r="C97" i="4"/>
  <c r="E95" i="4"/>
  <c r="I97" i="4"/>
  <c r="G136" i="4"/>
  <c r="D3" i="4"/>
  <c r="D4" i="4"/>
  <c r="D141" i="2"/>
  <c r="D148" i="2" s="1"/>
  <c r="D134" i="2"/>
  <c r="C95" i="4"/>
  <c r="C4" i="3"/>
  <c r="B3" i="4"/>
  <c r="B4" i="4"/>
  <c r="F136" i="4"/>
  <c r="C3" i="4"/>
  <c r="C4" i="4"/>
  <c r="C141" i="2"/>
  <c r="C148" i="2" s="1"/>
  <c r="C134" i="2"/>
  <c r="B155" i="4"/>
  <c r="B203" i="4"/>
  <c r="B204" i="4" s="1"/>
  <c r="B171" i="4"/>
  <c r="H133" i="4"/>
  <c r="H134" i="4" s="1"/>
  <c r="J90" i="2"/>
  <c r="G133" i="4"/>
  <c r="G134" i="4" s="1"/>
  <c r="J14" i="4"/>
  <c r="D14" i="4"/>
  <c r="E133" i="4"/>
  <c r="E134" i="4" s="1"/>
  <c r="J97" i="4"/>
  <c r="I203" i="4"/>
  <c r="I204" i="4" s="1"/>
  <c r="I155" i="4"/>
  <c r="I171" i="4"/>
  <c r="K105" i="2"/>
  <c r="K221" i="4"/>
  <c r="K223" i="4" s="1"/>
  <c r="I62" i="4"/>
  <c r="I217" i="4"/>
  <c r="I219" i="4" s="1"/>
  <c r="I58" i="4"/>
  <c r="I60" i="4" s="1"/>
  <c r="I141" i="4" s="1"/>
  <c r="J3" i="4"/>
  <c r="J4" i="4"/>
  <c r="J141" i="2"/>
  <c r="J148" i="2" s="1"/>
  <c r="J134" i="2"/>
  <c r="F171" i="4"/>
  <c r="F203" i="4"/>
  <c r="F204" i="4" s="1"/>
  <c r="F155" i="4"/>
  <c r="I194" i="4"/>
  <c r="I78" i="4"/>
  <c r="I108" i="4"/>
  <c r="I193" i="4"/>
  <c r="I196" i="4"/>
  <c r="B97" i="4"/>
  <c r="G38" i="2"/>
  <c r="G40" i="2" s="1"/>
  <c r="G97" i="2"/>
  <c r="H104" i="2"/>
  <c r="J104" i="2"/>
  <c r="C99" i="2"/>
  <c r="D104" i="2"/>
  <c r="D90" i="2"/>
  <c r="C104" i="2"/>
  <c r="D38" i="2"/>
  <c r="D40" i="2" s="1"/>
  <c r="E38" i="2"/>
  <c r="E40" i="2" s="1"/>
  <c r="G104" i="2"/>
  <c r="K99" i="2"/>
  <c r="B38" i="2"/>
  <c r="B40" i="2" s="1"/>
  <c r="B97" i="2"/>
  <c r="B99" i="2" s="1"/>
  <c r="F104" i="2"/>
  <c r="E90" i="2"/>
  <c r="I104" i="2"/>
  <c r="E104" i="2"/>
  <c r="K104" i="2"/>
  <c r="B104" i="2"/>
  <c r="B141" i="2"/>
  <c r="C106" i="2" l="1"/>
  <c r="G99" i="2"/>
  <c r="F106" i="2"/>
  <c r="E106" i="2"/>
  <c r="I106" i="2"/>
  <c r="H204" i="4"/>
  <c r="C167" i="4"/>
  <c r="C175" i="4" s="1"/>
  <c r="E167" i="4"/>
  <c r="E186" i="4" s="1"/>
  <c r="I84" i="4"/>
  <c r="H106" i="2"/>
  <c r="G167" i="4"/>
  <c r="G186" i="4" s="1"/>
  <c r="H84" i="4"/>
  <c r="D106" i="2"/>
  <c r="C58" i="4"/>
  <c r="C60" i="4" s="1"/>
  <c r="C141" i="4" s="1"/>
  <c r="C62" i="4"/>
  <c r="C217" i="4"/>
  <c r="C219" i="4" s="1"/>
  <c r="G150" i="2"/>
  <c r="G156" i="2"/>
  <c r="G157" i="2" s="1"/>
  <c r="I187" i="4"/>
  <c r="J173" i="4"/>
  <c r="J198" i="4" s="1"/>
  <c r="J178" i="4"/>
  <c r="K62" i="4"/>
  <c r="K58" i="4"/>
  <c r="K60" i="4" s="1"/>
  <c r="K141" i="4" s="1"/>
  <c r="K217" i="4"/>
  <c r="K219" i="4" s="1"/>
  <c r="G159" i="4"/>
  <c r="G162" i="4" s="1"/>
  <c r="G157" i="4"/>
  <c r="J159" i="4"/>
  <c r="J162" i="4" s="1"/>
  <c r="J157" i="4"/>
  <c r="E173" i="4"/>
  <c r="E198" i="4" s="1"/>
  <c r="E178" i="4"/>
  <c r="D167" i="4"/>
  <c r="I195" i="4"/>
  <c r="I197" i="4"/>
  <c r="D150" i="2"/>
  <c r="D156" i="2"/>
  <c r="D157" i="2" s="1"/>
  <c r="G217" i="4"/>
  <c r="G219" i="4" s="1"/>
  <c r="G58" i="4"/>
  <c r="G60" i="4" s="1"/>
  <c r="G141" i="4" s="1"/>
  <c r="G62" i="4"/>
  <c r="F150" i="2"/>
  <c r="F156" i="2"/>
  <c r="F157" i="2" s="1"/>
  <c r="E159" i="4"/>
  <c r="E162" i="4" s="1"/>
  <c r="E157" i="4"/>
  <c r="I80" i="4"/>
  <c r="J82" i="4"/>
  <c r="J84" i="4" s="1"/>
  <c r="J104" i="4"/>
  <c r="J107" i="4"/>
  <c r="I178" i="4"/>
  <c r="I173" i="4"/>
  <c r="I198" i="4" s="1"/>
  <c r="D187" i="4"/>
  <c r="B173" i="4"/>
  <c r="B198" i="4" s="1"/>
  <c r="B178" i="4"/>
  <c r="D62" i="4"/>
  <c r="D58" i="4"/>
  <c r="D60" i="4" s="1"/>
  <c r="D141" i="4" s="1"/>
  <c r="D217" i="4"/>
  <c r="D219" i="4" s="1"/>
  <c r="E150" i="2"/>
  <c r="E156" i="2"/>
  <c r="E157" i="2" s="1"/>
  <c r="I106" i="4"/>
  <c r="I109" i="4" s="1"/>
  <c r="E187" i="4"/>
  <c r="I157" i="4"/>
  <c r="I159" i="4"/>
  <c r="I162" i="4" s="1"/>
  <c r="D63" i="4"/>
  <c r="D137" i="4"/>
  <c r="D138" i="4" s="1"/>
  <c r="D104" i="4"/>
  <c r="D106" i="4" s="1"/>
  <c r="D82" i="4"/>
  <c r="D84" i="4" s="1"/>
  <c r="D107" i="4"/>
  <c r="H63" i="4"/>
  <c r="H64" i="4" s="1"/>
  <c r="H137" i="4"/>
  <c r="H138" i="4" s="1"/>
  <c r="H173" i="4"/>
  <c r="H198" i="4" s="1"/>
  <c r="H178" i="4"/>
  <c r="F58" i="4"/>
  <c r="F60" i="4" s="1"/>
  <c r="F141" i="4" s="1"/>
  <c r="F217" i="4"/>
  <c r="F219" i="4" s="1"/>
  <c r="F62" i="4"/>
  <c r="C173" i="4"/>
  <c r="C198" i="4" s="1"/>
  <c r="C178" i="4"/>
  <c r="B63" i="4"/>
  <c r="B137" i="4"/>
  <c r="B138" i="4" s="1"/>
  <c r="E62" i="4"/>
  <c r="E217" i="4"/>
  <c r="E219" i="4" s="1"/>
  <c r="E58" i="4"/>
  <c r="E60" i="4" s="1"/>
  <c r="E141" i="4" s="1"/>
  <c r="E137" i="4"/>
  <c r="E138" i="4" s="1"/>
  <c r="E63" i="4"/>
  <c r="C157" i="4"/>
  <c r="C159" i="4"/>
  <c r="C162" i="4" s="1"/>
  <c r="B106" i="2"/>
  <c r="B187" i="4"/>
  <c r="B167" i="4"/>
  <c r="B175" i="4" s="1"/>
  <c r="E82" i="4"/>
  <c r="E84" i="4" s="1"/>
  <c r="E107" i="4"/>
  <c r="E104" i="4"/>
  <c r="F167" i="4"/>
  <c r="F169" i="4" s="1"/>
  <c r="J167" i="4"/>
  <c r="J156" i="2"/>
  <c r="J157" i="2" s="1"/>
  <c r="J150" i="2"/>
  <c r="J62" i="4"/>
  <c r="J58" i="4"/>
  <c r="J60" i="4" s="1"/>
  <c r="J141" i="4" s="1"/>
  <c r="J217" i="4"/>
  <c r="J219" i="4" s="1"/>
  <c r="F157" i="4"/>
  <c r="F159" i="4"/>
  <c r="F162" i="4" s="1"/>
  <c r="I167" i="4"/>
  <c r="B159" i="4"/>
  <c r="B162" i="4" s="1"/>
  <c r="B157" i="4"/>
  <c r="B58" i="4"/>
  <c r="B60" i="4" s="1"/>
  <c r="B141" i="4" s="1"/>
  <c r="B62" i="4"/>
  <c r="B217" i="4"/>
  <c r="B219" i="4" s="1"/>
  <c r="H106" i="4"/>
  <c r="H109" i="4" s="1"/>
  <c r="F104" i="4"/>
  <c r="F106" i="4" s="1"/>
  <c r="F82" i="4"/>
  <c r="F84" i="4" s="1"/>
  <c r="F107" i="4"/>
  <c r="F187" i="4"/>
  <c r="J106" i="2"/>
  <c r="J187" i="4"/>
  <c r="B104" i="4"/>
  <c r="B82" i="4"/>
  <c r="B84" i="4" s="1"/>
  <c r="B107" i="4"/>
  <c r="H187" i="4"/>
  <c r="H159" i="4"/>
  <c r="H162" i="4" s="1"/>
  <c r="H157" i="4"/>
  <c r="K159" i="4"/>
  <c r="K162" i="4" s="1"/>
  <c r="K157" i="4"/>
  <c r="F137" i="4"/>
  <c r="F138" i="4" s="1"/>
  <c r="F63" i="4"/>
  <c r="H6" i="4"/>
  <c r="H154" i="2"/>
  <c r="H153" i="2"/>
  <c r="D173" i="4"/>
  <c r="D198" i="4" s="1"/>
  <c r="D178" i="4"/>
  <c r="C187" i="4"/>
  <c r="G187" i="4"/>
  <c r="K167" i="4"/>
  <c r="K187" i="4"/>
  <c r="C107" i="4"/>
  <c r="C104" i="4"/>
  <c r="C106" i="4" s="1"/>
  <c r="C82" i="4"/>
  <c r="C84" i="4" s="1"/>
  <c r="G104" i="4"/>
  <c r="G82" i="4"/>
  <c r="G84" i="4" s="1"/>
  <c r="G107" i="4"/>
  <c r="I63" i="4"/>
  <c r="I64" i="4" s="1"/>
  <c r="I137" i="4"/>
  <c r="I138" i="4" s="1"/>
  <c r="K82" i="4"/>
  <c r="K84" i="4" s="1"/>
  <c r="K104" i="4"/>
  <c r="K107" i="4"/>
  <c r="K106" i="2"/>
  <c r="G106" i="2"/>
  <c r="F173" i="4"/>
  <c r="F198" i="4" s="1"/>
  <c r="F178" i="4"/>
  <c r="J63" i="4"/>
  <c r="J137" i="4"/>
  <c r="J138" i="4" s="1"/>
  <c r="C150" i="2"/>
  <c r="C156" i="2"/>
  <c r="C157" i="2" s="1"/>
  <c r="K173" i="4"/>
  <c r="K198" i="4" s="1"/>
  <c r="K178" i="4"/>
  <c r="H167" i="4"/>
  <c r="K156" i="2"/>
  <c r="K157" i="2" s="1"/>
  <c r="K150" i="2"/>
  <c r="D159" i="4"/>
  <c r="D162" i="4" s="1"/>
  <c r="D157" i="4"/>
  <c r="G178" i="4"/>
  <c r="G173" i="4"/>
  <c r="G198" i="4" s="1"/>
  <c r="C63" i="4"/>
  <c r="C137" i="4"/>
  <c r="C138" i="4" s="1"/>
  <c r="G63" i="4"/>
  <c r="G137" i="4"/>
  <c r="G138" i="4" s="1"/>
  <c r="K63" i="4"/>
  <c r="K137" i="4"/>
  <c r="K138" i="4" s="1"/>
  <c r="B148" i="2"/>
  <c r="E189" i="4" l="1"/>
  <c r="E169" i="4"/>
  <c r="E175" i="4"/>
  <c r="E206" i="4" s="1"/>
  <c r="C189" i="4"/>
  <c r="C186" i="4"/>
  <c r="C188" i="4" s="1"/>
  <c r="G175" i="4"/>
  <c r="G177" i="4" s="1"/>
  <c r="G179" i="4" s="1"/>
  <c r="G169" i="4"/>
  <c r="G207" i="4" s="1"/>
  <c r="D109" i="4"/>
  <c r="G189" i="4"/>
  <c r="I110" i="4"/>
  <c r="B64" i="4"/>
  <c r="B140" i="4" s="1"/>
  <c r="B142" i="4" s="1"/>
  <c r="G188" i="4"/>
  <c r="D64" i="4"/>
  <c r="D140" i="4" s="1"/>
  <c r="D142" i="4" s="1"/>
  <c r="E64" i="4"/>
  <c r="E140" i="4" s="1"/>
  <c r="E142" i="4" s="1"/>
  <c r="I199" i="4"/>
  <c r="H94" i="4"/>
  <c r="H98" i="4" s="1"/>
  <c r="H101" i="4" s="1"/>
  <c r="H87" i="4"/>
  <c r="H140" i="4"/>
  <c r="H142" i="4" s="1"/>
  <c r="C6" i="4"/>
  <c r="C153" i="2"/>
  <c r="C154" i="2"/>
  <c r="E106" i="4"/>
  <c r="E109" i="4" s="1"/>
  <c r="G106" i="4"/>
  <c r="G109" i="4" s="1"/>
  <c r="J64" i="4"/>
  <c r="E188" i="4"/>
  <c r="E190" i="4" s="1"/>
  <c r="E207" i="4"/>
  <c r="E181" i="4"/>
  <c r="K106" i="4"/>
  <c r="K109" i="4" s="1"/>
  <c r="C109" i="4"/>
  <c r="F181" i="4"/>
  <c r="F207" i="4"/>
  <c r="I189" i="4"/>
  <c r="I186" i="4"/>
  <c r="I188" i="4" s="1"/>
  <c r="I169" i="4"/>
  <c r="C169" i="4"/>
  <c r="J6" i="4"/>
  <c r="J153" i="2"/>
  <c r="J154" i="2"/>
  <c r="B186" i="4"/>
  <c r="B188" i="4" s="1"/>
  <c r="B169" i="4"/>
  <c r="B189" i="4"/>
  <c r="E6" i="4"/>
  <c r="E153" i="2"/>
  <c r="E154" i="2"/>
  <c r="K64" i="4"/>
  <c r="F64" i="4"/>
  <c r="I175" i="4"/>
  <c r="G6" i="4"/>
  <c r="G153" i="2"/>
  <c r="G154" i="2"/>
  <c r="I140" i="4"/>
  <c r="I142" i="4" s="1"/>
  <c r="I94" i="4"/>
  <c r="I98" i="4" s="1"/>
  <c r="I101" i="4" s="1"/>
  <c r="I87" i="4"/>
  <c r="B106" i="4"/>
  <c r="B109" i="4" s="1"/>
  <c r="C177" i="4"/>
  <c r="C179" i="4" s="1"/>
  <c r="C206" i="4"/>
  <c r="H189" i="4"/>
  <c r="H186" i="4"/>
  <c r="H188" i="4" s="1"/>
  <c r="H175" i="4"/>
  <c r="K186" i="4"/>
  <c r="K188" i="4" s="1"/>
  <c r="K189" i="4"/>
  <c r="K175" i="4"/>
  <c r="K169" i="4"/>
  <c r="J186" i="4"/>
  <c r="J188" i="4" s="1"/>
  <c r="J189" i="4"/>
  <c r="J175" i="4"/>
  <c r="J169" i="4"/>
  <c r="F186" i="4"/>
  <c r="F188" i="4" s="1"/>
  <c r="F189" i="4"/>
  <c r="F175" i="4"/>
  <c r="J106" i="4"/>
  <c r="J109" i="4" s="1"/>
  <c r="F6" i="4"/>
  <c r="F153" i="2"/>
  <c r="F154" i="2"/>
  <c r="C64" i="4"/>
  <c r="K6" i="4"/>
  <c r="K153" i="2"/>
  <c r="K154" i="2"/>
  <c r="D6" i="4"/>
  <c r="D153" i="2"/>
  <c r="D154" i="2"/>
  <c r="H78" i="4"/>
  <c r="H80" i="4" s="1"/>
  <c r="H110" i="4" s="1"/>
  <c r="H193" i="4"/>
  <c r="H194" i="4"/>
  <c r="H196" i="4"/>
  <c r="H108" i="4"/>
  <c r="H169" i="4"/>
  <c r="F109" i="4"/>
  <c r="G64" i="4"/>
  <c r="D189" i="4"/>
  <c r="D175" i="4"/>
  <c r="D186" i="4"/>
  <c r="D188" i="4" s="1"/>
  <c r="D169" i="4"/>
  <c r="B150" i="2"/>
  <c r="B156" i="2"/>
  <c r="B157" i="2" s="1"/>
  <c r="E177" i="4" l="1"/>
  <c r="E179" i="4" s="1"/>
  <c r="C190" i="4"/>
  <c r="G181" i="4"/>
  <c r="G206" i="4"/>
  <c r="H190" i="4"/>
  <c r="G190" i="4"/>
  <c r="J190" i="4"/>
  <c r="E87" i="4"/>
  <c r="E88" i="4" s="1"/>
  <c r="E94" i="4"/>
  <c r="E98" i="4" s="1"/>
  <c r="E101" i="4" s="1"/>
  <c r="B94" i="4"/>
  <c r="B98" i="4" s="1"/>
  <c r="B101" i="4" s="1"/>
  <c r="D94" i="4"/>
  <c r="D98" i="4" s="1"/>
  <c r="D101" i="4" s="1"/>
  <c r="B190" i="4"/>
  <c r="D87" i="4"/>
  <c r="D88" i="4" s="1"/>
  <c r="B87" i="4"/>
  <c r="B89" i="4" s="1"/>
  <c r="D206" i="4"/>
  <c r="D177" i="4"/>
  <c r="D179" i="4" s="1"/>
  <c r="F78" i="4"/>
  <c r="F80" i="4" s="1"/>
  <c r="F110" i="4" s="1"/>
  <c r="F108" i="4"/>
  <c r="F196" i="4"/>
  <c r="F194" i="4"/>
  <c r="F193" i="4"/>
  <c r="K181" i="4"/>
  <c r="K207" i="4"/>
  <c r="F140" i="4"/>
  <c r="F142" i="4" s="1"/>
  <c r="F87" i="4"/>
  <c r="F94" i="4"/>
  <c r="F98" i="4" s="1"/>
  <c r="F101" i="4" s="1"/>
  <c r="E108" i="4"/>
  <c r="E193" i="4"/>
  <c r="E78" i="4"/>
  <c r="E80" i="4" s="1"/>
  <c r="E110" i="4" s="1"/>
  <c r="E194" i="4"/>
  <c r="E196" i="4"/>
  <c r="B206" i="4"/>
  <c r="B177" i="4"/>
  <c r="B179" i="4" s="1"/>
  <c r="I207" i="4"/>
  <c r="I181" i="4"/>
  <c r="J140" i="4"/>
  <c r="J142" i="4" s="1"/>
  <c r="J87" i="4"/>
  <c r="J94" i="4"/>
  <c r="J98" i="4" s="1"/>
  <c r="J101" i="4" s="1"/>
  <c r="C68" i="3"/>
  <c r="C75" i="3" s="1"/>
  <c r="B6" i="4"/>
  <c r="H195" i="4"/>
  <c r="H197" i="4"/>
  <c r="H199" i="4" s="1"/>
  <c r="K206" i="4"/>
  <c r="K177" i="4"/>
  <c r="K179" i="4" s="1"/>
  <c r="B181" i="4"/>
  <c r="B207" i="4"/>
  <c r="I190" i="4"/>
  <c r="G94" i="4"/>
  <c r="G98" i="4" s="1"/>
  <c r="G101" i="4" s="1"/>
  <c r="G140" i="4"/>
  <c r="G142" i="4" s="1"/>
  <c r="G87" i="4"/>
  <c r="C78" i="4"/>
  <c r="C80" i="4" s="1"/>
  <c r="C110" i="4" s="1"/>
  <c r="C108" i="4"/>
  <c r="C193" i="4"/>
  <c r="C194" i="4"/>
  <c r="C196" i="4"/>
  <c r="K108" i="4"/>
  <c r="K193" i="4"/>
  <c r="K78" i="4"/>
  <c r="K80" i="4" s="1"/>
  <c r="K110" i="4" s="1"/>
  <c r="K196" i="4"/>
  <c r="K194" i="4"/>
  <c r="K190" i="4"/>
  <c r="G78" i="4"/>
  <c r="G80" i="4" s="1"/>
  <c r="G110" i="4" s="1"/>
  <c r="G108" i="4"/>
  <c r="G194" i="4"/>
  <c r="G196" i="4"/>
  <c r="G193" i="4"/>
  <c r="H207" i="4"/>
  <c r="H181" i="4"/>
  <c r="D108" i="4"/>
  <c r="D78" i="4"/>
  <c r="D80" i="4" s="1"/>
  <c r="D110" i="4" s="1"/>
  <c r="D193" i="4"/>
  <c r="D196" i="4"/>
  <c r="D194" i="4"/>
  <c r="C140" i="4"/>
  <c r="C142" i="4" s="1"/>
  <c r="C94" i="4"/>
  <c r="C98" i="4" s="1"/>
  <c r="C101" i="4" s="1"/>
  <c r="C87" i="4"/>
  <c r="J177" i="4"/>
  <c r="J179" i="4" s="1"/>
  <c r="J206" i="4"/>
  <c r="I88" i="4"/>
  <c r="I89" i="4"/>
  <c r="I90" i="4"/>
  <c r="J78" i="4"/>
  <c r="J80" i="4" s="1"/>
  <c r="J110" i="4" s="1"/>
  <c r="J108" i="4"/>
  <c r="J193" i="4"/>
  <c r="J196" i="4"/>
  <c r="J194" i="4"/>
  <c r="K94" i="4"/>
  <c r="K98" i="4" s="1"/>
  <c r="K101" i="4" s="1"/>
  <c r="K87" i="4"/>
  <c r="K140" i="4"/>
  <c r="K142" i="4" s="1"/>
  <c r="F206" i="4"/>
  <c r="F177" i="4"/>
  <c r="F179" i="4" s="1"/>
  <c r="J181" i="4"/>
  <c r="J207" i="4"/>
  <c r="H206" i="4"/>
  <c r="H177" i="4"/>
  <c r="H179" i="4" s="1"/>
  <c r="D207" i="4"/>
  <c r="D181" i="4"/>
  <c r="H90" i="4"/>
  <c r="H88" i="4"/>
  <c r="H89" i="4"/>
  <c r="F190" i="4"/>
  <c r="D190" i="4"/>
  <c r="I177" i="4"/>
  <c r="I179" i="4" s="1"/>
  <c r="I206" i="4"/>
  <c r="C181" i="4"/>
  <c r="C207" i="4"/>
  <c r="C7" i="3"/>
  <c r="C8" i="3" s="1"/>
  <c r="C35" i="3"/>
  <c r="C40" i="3" s="1"/>
  <c r="B153" i="2"/>
  <c r="B154" i="2"/>
  <c r="E90" i="4" l="1"/>
  <c r="E89" i="4"/>
  <c r="B90" i="4"/>
  <c r="B88" i="4"/>
  <c r="C23" i="3"/>
  <c r="C31" i="3" s="1"/>
  <c r="E91" i="4"/>
  <c r="E100" i="4" s="1"/>
  <c r="D90" i="4"/>
  <c r="D89" i="4"/>
  <c r="C195" i="4"/>
  <c r="F195" i="4"/>
  <c r="I91" i="4"/>
  <c r="I100" i="4" s="1"/>
  <c r="H91" i="4"/>
  <c r="H100" i="4" s="1"/>
  <c r="K195" i="4"/>
  <c r="G195" i="4"/>
  <c r="G89" i="4"/>
  <c r="G88" i="4"/>
  <c r="G90" i="4"/>
  <c r="B108" i="4"/>
  <c r="B78" i="4"/>
  <c r="B80" i="4" s="1"/>
  <c r="B110" i="4" s="1"/>
  <c r="B193" i="4"/>
  <c r="B196" i="4"/>
  <c r="B194" i="4"/>
  <c r="D195" i="4"/>
  <c r="D197" i="4"/>
  <c r="D199" i="4" s="1"/>
  <c r="F88" i="4"/>
  <c r="F89" i="4"/>
  <c r="F90" i="4"/>
  <c r="J88" i="4"/>
  <c r="J89" i="4"/>
  <c r="J90" i="4"/>
  <c r="G197" i="4"/>
  <c r="G199" i="4" s="1"/>
  <c r="K197" i="4"/>
  <c r="K199" i="4" s="1"/>
  <c r="E197" i="4"/>
  <c r="E199" i="4" s="1"/>
  <c r="E195" i="4"/>
  <c r="C89" i="4"/>
  <c r="C88" i="4"/>
  <c r="C90" i="4"/>
  <c r="F197" i="4"/>
  <c r="F199" i="4" s="1"/>
  <c r="J195" i="4"/>
  <c r="J197" i="4"/>
  <c r="J199" i="4" s="1"/>
  <c r="K89" i="4"/>
  <c r="K88" i="4"/>
  <c r="K90" i="4"/>
  <c r="C197" i="4"/>
  <c r="C199" i="4" s="1"/>
  <c r="C58" i="3"/>
  <c r="C64" i="3" s="1"/>
  <c r="C41" i="3" l="1"/>
  <c r="C65" i="3"/>
  <c r="B91" i="4"/>
  <c r="B100" i="4" s="1"/>
  <c r="D91" i="4"/>
  <c r="D100" i="4" s="1"/>
  <c r="G91" i="4"/>
  <c r="G100" i="4" s="1"/>
  <c r="C66" i="3"/>
  <c r="K91" i="4"/>
  <c r="K100" i="4" s="1"/>
  <c r="F91" i="4"/>
  <c r="F100" i="4" s="1"/>
  <c r="C91" i="4"/>
  <c r="C100" i="4" s="1"/>
  <c r="J91" i="4"/>
  <c r="J100" i="4" s="1"/>
  <c r="B195" i="4"/>
  <c r="B197" i="4"/>
  <c r="B199" i="4" s="1"/>
  <c r="C76" i="3"/>
  <c r="C77" i="3" s="1"/>
  <c r="C49" i="3"/>
  <c r="C55" i="3" s="1"/>
  <c r="C56" i="3" s="1"/>
</calcChain>
</file>

<file path=xl/sharedStrings.xml><?xml version="1.0" encoding="utf-8"?>
<sst xmlns="http://schemas.openxmlformats.org/spreadsheetml/2006/main" count="847" uniqueCount="621">
  <si>
    <t>Anno</t>
  </si>
  <si>
    <t>31/12/2024</t>
  </si>
  <si>
    <t>31/12/2023</t>
  </si>
  <si>
    <t>31/12/2022</t>
  </si>
  <si>
    <t>31/12/2021</t>
  </si>
  <si>
    <t>31/12/2020</t>
  </si>
  <si>
    <t>31/12/2019</t>
  </si>
  <si>
    <t>31/12/2018</t>
  </si>
  <si>
    <t>31/12/2017</t>
  </si>
  <si>
    <t>31/12/2016</t>
  </si>
  <si>
    <t>31/12/2015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</si>
  <si>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</si>
  <si>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</si>
  <si>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</si>
  <si>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</si>
  <si>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</si>
  <si>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</si>
  <si>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</si>
  <si>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</si>
  <si>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</si>
  <si>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</si>
  <si>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</si>
  <si>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</si>
  <si>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</si>
  <si>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</si>
  <si>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</si>
  <si>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</si>
  <si>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</si>
  <si>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</si>
  <si>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</si>
  <si>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</si>
  <si>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</si>
  <si>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</si>
  <si>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</si>
  <si>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</si>
  <si>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</si>
  <si>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</si>
  <si>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</si>
  <si>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</si>
  <si>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</si>
  <si>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</si>
  <si>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</si>
  <si>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</si>
  <si>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</si>
  <si>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</si>
  <si>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</si>
  <si>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</si>
  <si>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</si>
  <si>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</si>
  <si>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</si>
  <si>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</si>
  <si>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</si>
  <si>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</si>
  <si>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</si>
  <si>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</si>
  <si>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</si>
  <si>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</si>
  <si>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</si>
  <si>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</si>
  <si>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</si>
  <si>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</si>
  <si>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</si>
  <si>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</si>
  <si>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</si>
  <si>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</si>
  <si>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</si>
  <si>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</si>
  <si>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</si>
  <si>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</si>
  <si>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</si>
  <si>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</si>
  <si>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</si>
  <si>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</si>
  <si>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</si>
  <si>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</si>
  <si>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</si>
  <si>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</si>
  <si>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</si>
  <si>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</si>
  <si>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</si>
  <si>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</si>
  <si>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</si>
  <si>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</si>
  <si>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</si>
  <si>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</si>
  <si>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</si>
  <si>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</si>
  <si>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</si>
  <si>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</si>
  <si>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</si>
  <si>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</si>
  <si>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</si>
  <si>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</si>
  <si>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</si>
  <si>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</si>
  <si>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</si>
  <si>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</si>
  <si>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</si>
  <si>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</si>
  <si>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</si>
  <si>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</si>
  <si>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</si>
  <si>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</si>
  <si>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</si>
  <si>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</si>
  <si>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</si>
  <si>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</si>
  <si>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</si>
  <si>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</si>
  <si>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</si>
  <si>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</si>
  <si>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</si>
  <si>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</si>
  <si>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</si>
  <si>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</si>
  <si>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</si>
  <si>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</si>
  <si>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</si>
  <si>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</si>
  <si>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</si>
  <si>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</si>
  <si>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</si>
  <si>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</si>
  <si>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</si>
  <si>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</si>
  <si>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</si>
  <si>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</si>
  <si>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</si>
  <si>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</si>
  <si>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</si>
  <si>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</si>
  <si>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</si>
  <si>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</si>
  <si>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</si>
  <si>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</si>
  <si>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</si>
  <si>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</si>
  <si>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</si>
  <si>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</si>
  <si>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</si>
  <si>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</si>
  <si>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</si>
  <si>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</si>
  <si>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</si>
  <si>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</si>
  <si>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</si>
  <si>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</si>
  <si>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</si>
  <si>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</si>
  <si>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</si>
  <si>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</si>
  <si>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</si>
  <si>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</si>
  <si>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</si>
  <si>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</si>
  <si>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</si>
  <si>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</si>
  <si>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</si>
  <si>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</si>
  <si>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</si>
  <si>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</si>
  <si>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</si>
  <si>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</si>
  <si>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</si>
  <si>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</si>
  <si>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</si>
  <si>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</si>
  <si>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</si>
  <si>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</si>
  <si>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</si>
  <si>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</si>
  <si>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</si>
  <si>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</si>
  <si>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</si>
  <si>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</si>
  <si>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</si>
  <si>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</si>
  <si>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</si>
  <si>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</si>
  <si>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</si>
  <si>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</si>
  <si>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</si>
  <si>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</si>
  <si>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</si>
  <si>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</si>
  <si>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</si>
  <si>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</si>
  <si>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</si>
  <si>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</si>
  <si>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</si>
  <si>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</si>
  <si>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</si>
  <si>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</si>
  <si>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</si>
  <si>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</si>
  <si>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</si>
  <si>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</si>
  <si>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</si>
  <si>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</si>
  <si>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</si>
  <si>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</si>
  <si>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</si>
  <si>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</si>
  <si>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</si>
  <si>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</si>
  <si>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</si>
  <si>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</si>
  <si>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</si>
  <si>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</si>
  <si>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</si>
  <si>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</si>
  <si>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</si>
  <si>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</si>
  <si>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</si>
  <si>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</si>
  <si>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</si>
  <si>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</si>
  <si>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</si>
  <si>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</si>
  <si>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</si>
  <si>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</si>
  <si>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</si>
  <si>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</si>
  <si>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</si>
  <si>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</si>
  <si>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</si>
  <si>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</si>
  <si>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</si>
  <si>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</si>
  <si>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</si>
  <si>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</si>
  <si>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</si>
  <si>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</si>
  <si>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</si>
  <si>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</si>
  <si>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</si>
  <si>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</si>
  <si>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</si>
  <si>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</si>
  <si>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</si>
  <si>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</si>
  <si>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</si>
  <si>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</si>
  <si>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</si>
  <si>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</si>
  <si>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</si>
  <si>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</si>
  <si>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</si>
  <si>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</si>
  <si>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</si>
  <si>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Segno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</si>
  <si>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</si>
  <si>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</si>
  <si>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</si>
  <si>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</si>
  <si>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</si>
  <si>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</si>
  <si>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</si>
  <si>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</si>
  <si>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</si>
  <si>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</si>
  <si>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</si>
  <si>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</si>
  <si>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Strumenti derivati attivi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</si>
  <si>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</si>
  <si>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</si>
  <si>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</si>
  <si>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</si>
  <si>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</si>
  <si>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</si>
  <si>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</si>
  <si>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</si>
  <si>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</si>
  <si>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</si>
  <si>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breve termine</t>
  </si>
  <si>
    <t xml:space="preserve">   Debiti strutturali a m/l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</si>
  <si>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</si>
  <si>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</si>
  <si>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</si>
  <si>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</si>
  <si>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</si>
  <si>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</si>
  <si>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</si>
  <si>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</si>
  <si>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</si>
  <si>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</si>
  <si>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</si>
  <si>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</si>
  <si>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</si>
  <si>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</si>
  <si>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</si>
  <si>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</si>
  <si>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</si>
  <si>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</si>
  <si>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</si>
  <si>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</si>
  <si>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</si>
  <si>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</si>
  <si>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</si>
  <si>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>− Imposte</t>
  </si>
  <si>
    <t>Stato Patrimoniale Attivo</t>
  </si>
  <si>
    <t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</si>
  <si>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</si>
  <si>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</si>
  <si>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</si>
  <si>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</si>
  <si>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</si>
  <si>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</si>
  <si>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</si>
  <si>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>Attività fiscali</t>
  </si>
  <si>
    <t xml:space="preserve">   Totale attività fiscali</t>
  </si>
  <si>
    <t>Attività accessorie</t>
  </si>
  <si>
    <t xml:space="preserve">   Immobilizzazioni extra-operative</t>
  </si>
  <si>
    <t xml:space="preserve">   Totale attività accessorie</t>
  </si>
  <si>
    <t>Attività finanziarie</t>
  </si>
  <si>
    <t xml:space="preserve">   Totale attività finanziarie</t>
  </si>
  <si>
    <t>Totale attivo</t>
  </si>
  <si>
    <t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</si>
  <si>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</si>
  <si>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</si>
  <si>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</si>
  <si>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>Stato Patrimoniale Passivo</t>
  </si>
  <si>
    <t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</si>
  <si>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</si>
  <si>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</si>
  <si>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</si>
  <si>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</si>
  <si>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</si>
  <si>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</si>
  <si>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>Passività fiscali e fondi</t>
  </si>
  <si>
    <t xml:space="preserve">   Totale passività fiscali e fondi</t>
  </si>
  <si>
    <t>Passività accessorie</t>
  </si>
  <si>
    <t xml:space="preserve">   Totale passività accessorie</t>
  </si>
  <si>
    <t>Passività finanziarie</t>
  </si>
  <si>
    <t xml:space="preserve">   Debiti di tesoreria</t>
  </si>
  <si>
    <t xml:space="preserve">   Totale passività finanziarie</t>
  </si>
  <si>
    <t>Capitale proprio</t>
  </si>
  <si>
    <t xml:space="preserve">   Capitale netto</t>
  </si>
  <si>
    <t xml:space="preserve">   Totale capitale proprio</t>
  </si>
  <si>
    <t>Totale passivo</t>
  </si>
  <si>
    <t>diff da AIDA</t>
  </si>
  <si>
    <t>Check Tot.Attivo - Tot.Passivo</t>
  </si>
  <si>
    <t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</si>
  <si>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</si>
  <si>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</si>
  <si>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</si>
  <si>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</si>
  <si>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</si>
  <si>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</si>
  <si>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>CCON</t>
  </si>
  <si>
    <t>AON -&gt;</t>
  </si>
  <si>
    <t>AON*+ att.gestione accessoria</t>
  </si>
  <si>
    <t>capitale proprio + debito netto</t>
  </si>
  <si>
    <t>Relazione fonti/impieghi</t>
  </si>
  <si>
    <t>Conto Economico</t>
  </si>
  <si>
    <t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</si>
  <si>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</si>
  <si>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</si>
  <si>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</si>
  <si>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</si>
  <si>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</si>
  <si>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</si>
  <si>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</si>
  <si>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</si>
  <si>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>Check reddito operativo AIDA</t>
  </si>
  <si>
    <t>Gestione finanziaria</t>
  </si>
  <si>
    <t xml:space="preserve">   = (E) +/− Proventi/Oneri finanziari netti</t>
  </si>
  <si>
    <t xml:space="preserve">   = (D+E) Reddito lordo pre gestione accessoria, straordinaria</t>
  </si>
  <si>
    <t>Gestione accessoria e straordinaria</t>
  </si>
  <si>
    <t xml:space="preserve">   = (F) +/− Reddito gestioni accessoria e straordinaria</t>
  </si>
  <si>
    <t>= (D+E+F) reddito lordo</t>
  </si>
  <si>
    <t>= Reddito netto</t>
  </si>
  <si>
    <t>Check reddito netto</t>
  </si>
  <si>
    <t xml:space="preserve">  Reddito netto.civ – Reddito netto.ricl</t>
  </si>
  <si>
    <t xml:space="preserve">  Reddito CE - Reddito in SPP</t>
  </si>
  <si>
    <t>Imposta teorica</t>
  </si>
  <si>
    <t>Risparmio fiscale su interessi netti</t>
  </si>
  <si>
    <t xml:space="preserve">   Riserve strategiche di liquidità</t>
  </si>
  <si>
    <t>SP attivo</t>
  </si>
  <si>
    <t>Riclassificazione</t>
  </si>
  <si>
    <t>inserimento manuale straordinario per assenza dati</t>
  </si>
  <si>
    <t>reddito operativo AIDA</t>
  </si>
  <si>
    <t>Rendiconto finanziario</t>
  </si>
  <si>
    <t>Flussi di cassa della gestione operativa e accessoria</t>
  </si>
  <si>
    <t xml:space="preserve">    Flussi di cassa della gestione operativa corrente</t>
  </si>
  <si>
    <t>+</t>
  </si>
  <si>
    <t xml:space="preserve">        Reddito operativo</t>
  </si>
  <si>
    <t>±</t>
  </si>
  <si>
    <t xml:space="preserve">        Reddito gestioni accessoria e straordinaria</t>
  </si>
  <si>
    <t xml:space="preserve">        Riaggiunta ammortamenti</t>
  </si>
  <si>
    <t>-</t>
  </si>
  <si>
    <t xml:space="preserve">        (Imposte + Risparmio fiscale interessi netti)</t>
  </si>
  <si>
    <t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</si>
  <si>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</si>
  <si>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</si>
  <si>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</si>
  <si>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</si>
  <si>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</si>
  <si>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</si>
  <si>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</si>
  <si>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</si>
  <si>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</si>
  <si>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</si>
  <si>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</si>
  <si>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</si>
  <si>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</si>
  <si>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</si>
  <si>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</si>
  <si>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</si>
  <si>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</si>
  <si>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</si>
  <si>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</si>
  <si>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</si>
  <si>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</si>
  <si>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</si>
  <si>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</si>
  <si>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</si>
  <si>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</si>
  <si>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</si>
  <si>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</si>
  <si>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</si>
  <si>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</si>
  <si>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</si>
  <si>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</si>
  <si>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</si>
  <si>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</si>
  <si>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</si>
  <si>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</si>
  <si>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</si>
  <si>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</si>
  <si>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</si>
  <si>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</si>
  <si>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</si>
  <si>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</si>
  <si>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>Flusso di cassa netto (NCF)</t>
  </si>
  <si>
    <t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</si>
  <si>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</si>
  <si>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</si>
  <si>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</si>
  <si>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</si>
  <si>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</si>
  <si>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>Check FCFF</t>
  </si>
  <si>
    <t xml:space="preserve">    EBITDA al netto delle imposte check</t>
  </si>
  <si>
    <t xml:space="preserve">    -Ammortamenti check</t>
  </si>
  <si>
    <t xml:space="preserve">    = FCFF ceck</t>
  </si>
  <si>
    <t xml:space="preserve">    Sbilancio check FCFF</t>
  </si>
  <si>
    <t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</si>
  <si>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</si>
  <si>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</si>
  <si>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</si>
  <si>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= FCFE check</t>
  </si>
  <si>
    <t xml:space="preserve">    Sbilancio check FCFE</t>
  </si>
  <si>
    <t xml:space="preserve">    = Risultato</t>
  </si>
  <si>
    <t>debito netto, se neg è liq netta -&gt;</t>
  </si>
  <si>
    <t>FEDRIGONI S.P.A.</t>
  </si>
  <si>
    <t>01664630223</t>
  </si>
  <si>
    <t>INDICATORI FINANZIARI</t>
  </si>
  <si>
    <t>valori patrimoniali medie t-1 per attenuare variazioni significativi</t>
  </si>
  <si>
    <t>RLA (redd. gest OFA)</t>
  </si>
  <si>
    <t>Reddito operativo</t>
  </si>
  <si>
    <t>EBITDA(MOL)</t>
  </si>
  <si>
    <t>Reddito netto</t>
  </si>
  <si>
    <t>Ricavi</t>
  </si>
  <si>
    <t>Ricavi t-1</t>
  </si>
  <si>
    <t>Ricavi con IVA gg</t>
  </si>
  <si>
    <t>Acquisti</t>
  </si>
  <si>
    <t>Acquisti con IVA gg</t>
  </si>
  <si>
    <t>Costo del venduto gg medio</t>
  </si>
  <si>
    <t>Costo del personale gg medio</t>
  </si>
  <si>
    <t>AON* medio</t>
  </si>
  <si>
    <t>AON* init</t>
  </si>
  <si>
    <t>AON* fin</t>
  </si>
  <si>
    <t>Reddito att.acc (prov-oneri acc)</t>
  </si>
  <si>
    <t>AACCN media(ris gest acc)</t>
  </si>
  <si>
    <t>AACC medie(solo attività)</t>
  </si>
  <si>
    <t>AACC finali</t>
  </si>
  <si>
    <t>PACC medie (solo passivo)</t>
  </si>
  <si>
    <t>PACC finali (solo passivo)</t>
  </si>
  <si>
    <t>ris gest str</t>
  </si>
  <si>
    <t>PFN (ris gest fin)</t>
  </si>
  <si>
    <t>DEBn</t>
  </si>
  <si>
    <t>LIQn</t>
  </si>
  <si>
    <t>oneri finanziari</t>
  </si>
  <si>
    <t>interessi attivi</t>
  </si>
  <si>
    <t>imposta</t>
  </si>
  <si>
    <t>Debito lordo medio(pass. gest. fin)</t>
  </si>
  <si>
    <t>Liq. lorda media(att. gest fin)</t>
  </si>
  <si>
    <t>Crediti commerciali medi</t>
  </si>
  <si>
    <t>Debiti commerciali medi</t>
  </si>
  <si>
    <t>Rimanenze magazzino medie</t>
  </si>
  <si>
    <t>Rimanenze magazzino finali</t>
  </si>
  <si>
    <t>Attività a BT</t>
  </si>
  <si>
    <t>Attività a BT finali</t>
  </si>
  <si>
    <t>Passività a BT medie</t>
  </si>
  <si>
    <t>Passività a BT finali</t>
  </si>
  <si>
    <t>Passività operative consolidate medie</t>
  </si>
  <si>
    <t>Passività operative consolidate finali</t>
  </si>
  <si>
    <t>debiti strutturali m/l medi</t>
  </si>
  <si>
    <t>debiti strutturali m/l finali</t>
  </si>
  <si>
    <t>immobilizzazioni operative</t>
  </si>
  <si>
    <t>immobilizzazioni operative finali</t>
  </si>
  <si>
    <t>CP capitale proprio medio</t>
  </si>
  <si>
    <t>CP init</t>
  </si>
  <si>
    <t>CP fin</t>
  </si>
  <si>
    <t>DIV t</t>
  </si>
  <si>
    <t>Aumento finanziamenti netti da soci e controllanti t e t-1</t>
  </si>
  <si>
    <t>Aumento accantonamenti e perdite precedenti (se neg aumento utile)</t>
  </si>
  <si>
    <t>var reddito di esercizio</t>
  </si>
  <si>
    <t>var CPn</t>
  </si>
  <si>
    <t>Quozienti di redditività</t>
  </si>
  <si>
    <t>/Ricavi</t>
  </si>
  <si>
    <t>ROS</t>
  </si>
  <si>
    <t>/AON*</t>
  </si>
  <si>
    <t>ROI</t>
  </si>
  <si>
    <t>Oneri finanziari</t>
  </si>
  <si>
    <t>/Debito lordo</t>
  </si>
  <si>
    <t>ROD</t>
  </si>
  <si>
    <t>Interessi attivi</t>
  </si>
  <si>
    <t>/Liquidità lorda</t>
  </si>
  <si>
    <t>ROL</t>
  </si>
  <si>
    <t>Reddittività att.acc</t>
  </si>
  <si>
    <t>/AACCn</t>
  </si>
  <si>
    <t>ROAACC</t>
  </si>
  <si>
    <t>/CP</t>
  </si>
  <si>
    <t>ROE netto</t>
  </si>
  <si>
    <t>RLA</t>
  </si>
  <si>
    <t>ROE lordo</t>
  </si>
  <si>
    <t>Prima scomposizione ROE lordo:</t>
  </si>
  <si>
    <t>+effetto Leva finanziaria</t>
  </si>
  <si>
    <t>+effetto Liquidità</t>
  </si>
  <si>
    <t>+effetto Attività accessorie</t>
  </si>
  <si>
    <t>Seconda scomposizione ROE lordo:</t>
  </si>
  <si>
    <t>+rendimento AON*</t>
  </si>
  <si>
    <t>+effetto costo del debito</t>
  </si>
  <si>
    <t>+rendimento liquidità</t>
  </si>
  <si>
    <t>+rendimento att.accessorie</t>
  </si>
  <si>
    <t>check ROE lordo 1:</t>
  </si>
  <si>
    <t>check ROE lordo 2:</t>
  </si>
  <si>
    <t>Da lordo a netto:</t>
  </si>
  <si>
    <t>x (RLA+ris str)/RLA</t>
  </si>
  <si>
    <t>x (RL+tax)/RL</t>
  </si>
  <si>
    <t>check ROE netto</t>
  </si>
  <si>
    <t>Quozienti di rotazione dell'attivo netto</t>
  </si>
  <si>
    <t>/Ricavi con IVA gg</t>
  </si>
  <si>
    <t>Tempo medio di incasso</t>
  </si>
  <si>
    <t>/Acquisti con IVA gg</t>
  </si>
  <si>
    <t>Tempo medio di pagamento</t>
  </si>
  <si>
    <t>rim. magazzino medie</t>
  </si>
  <si>
    <t>/(costo del venduto gg medio</t>
  </si>
  <si>
    <t>+costo del personale gg medio)</t>
  </si>
  <si>
    <t>Tempo medio di giacenza in magazzino</t>
  </si>
  <si>
    <t>/rim. magazzino medie</t>
  </si>
  <si>
    <t>Rotazione del magazzino</t>
  </si>
  <si>
    <t>/AON medie</t>
  </si>
  <si>
    <t>Rotazione AON</t>
  </si>
  <si>
    <t>/AON* medie</t>
  </si>
  <si>
    <t>Rotazione AON*</t>
  </si>
  <si>
    <t>/ROS</t>
  </si>
  <si>
    <t>check Rotazione AON*</t>
  </si>
  <si>
    <t>Quozienti di liquidità ed equilibrio fonti/impieghi</t>
  </si>
  <si>
    <t>Attività a breve</t>
  </si>
  <si>
    <t>/Passività a breve</t>
  </si>
  <si>
    <t>Indice di liquidità</t>
  </si>
  <si>
    <t>Attività a breve - scorte in magazzino</t>
  </si>
  <si>
    <t>/Passivita a breve</t>
  </si>
  <si>
    <t>Indice di liquidità immediata</t>
  </si>
  <si>
    <t>CP</t>
  </si>
  <si>
    <t>-(imm.operative+AACC)</t>
  </si>
  <si>
    <t>Margine di struttura: primo livello</t>
  </si>
  <si>
    <t>+(pass. operative lungo + pass. gest acc + debiti strutt. m/l)</t>
  </si>
  <si>
    <t>Margine di struttura: secondo livello</t>
  </si>
  <si>
    <t>Quozienti di sviluppo e impiego</t>
  </si>
  <si>
    <t>ΔAON*</t>
  </si>
  <si>
    <t>/AON*t-1</t>
  </si>
  <si>
    <t>Tasso di sviluppo AON*</t>
  </si>
  <si>
    <t>ΔCP</t>
  </si>
  <si>
    <t>/CP t-1</t>
  </si>
  <si>
    <t>Tasso di sviluppo CP</t>
  </si>
  <si>
    <t>ΔDEBn = ΔAON* - ΔCP</t>
  </si>
  <si>
    <t>ΔDEBn</t>
  </si>
  <si>
    <t>/ΔCP</t>
  </si>
  <si>
    <t>Indice di leva finanziaria</t>
  </si>
  <si>
    <t>sviluppo AON* - sviluppo CP</t>
  </si>
  <si>
    <t>Scomposizione sviluppo AON*</t>
  </si>
  <si>
    <t>Sviluppo dei ricavi = ΔRIC/RIC[t-1]</t>
  </si>
  <si>
    <t>x Intensità di capitale incrementale = ΔAON* / ΔRIC</t>
  </si>
  <si>
    <t>x Rotazione AON* iniziale = RIC[t-1]/AON*[t-1]</t>
  </si>
  <si>
    <t>Sviluppo AON*</t>
  </si>
  <si>
    <t>check ΔAON*/AON*[t-1]</t>
  </si>
  <si>
    <t>check</t>
  </si>
  <si>
    <t>Scomposizione sviluppo CP</t>
  </si>
  <si>
    <t>ROE su CPinit = RN/CP[t-1]</t>
  </si>
  <si>
    <t>Payout ratio = DIV/RN</t>
  </si>
  <si>
    <t>Crescita per utili non distribuiti = ROE*(1-DIV/RN)</t>
  </si>
  <si>
    <t>Incidenza dCAP su RN = dCAP/RN</t>
  </si>
  <si>
    <t>Sviluppo CP</t>
  </si>
  <si>
    <t>check ΔCP/CP[t-1]</t>
  </si>
  <si>
    <t>Grado di indebitamento</t>
  </si>
  <si>
    <t>DEBN (-LIQN) finale</t>
  </si>
  <si>
    <t>/CP finale</t>
  </si>
  <si>
    <t>Grado di indebitamento su CP</t>
  </si>
  <si>
    <t>ΔDEBN (-LIQN)/CP (finali)</t>
  </si>
  <si>
    <t>Sviluppo AON* - Sviluppo CP</t>
  </si>
  <si>
    <t>Sviluppo AACCN</t>
  </si>
  <si>
    <t>ΔAACCN[t-1]</t>
  </si>
  <si>
    <t>/AACCN[t-1]</t>
  </si>
  <si>
    <t>Indicatori di robustezza</t>
  </si>
  <si>
    <t>/Oneri finanziari</t>
  </si>
  <si>
    <t>Copertura economica degli interessi</t>
  </si>
  <si>
    <t>Debito netto</t>
  </si>
  <si>
    <t>/EBITDA(MoL)</t>
  </si>
  <si>
    <t>Tempo di recupero del debito</t>
  </si>
  <si>
    <t>'= Reddito netto/CP check</t>
  </si>
  <si>
    <t xml:space="preserve">    -VAR AON*</t>
  </si>
  <si>
    <t xml:space="preserve">    -VAR AACC</t>
  </si>
  <si>
    <t xml:space="preserve">    +Var. Ris. rivalutazione</t>
  </si>
  <si>
    <t xml:space="preserve">    +VAR P.ACC</t>
  </si>
  <si>
    <t>AON*</t>
  </si>
  <si>
    <t xml:space="preserve">    -VAR deriv att</t>
  </si>
  <si>
    <t xml:space="preserve">    +VAR deriv pass</t>
  </si>
  <si>
    <t xml:space="preserve">    +VAR deb strutt m/l +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</si>
</sst>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[$€-2]* #,##0.00_-;_-[$€-2]* \-#,##0.00_-;_-[$€-2]* &quot;-&quot;??_-;_-@"/>
    <numFmt numFmtId="165" formatCode="#,##0.00;\(#,##0.00\)"/>
    <numFmt numFmtId="166" formatCode="0.00%;[Red]\(0.00%\)"/>
    <numFmt numFmtId="167" formatCode="#,##0.00_ ;[Red]\-#,##0.00\ "/>
  </numFmts>
  <fonts count="1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4" fontId="1" fillId="0" borderId="3" xfId="0" applyNumberFormat="1" applyFont="1" applyBorder="1" applyAlignment="1">
      <alignment horizontal="center" vertical="center"/>
    </xf>
    <xf numFmtId="4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3"/>
    </xf>
    <xf numFmtId="0" fontId="1" fillId="4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44" fontId="4" fillId="0" borderId="0" xfId="0" applyNumberFormat="1" applyFont="1" applyAlignment="1">
      <alignment horizontal="center" vertical="center"/>
    </xf>
    <xf numFmtId="4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4" fontId="4" fillId="0" borderId="0" xfId="0" applyNumberFormat="1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2" fillId="0" borderId="0" xfId="0" quotePrefix="1" applyFont="1" applyAlignment="1">
      <alignment vertical="center"/>
    </xf>
    <xf numFmtId="49" fontId="3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44" fontId="5" fillId="0" borderId="0" xfId="0" applyNumberFormat="1" applyFont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44" fontId="5" fillId="0" borderId="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44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4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1" fillId="0" borderId="4" xfId="0" applyFont="1" applyBorder="1" applyAlignment="1">
      <alignment horizontal="center"/>
    </xf>
    <xf numFmtId="0" fontId="10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0" xfId="0" applyFont="1"/>
    <xf numFmtId="0" fontId="3" fillId="0" borderId="6" xfId="0" applyFont="1" applyBorder="1" applyAlignment="1">
      <alignment horizontal="center"/>
    </xf>
    <xf numFmtId="0" fontId="3" fillId="0" borderId="0" xfId="0" applyFont="1"/>
    <xf numFmtId="0" fontId="3" fillId="0" borderId="6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applyFont="1" applyBorder="1"/>
    <xf numFmtId="0" fontId="2" fillId="0" borderId="7" xfId="0" quotePrefix="1" applyFont="1" applyBorder="1" applyAlignment="1">
      <alignment horizontal="center"/>
    </xf>
    <xf numFmtId="0" fontId="2" fillId="0" borderId="8" xfId="0" applyFont="1" applyBorder="1"/>
    <xf numFmtId="0" fontId="3" fillId="0" borderId="9" xfId="0" quotePrefix="1" applyFont="1" applyBorder="1" applyAlignment="1">
      <alignment horizontal="center"/>
    </xf>
    <xf numFmtId="0" fontId="3" fillId="0" borderId="10" xfId="0" applyFont="1" applyBorder="1"/>
    <xf numFmtId="0" fontId="3" fillId="0" borderId="7" xfId="0" quotePrefix="1" applyFont="1" applyBorder="1" applyAlignment="1">
      <alignment horizontal="center"/>
    </xf>
    <xf numFmtId="0" fontId="3" fillId="0" borderId="8" xfId="0" applyFont="1" applyBorder="1"/>
    <xf numFmtId="0" fontId="2" fillId="0" borderId="9" xfId="0" quotePrefix="1" applyFont="1" applyBorder="1" applyAlignment="1">
      <alignment horizontal="center"/>
    </xf>
    <xf numFmtId="0" fontId="2" fillId="0" borderId="10" xfId="0" applyFont="1" applyBorder="1"/>
    <xf numFmtId="0" fontId="2" fillId="0" borderId="6" xfId="0" quotePrefix="1" applyFont="1" applyBorder="1" applyAlignment="1">
      <alignment horizontal="center"/>
    </xf>
    <xf numFmtId="0" fontId="1" fillId="0" borderId="0" xfId="0" applyFont="1"/>
    <xf numFmtId="4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" xfId="0" applyFont="1" applyBorder="1"/>
    <xf numFmtId="0" fontId="3" fillId="0" borderId="11" xfId="0" applyFont="1" applyBorder="1"/>
    <xf numFmtId="0" fontId="4" fillId="0" borderId="0" xfId="0" applyFont="1"/>
    <xf numFmtId="44" fontId="1" fillId="0" borderId="0" xfId="0" applyNumberFormat="1" applyFont="1"/>
    <xf numFmtId="0" fontId="12" fillId="0" borderId="0" xfId="0" applyFont="1"/>
    <xf numFmtId="166" fontId="4" fillId="0" borderId="0" xfId="0" applyNumberFormat="1" applyFont="1"/>
    <xf numFmtId="165" fontId="4" fillId="0" borderId="0" xfId="0" applyNumberFormat="1" applyFont="1"/>
    <xf numFmtId="167" fontId="1" fillId="0" borderId="0" xfId="0" applyNumberFormat="1" applyFont="1"/>
    <xf numFmtId="0" fontId="5" fillId="0" borderId="0" xfId="0" applyFont="1"/>
    <xf numFmtId="0" fontId="13" fillId="0" borderId="0" xfId="0" applyFont="1"/>
    <xf numFmtId="165" fontId="1" fillId="0" borderId="0" xfId="0" applyNumberFormat="1" applyFont="1"/>
    <xf numFmtId="10" fontId="1" fillId="0" borderId="0" xfId="0" applyNumberFormat="1" applyFont="1"/>
    <xf numFmtId="0" fontId="14" fillId="0" borderId="0" xfId="0" applyFont="1"/>
    <xf numFmtId="0" fontId="1" fillId="0" borderId="1" xfId="0" applyFont="1" applyBorder="1"/>
  </cellXfs>
  <cellStyles count="1">
    <cellStyle name="Normale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8.6436658189964752E-2</c:v>
                </c:pt>
                <c:pt idx="1">
                  <c:v>0.1007710687125126</c:v>
                </c:pt>
                <c:pt idx="2">
                  <c:v>1.5437419215883786E-2</c:v>
                </c:pt>
                <c:pt idx="3">
                  <c:v>1.6145767039298251E-2</c:v>
                </c:pt>
                <c:pt idx="4">
                  <c:v>6.9337630859859752E-3</c:v>
                </c:pt>
                <c:pt idx="5">
                  <c:v>5.1161439326503098E-2</c:v>
                </c:pt>
                <c:pt idx="6">
                  <c:v>5.6092053091606954E-2</c:v>
                </c:pt>
                <c:pt idx="7">
                  <c:v>0.11739381885858555</c:v>
                </c:pt>
                <c:pt idx="8">
                  <c:v>0.10917031028578071</c:v>
                </c:pt>
                <c:pt idx="9">
                  <c:v>8.4049279882101285E-2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2-EE4F-BE19-ABF74242F1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4.6836164333536684E-2</c:v>
                </c:pt>
                <c:pt idx="1">
                  <c:v>0.14202270703690714</c:v>
                </c:pt>
                <c:pt idx="2">
                  <c:v>4.5810434379058108E-2</c:v>
                </c:pt>
                <c:pt idx="3">
                  <c:v>3.4402737855585168E-2</c:v>
                </c:pt>
                <c:pt idx="4">
                  <c:v>1.443543784474002E-2</c:v>
                </c:pt>
                <c:pt idx="5">
                  <c:v>0.16037057751679806</c:v>
                </c:pt>
                <c:pt idx="6">
                  <c:v>0.14978012172356889</c:v>
                </c:pt>
                <c:pt idx="7">
                  <c:v>0.33477297210440504</c:v>
                </c:pt>
                <c:pt idx="8">
                  <c:v>0.29562219463756928</c:v>
                </c:pt>
                <c:pt idx="9">
                  <c:v>0.20810616939960877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1-9848-AC21-BD9A25D271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0.30821211853499425</c:v>
                </c:pt>
                <c:pt idx="1">
                  <c:v>0.33046997689385899</c:v>
                </c:pt>
                <c:pt idx="2">
                  <c:v>0.14782018009117351</c:v>
                </c:pt>
                <c:pt idx="3">
                  <c:v>5.4207857503620567E-2</c:v>
                </c:pt>
                <c:pt idx="4">
                  <c:v>0.17344573240059025</c:v>
                </c:pt>
                <c:pt idx="5">
                  <c:v>0.5649338958339194</c:v>
                </c:pt>
                <c:pt idx="6">
                  <c:v>5.1571140758086956E-2</c:v>
                </c:pt>
                <c:pt idx="7">
                  <c:v>1.724940044485929E-2</c:v>
                </c:pt>
                <c:pt idx="8">
                  <c:v>1.8800166340550366E-2</c:v>
                </c:pt>
                <c:pt idx="9">
                  <c:v>2.0140146240233504E-2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A-2846-9E65-649A3DBE58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9.2364765354456077E-2</c:v>
                </c:pt>
                <c:pt idx="1">
                  <c:v>0.11264612002258191</c:v>
                </c:pt>
                <c:pt idx="2">
                  <c:v>7.3675667109847631E-2</c:v>
                </c:pt>
                <c:pt idx="3">
                  <c:v>5.2536256902606882E-2</c:v>
                </c:pt>
                <c:pt idx="4">
                  <c:v>6.3029216414208167E-2</c:v>
                </c:pt>
                <c:pt idx="5">
                  <c:v>1.3277071662082049E-2</c:v>
                </c:pt>
                <c:pt idx="6">
                  <c:v>2.9335353119049976E-2</c:v>
                </c:pt>
                <c:pt idx="7">
                  <c:v>2.8829913789675077E-2</c:v>
                </c:pt>
                <c:pt idx="8">
                  <c:v>2.3579539401979814E-2</c:v>
                </c:pt>
                <c:pt idx="9">
                  <c:v>0.17595453842589057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F-4449-855D-EFC07AF3C4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2.538584903924081E-3</c:v>
                </c:pt>
                <c:pt idx="1">
                  <c:v>9.4502414640646739E-4</c:v>
                </c:pt>
                <c:pt idx="2">
                  <c:v>0.11279279961327733</c:v>
                </c:pt>
                <c:pt idx="3">
                  <c:v>3.185208778795097E-2</c:v>
                </c:pt>
                <c:pt idx="4">
                  <c:v>2.4103448346388195E-2</c:v>
                </c:pt>
                <c:pt idx="5">
                  <c:v>3.7304293251766367E-2</c:v>
                </c:pt>
                <c:pt idx="6">
                  <c:v>2.9415714213998096E-2</c:v>
                </c:pt>
                <c:pt idx="7">
                  <c:v>3.0411297228033596E-2</c:v>
                </c:pt>
                <c:pt idx="8">
                  <c:v>3.034037907980891E-2</c:v>
                </c:pt>
                <c:pt idx="9">
                  <c:v>2.4694375231765753E-2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0-1E43-B536-030219C92B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ROE lordo vs netto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-0.26206756375817003</c:v>
                </c:pt>
                <c:pt idx="1">
                  <c:v>-9.2178936268007924E-2</c:v>
                </c:pt>
                <c:pt idx="2">
                  <c:v>4.076610354254518E-2</c:v>
                </c:pt>
                <c:pt idx="3">
                  <c:v>-9.4628534026771891E-2</c:v>
                </c:pt>
                <c:pt idx="4">
                  <c:v>-0.20277129509250524</c:v>
                </c:pt>
                <c:pt idx="5">
                  <c:v>1.0212678596936984E-3</c:v>
                </c:pt>
                <c:pt idx="6">
                  <c:v>1.4646642278947169E-2</c:v>
                </c:pt>
                <c:pt idx="7">
                  <c:v>0.1355147502068626</c:v>
                </c:pt>
                <c:pt idx="8">
                  <c:v>0.16672470600007641</c:v>
                </c:pt>
                <c:pt idx="9">
                  <c:v>0.12652945761906001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3-9F47-A81B-4589831DE354}"/>
            </c:ext>
          </c:extLst>
        </c:ser>
        <c:ser>
          <c:idx val="1"/>
          <c:order val="1"/>
          <c:tx>
            <c:v>ROE lordo</c:v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9525">
                <a:solidFill>
                  <a:schemeClr val="accent6">
                    <a:shade val="76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-0.21886215072089008</c:v>
                </c:pt>
                <c:pt idx="1">
                  <c:v>-7.9675164364920503E-2</c:v>
                </c:pt>
                <c:pt idx="2">
                  <c:v>5.2422031665544565E-2</c:v>
                </c:pt>
                <c:pt idx="3">
                  <c:v>-6.9697321208452026E-2</c:v>
                </c:pt>
                <c:pt idx="4">
                  <c:v>-0.19884493203349163</c:v>
                </c:pt>
                <c:pt idx="5">
                  <c:v>7.7858602688270592E-2</c:v>
                </c:pt>
                <c:pt idx="6">
                  <c:v>9.2108117097444583E-2</c:v>
                </c:pt>
                <c:pt idx="7">
                  <c:v>0.21926024380953402</c:v>
                </c:pt>
                <c:pt idx="8">
                  <c:v>0.23062845330049012</c:v>
                </c:pt>
                <c:pt idx="9">
                  <c:v>0.17819458007751299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53-9F47-A81B-4589831DE3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41.028891227398837</c:v>
                </c:pt>
                <c:pt idx="1">
                  <c:v>30.026607985004979</c:v>
                </c:pt>
                <c:pt idx="2">
                  <c:v>10.922753141045408</c:v>
                </c:pt>
                <c:pt idx="3">
                  <c:v>20.489691763508969</c:v>
                </c:pt>
                <c:pt idx="4">
                  <c:v>37.868151628875381</c:v>
                </c:pt>
                <c:pt idx="5">
                  <c:v>51.508830985956841</c:v>
                </c:pt>
                <c:pt idx="6">
                  <c:v>66.076333146191544</c:v>
                </c:pt>
                <c:pt idx="7">
                  <c:v>60.847486340879186</c:v>
                </c:pt>
                <c:pt idx="8">
                  <c:v>64.683059660034544</c:v>
                </c:pt>
                <c:pt idx="9">
                  <c:v>68.769632007777105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A-9645-8EA9-CF6645AA33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134.51371801522836</c:v>
                </c:pt>
                <c:pt idx="1">
                  <c:v>168.85913111179997</c:v>
                </c:pt>
                <c:pt idx="2">
                  <c:v>108.08339841512594</c:v>
                </c:pt>
                <c:pt idx="3">
                  <c:v>108.16896887320192</c:v>
                </c:pt>
                <c:pt idx="4">
                  <c:v>114.7550452208889</c:v>
                </c:pt>
                <c:pt idx="5">
                  <c:v>125.87440908391588</c:v>
                </c:pt>
                <c:pt idx="6">
                  <c:v>102.69902236824387</c:v>
                </c:pt>
                <c:pt idx="7">
                  <c:v>94.387608132316359</c:v>
                </c:pt>
                <c:pt idx="8">
                  <c:v>96.951468010329606</c:v>
                </c:pt>
                <c:pt idx="9">
                  <c:v>101.72528316899748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1-F242-9D89-5055807CB4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85.289760704002575</c:v>
                </c:pt>
                <c:pt idx="1">
                  <c:v>84.110563085649204</c:v>
                </c:pt>
                <c:pt idx="2">
                  <c:v>85.344884513085674</c:v>
                </c:pt>
                <c:pt idx="3">
                  <c:v>95.917805475966958</c:v>
                </c:pt>
                <c:pt idx="4">
                  <c:v>90.05741228198184</c:v>
                </c:pt>
                <c:pt idx="5">
                  <c:v>96.543057137961924</c:v>
                </c:pt>
                <c:pt idx="6">
                  <c:v>96.962674130654989</c:v>
                </c:pt>
                <c:pt idx="7">
                  <c:v>84.932622265499887</c:v>
                </c:pt>
                <c:pt idx="8">
                  <c:v>87.138025990172764</c:v>
                </c:pt>
                <c:pt idx="9">
                  <c:v>86.104271429352664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C-484E-835E-6A82B0A8C2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5.6201179633270471</c:v>
                </c:pt>
                <c:pt idx="1">
                  <c:v>4.1756856589653957</c:v>
                </c:pt>
                <c:pt idx="2">
                  <c:v>5.1118917849097798</c:v>
                </c:pt>
                <c:pt idx="3">
                  <c:v>4.5136543259145041</c:v>
                </c:pt>
                <c:pt idx="4">
                  <c:v>3.8934732727504779</c:v>
                </c:pt>
                <c:pt idx="5">
                  <c:v>4.2012525557768967</c:v>
                </c:pt>
                <c:pt idx="6">
                  <c:v>4.1677788051888855</c:v>
                </c:pt>
                <c:pt idx="7">
                  <c:v>5.1922116932631441</c:v>
                </c:pt>
                <c:pt idx="8">
                  <c:v>5.0252389380831097</c:v>
                </c:pt>
                <c:pt idx="9">
                  <c:v>4.8580155367339906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6-1F4A-B562-0E9ABB2EF7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0.52226531651686403</c:v>
                </c:pt>
                <c:pt idx="1">
                  <c:v>1.4020092395888195</c:v>
                </c:pt>
                <c:pt idx="2">
                  <c:v>2.8877094307335711</c:v>
                </c:pt>
                <c:pt idx="3">
                  <c:v>1.9160984768419111</c:v>
                </c:pt>
                <c:pt idx="4">
                  <c:v>1.8062603652901665</c:v>
                </c:pt>
                <c:pt idx="5">
                  <c:v>2.7386657949592634</c:v>
                </c:pt>
                <c:pt idx="6">
                  <c:v>2.3954937420136053</c:v>
                </c:pt>
                <c:pt idx="7">
                  <c:v>2.5422027728617445</c:v>
                </c:pt>
                <c:pt idx="8">
                  <c:v>2.4673310346260946</c:v>
                </c:pt>
                <c:pt idx="9">
                  <c:v>2.335163609143851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F-5E4B-867D-C041F76D08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0.54185533446472767</c:v>
                </c:pt>
                <c:pt idx="1">
                  <c:v>1.4093599368493388</c:v>
                </c:pt>
                <c:pt idx="2">
                  <c:v>2.9674930594566664</c:v>
                </c:pt>
                <c:pt idx="3">
                  <c:v>2.1307589643681881</c:v>
                </c:pt>
                <c:pt idx="4">
                  <c:v>2.0819052606391888</c:v>
                </c:pt>
                <c:pt idx="5">
                  <c:v>3.1345986279498881</c:v>
                </c:pt>
                <c:pt idx="6">
                  <c:v>2.6702556506347683</c:v>
                </c:pt>
                <c:pt idx="7">
                  <c:v>2.8517086790376749</c:v>
                </c:pt>
                <c:pt idx="8">
                  <c:v>2.70789918855872</c:v>
                </c:pt>
                <c:pt idx="9">
                  <c:v>2.4760018133590935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D-344E-9D75-0419D5DE8F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1.4774524996014957</c:v>
                </c:pt>
                <c:pt idx="1">
                  <c:v>1.8057914525583076</c:v>
                </c:pt>
                <c:pt idx="2">
                  <c:v>0.78514221833063746</c:v>
                </c:pt>
                <c:pt idx="3">
                  <c:v>0.86999159397217785</c:v>
                </c:pt>
                <c:pt idx="4">
                  <c:v>1.0110876006922733</c:v>
                </c:pt>
                <c:pt idx="5">
                  <c:v>1.1701517794333458</c:v>
                </c:pt>
                <c:pt idx="6">
                  <c:v>1.2784260233094693</c:v>
                </c:pt>
                <c:pt idx="7">
                  <c:v>0.95920920699384604</c:v>
                </c:pt>
                <c:pt idx="8">
                  <c:v>1.0592314759682369</c:v>
                </c:pt>
                <c:pt idx="9">
                  <c:v>1.0000407891584024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0-404D-9D56-2E769DE55B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1.1346970453197311</c:v>
                </c:pt>
                <c:pt idx="1">
                  <c:v>1.3658467512045342</c:v>
                </c:pt>
                <c:pt idx="2">
                  <c:v>0.29424492120080714</c:v>
                </c:pt>
                <c:pt idx="3">
                  <c:v>0.31130947577799095</c:v>
                </c:pt>
                <c:pt idx="4">
                  <c:v>0.41149984321943778</c:v>
                </c:pt>
                <c:pt idx="5">
                  <c:v>0.45710084838993315</c:v>
                </c:pt>
                <c:pt idx="6">
                  <c:v>0.59813487905529683</c:v>
                </c:pt>
                <c:pt idx="7">
                  <c:v>0.50519957050594066</c:v>
                </c:pt>
                <c:pt idx="8">
                  <c:v>0.55195626457217462</c:v>
                </c:pt>
                <c:pt idx="9">
                  <c:v>0.54741230600510582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5-5440-B111-405DF810BB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0.17011662217226359</c:v>
                </c:pt>
                <c:pt idx="1">
                  <c:v>0.42114952686034096</c:v>
                </c:pt>
                <c:pt idx="2">
                  <c:v>0.19629990074712189</c:v>
                </c:pt>
                <c:pt idx="3">
                  <c:v>0.22253981792045829</c:v>
                </c:pt>
                <c:pt idx="4">
                  <c:v>4.6961445235008614E-2</c:v>
                </c:pt>
                <c:pt idx="5">
                  <c:v>5.2652972285387776</c:v>
                </c:pt>
                <c:pt idx="6">
                  <c:v>7.3974962538147393</c:v>
                </c:pt>
                <c:pt idx="7">
                  <c:v>28.380881834059746</c:v>
                </c:pt>
                <c:pt idx="8">
                  <c:v>20.748161230178543</c:v>
                </c:pt>
                <c:pt idx="9">
                  <c:v>12.653892532465068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B-0C4E-ACD4-5372AD0C4C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7.0528592406125448</c:v>
                </c:pt>
                <c:pt idx="1">
                  <c:v>2.5312095405112465</c:v>
                </c:pt>
                <c:pt idx="2">
                  <c:v>7.5033520239224076</c:v>
                </c:pt>
                <c:pt idx="3">
                  <c:v>14.286698011249642</c:v>
                </c:pt>
                <c:pt idx="4">
                  <c:v>9.0293109062132597</c:v>
                </c:pt>
                <c:pt idx="5">
                  <c:v>0</c:v>
                </c:pt>
                <c:pt idx="6">
                  <c:v>0.85471143080320189</c:v>
                </c:pt>
                <c:pt idx="7">
                  <c:v>1.0622875342109077</c:v>
                </c:pt>
                <c:pt idx="8">
                  <c:v>1.5302251078058977</c:v>
                </c:pt>
                <c:pt idx="9">
                  <c:v>2.4799212768252477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B-2F45-ACC2-D9E431855E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410619</c:v>
                </c:pt>
                <c:pt idx="1">
                  <c:v>471771</c:v>
                </c:pt>
                <c:pt idx="2">
                  <c:v>-324.25799999991432</c:v>
                </c:pt>
                <c:pt idx="3">
                  <c:v>36562.304999999935</c:v>
                </c:pt>
                <c:pt idx="4">
                  <c:v>97747.05299999984</c:v>
                </c:pt>
                <c:pt idx="5">
                  <c:v>104735.96899999992</c:v>
                </c:pt>
                <c:pt idx="6">
                  <c:v>56705.034999999916</c:v>
                </c:pt>
                <c:pt idx="7">
                  <c:v>10319.329999999958</c:v>
                </c:pt>
                <c:pt idx="8">
                  <c:v>20409.142000000051</c:v>
                </c:pt>
                <c:pt idx="9">
                  <c:v>-11587.517999999982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6-4144-A02C-79DD0C3DA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catAx>
        <c:axId val="780116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0118079"/>
        <c:crosses val="autoZero"/>
        <c:auto val="1"/>
        <c:lblAlgn val="ctr"/>
        <c:lblOffset val="100"/>
        <c:noMultiLvlLbl val="0"/>
      </c:cat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ind!$B$56:$K$56</c:f>
              <c:strCache>
                <c:ptCount val="10"/>
                <c:pt idx="0">
                  <c:v>31/12/2024</c:v>
                </c:pt>
                <c:pt idx="1">
                  <c:v>31/12/2023</c:v>
                </c:pt>
                <c:pt idx="2">
                  <c:v>31/12/2022</c:v>
                </c:pt>
                <c:pt idx="3">
                  <c:v>31/12/2021</c:v>
                </c:pt>
                <c:pt idx="4">
                  <c:v>31/12/2020</c:v>
                </c:pt>
                <c:pt idx="5">
                  <c:v>31/12/2019</c:v>
                </c:pt>
                <c:pt idx="6">
                  <c:v>31/12/2018</c:v>
                </c:pt>
                <c:pt idx="7">
                  <c:v>31/12/2017</c:v>
                </c:pt>
                <c:pt idx="8">
                  <c:v>31/12/2016</c:v>
                </c:pt>
                <c:pt idx="9">
                  <c:v>31/12/2015</c:v>
                </c:pt>
              </c:strCache>
            </c:str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-1015010</c:v>
                </c:pt>
                <c:pt idx="1">
                  <c:v>-231748</c:v>
                </c:pt>
                <c:pt idx="2">
                  <c:v>-395353.4439999999</c:v>
                </c:pt>
                <c:pt idx="3">
                  <c:v>-863335.30100000009</c:v>
                </c:pt>
                <c:pt idx="4">
                  <c:v>-824271.52300000004</c:v>
                </c:pt>
                <c:pt idx="5">
                  <c:v>804.52099999994971</c:v>
                </c:pt>
                <c:pt idx="6">
                  <c:v>-11247.95900000009</c:v>
                </c:pt>
                <c:pt idx="7">
                  <c:v>-91962.401000000013</c:v>
                </c:pt>
                <c:pt idx="8">
                  <c:v>-113582.86599999998</c:v>
                </c:pt>
                <c:pt idx="9">
                  <c:v>-164457.39799999999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1-A142-B612-DE56AE1CC2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0116367"/>
        <c:axId val="780118079"/>
      </c:lineChart>
      <c:dateAx>
        <c:axId val="780116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0118079"/>
        <c:crosses val="autoZero"/>
        <c:auto val="0"/>
        <c:lblOffset val="100"/>
        <c:baseTimeUnit val="days"/>
      </c:dateAx>
      <c:valAx>
        <c:axId val="7801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11636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768350</xdr:colOff>
      <xdr:row>4</xdr:row>
      <xdr:rowOff>127000</xdr:rowOff>
    </xdr:from>
    <xdr:to>
      <xdr:col>7</xdr:col>
      <xdr:colOff>241300</xdr:colOff>
      <xdr:row>25</xdr:row>
      <xdr:rowOff>139700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2F050A4-7C5C-CB62-E9FE-F6CD3832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14</xdr:col>
      <xdr:colOff>298450</xdr:colOff>
      <xdr:row>26</xdr:row>
      <xdr:rowOff>12700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6461D09-8360-3D49-B3A6-3D2016BCF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5</xdr:row>
      <xdr:rowOff>0</xdr:rowOff>
    </xdr:from>
    <xdr:to>
      <xdr:col>21</xdr:col>
      <xdr:colOff>298450</xdr:colOff>
      <xdr:row>26</xdr:row>
      <xdr:rowOff>12700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76EB21B-1308-4348-BD4D-4A2A547A9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7</xdr:col>
      <xdr:colOff>298450</xdr:colOff>
      <xdr:row>50</xdr:row>
      <xdr:rowOff>12700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B999A7A-B6AD-074E-807E-A2E1C9DED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298450</xdr:colOff>
      <xdr:row>50</xdr:row>
      <xdr:rowOff>12700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CD20A453-12D8-3B41-973C-4F008B341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7</xdr:col>
      <xdr:colOff>298450</xdr:colOff>
      <xdr:row>75</xdr:row>
      <xdr:rowOff>12700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AA588E9-AF97-2B42-B5E8-36D47CA39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298450</xdr:colOff>
      <xdr:row>104</xdr:row>
      <xdr:rowOff>12700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69416BD9-3D31-4F45-8E91-B9186429F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14</xdr:col>
      <xdr:colOff>298450</xdr:colOff>
      <xdr:row>104</xdr:row>
      <xdr:rowOff>12700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F6C5B66D-8B06-DE40-B875-544BFD100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83</xdr:row>
      <xdr:rowOff>0</xdr:rowOff>
    </xdr:from>
    <xdr:to>
      <xdr:col>21</xdr:col>
      <xdr:colOff>298450</xdr:colOff>
      <xdr:row>104</xdr:row>
      <xdr:rowOff>12700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E3587B7C-1C67-4E43-A057-9D70AB7E9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108</xdr:row>
      <xdr:rowOff>0</xdr:rowOff>
    </xdr:from>
    <xdr:to>
      <xdr:col>7</xdr:col>
      <xdr:colOff>298450</xdr:colOff>
      <xdr:row>129</xdr:row>
      <xdr:rowOff>12700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F71B13A7-0093-D847-8368-1E9B4D592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108</xdr:row>
      <xdr:rowOff>0</xdr:rowOff>
    </xdr:from>
    <xdr:to>
      <xdr:col>14</xdr:col>
      <xdr:colOff>298450</xdr:colOff>
      <xdr:row>129</xdr:row>
      <xdr:rowOff>12700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4C317666-1054-C84E-95B7-DB75B8F6B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108</xdr:row>
      <xdr:rowOff>0</xdr:rowOff>
    </xdr:from>
    <xdr:to>
      <xdr:col>21</xdr:col>
      <xdr:colOff>298450</xdr:colOff>
      <xdr:row>129</xdr:row>
      <xdr:rowOff>12700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0D3AEB45-F486-644F-AB03-6A6F68087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138</xdr:row>
      <xdr:rowOff>0</xdr:rowOff>
    </xdr:from>
    <xdr:to>
      <xdr:col>7</xdr:col>
      <xdr:colOff>298450</xdr:colOff>
      <xdr:row>159</xdr:row>
      <xdr:rowOff>12700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6F993266-E283-7C46-B7E3-2995355D1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138</xdr:row>
      <xdr:rowOff>0</xdr:rowOff>
    </xdr:from>
    <xdr:to>
      <xdr:col>14</xdr:col>
      <xdr:colOff>298450</xdr:colOff>
      <xdr:row>159</xdr:row>
      <xdr:rowOff>12700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42EBB94C-FBF5-1949-93CC-50E448B2D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220</xdr:row>
      <xdr:rowOff>0</xdr:rowOff>
    </xdr:from>
    <xdr:to>
      <xdr:col>7</xdr:col>
      <xdr:colOff>298450</xdr:colOff>
      <xdr:row>241</xdr:row>
      <xdr:rowOff>12700</xdr:rowOff>
    </xdr:to>
    <xdr:graphicFrame macro="">
      <xdr:nvGraphicFramePr>
        <xdr:cNvPr id="27" name="Grafico 26">
          <a:extLst>
            <a:ext uri="{FF2B5EF4-FFF2-40B4-BE49-F238E27FC236}">
              <a16:creationId xmlns:a16="http://schemas.microsoft.com/office/drawing/2014/main" id="{8380D756-A568-5F4F-ABEF-2041CE229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220</xdr:row>
      <xdr:rowOff>0</xdr:rowOff>
    </xdr:from>
    <xdr:to>
      <xdr:col>14</xdr:col>
      <xdr:colOff>298450</xdr:colOff>
      <xdr:row>241</xdr:row>
      <xdr:rowOff>12700</xdr:rowOff>
    </xdr:to>
    <xdr:graphicFrame macro="">
      <xdr:nvGraphicFramePr>
        <xdr:cNvPr id="28" name="Grafico 27">
          <a:extLst>
            <a:ext uri="{FF2B5EF4-FFF2-40B4-BE49-F238E27FC236}">
              <a16:creationId xmlns:a16="http://schemas.microsoft.com/office/drawing/2014/main" id="{7ADB1E89-6C57-FF4D-A67C-8F35936FB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13</xdr:col>
      <xdr:colOff>241300</xdr:colOff>
      <xdr:row>184</xdr:row>
      <xdr:rowOff>12700</xdr:rowOff>
    </xdr:to>
    <xdr:graphicFrame macro="">
      <xdr:nvGraphicFramePr>
        <xdr:cNvPr id="29" name="Grafico 28">
          <a:extLst>
            <a:ext uri="{FF2B5EF4-FFF2-40B4-BE49-F238E27FC236}">
              <a16:creationId xmlns:a16="http://schemas.microsoft.com/office/drawing/2014/main" id="{81BAF353-784F-424F-812F-6707AD51E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188</xdr:row>
      <xdr:rowOff>0</xdr:rowOff>
    </xdr:from>
    <xdr:to>
      <xdr:col>13</xdr:col>
      <xdr:colOff>203200</xdr:colOff>
      <xdr:row>213</xdr:row>
      <xdr:rowOff>101600</xdr:rowOff>
    </xdr:to>
    <xdr:graphicFrame macro="">
      <xdr:nvGraphicFramePr>
        <xdr:cNvPr id="30" name="Grafico 29">
          <a:extLst>
            <a:ext uri="{FF2B5EF4-FFF2-40B4-BE49-F238E27FC236}">
              <a16:creationId xmlns:a16="http://schemas.microsoft.com/office/drawing/2014/main" id="{06EFCA4C-97D9-2246-8D05-F60FEE32F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8"/>
  <sheetViews>
    <sheetView topLeftCell="A53" workbookViewId="0">
      <selection activeCell="M4" sqref="M4"/>
    </sheetView>
  </sheetViews>
  <sheetFormatPr baseColWidth="10" defaultColWidth="12.6640625" defaultRowHeight="15.75" customHeight="1" x14ac:dyDescent="0.15"/>
  <cols>
    <col min="1" max="1" width="58.6640625" customWidth="1"/>
  </cols>
  <sheetData>
    <row r="1" spans="1:11" ht="15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customHeight="1" x14ac:dyDescent="0.1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ht="15.75" customHeight="1" x14ac:dyDescent="0.1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ht="15.75" customHeight="1" x14ac:dyDescent="0.15">
      <c r="A4" t="s">
        <v>13</v>
      </c>
      <c r="B4">
        <v>2855833</v>
      </c>
      <c r="C4">
        <v>870568</v>
      </c>
      <c r="D4">
        <v>1067260.909</v>
      </c>
      <c r="E4">
        <v>891346.47499999998</v>
      </c>
      <c r="F4">
        <v>906632.62300000002</v>
      </c>
      <c r="G4">
        <v>378046.94699999999</v>
      </c>
      <c r="H4">
        <v>394745.36</v>
      </c>
      <c r="I4">
        <v>421605.02100000001</v>
      </c>
      <c r="J4">
        <v>421402.53399999999</v>
      </c>
      <c r="K4">
        <v>422213.42099999997</v>
      </c>
    </row>
    <row r="5" spans="1:11" ht="15.75" customHeight="1" x14ac:dyDescent="0.15">
      <c r="A5" t="s">
        <v>14</v>
      </c>
      <c r="B5">
        <v>1592262</v>
      </c>
      <c r="C5">
        <v>90098</v>
      </c>
      <c r="D5">
        <v>86779.885999999999</v>
      </c>
      <c r="E5">
        <v>89055.322</v>
      </c>
      <c r="F5">
        <v>87656.701000000001</v>
      </c>
      <c r="G5">
        <v>13306.33</v>
      </c>
      <c r="H5">
        <v>11674.413</v>
      </c>
      <c r="I5">
        <v>12394.555</v>
      </c>
      <c r="J5">
        <v>14257.563</v>
      </c>
      <c r="K5">
        <v>16231.349</v>
      </c>
    </row>
    <row r="6" spans="1:11" ht="15.75" customHeight="1" x14ac:dyDescent="0.1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t="15.75" customHeight="1" x14ac:dyDescent="0.15">
      <c r="A7" t="s">
        <v>16</v>
      </c>
      <c r="B7">
        <v>0</v>
      </c>
      <c r="C7">
        <v>0</v>
      </c>
      <c r="D7">
        <v>770.60799999999995</v>
      </c>
      <c r="E7">
        <v>1105.1220000000001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t="15.75" customHeight="1" x14ac:dyDescent="0.15">
      <c r="A8" t="s">
        <v>17</v>
      </c>
      <c r="B8">
        <v>0</v>
      </c>
      <c r="C8">
        <v>0</v>
      </c>
      <c r="D8">
        <v>12189.851000000001</v>
      </c>
      <c r="E8">
        <v>11548.739</v>
      </c>
      <c r="F8">
        <v>4441.9589999999998</v>
      </c>
      <c r="G8">
        <v>4819.24</v>
      </c>
      <c r="H8">
        <v>1058.732</v>
      </c>
      <c r="I8">
        <v>1177.0609999999999</v>
      </c>
      <c r="J8">
        <v>1355.297</v>
      </c>
      <c r="K8">
        <v>1568.018</v>
      </c>
    </row>
    <row r="9" spans="1:11" ht="15.75" customHeight="1" x14ac:dyDescent="0.15">
      <c r="A9" t="s">
        <v>18</v>
      </c>
      <c r="B9">
        <v>0</v>
      </c>
      <c r="C9">
        <v>0</v>
      </c>
      <c r="D9">
        <v>37175.784</v>
      </c>
      <c r="E9">
        <v>39674.966999999997</v>
      </c>
      <c r="F9">
        <v>42112.582000000002</v>
      </c>
      <c r="G9">
        <v>8248.91</v>
      </c>
      <c r="H9">
        <v>9568.06</v>
      </c>
      <c r="I9">
        <v>11008.448</v>
      </c>
      <c r="J9">
        <v>12605.625</v>
      </c>
      <c r="K9">
        <v>14213.550999999999</v>
      </c>
    </row>
    <row r="10" spans="1:11" ht="15.75" customHeight="1" x14ac:dyDescent="0.15">
      <c r="A10" t="s">
        <v>19</v>
      </c>
      <c r="B10">
        <v>0</v>
      </c>
      <c r="C10">
        <v>0</v>
      </c>
      <c r="D10">
        <v>29953.918000000001</v>
      </c>
      <c r="E10">
        <v>31715.913</v>
      </c>
      <c r="F10">
        <v>33477.908000000003</v>
      </c>
      <c r="G10">
        <v>0</v>
      </c>
      <c r="H10">
        <v>0</v>
      </c>
      <c r="I10">
        <v>0</v>
      </c>
      <c r="J10">
        <v>0</v>
      </c>
      <c r="K10">
        <v>14.688000000000001</v>
      </c>
    </row>
    <row r="11" spans="1:11" ht="15.75" customHeight="1" x14ac:dyDescent="0.15">
      <c r="A11" t="s">
        <v>20</v>
      </c>
      <c r="B11">
        <v>0</v>
      </c>
      <c r="C11">
        <v>0</v>
      </c>
      <c r="D11">
        <v>29953.918000000001</v>
      </c>
      <c r="E11">
        <v>31715.913</v>
      </c>
      <c r="F11">
        <v>33477.908000000003</v>
      </c>
      <c r="G11">
        <v>0</v>
      </c>
      <c r="H11">
        <v>0</v>
      </c>
      <c r="I11">
        <v>0</v>
      </c>
      <c r="J11">
        <v>0</v>
      </c>
      <c r="K11">
        <v>14.688000000000001</v>
      </c>
    </row>
    <row r="12" spans="1:11" ht="15.75" customHeight="1" x14ac:dyDescent="0.15">
      <c r="A12" t="s">
        <v>21</v>
      </c>
      <c r="B12">
        <v>0</v>
      </c>
      <c r="C12">
        <v>0</v>
      </c>
      <c r="D12">
        <v>4575.518</v>
      </c>
      <c r="E12">
        <v>2874.1010000000001</v>
      </c>
      <c r="F12">
        <v>5851.8119999999999</v>
      </c>
      <c r="G12">
        <v>116.54300000000001</v>
      </c>
      <c r="H12">
        <v>884.22400000000005</v>
      </c>
      <c r="I12">
        <v>0</v>
      </c>
      <c r="J12">
        <v>0</v>
      </c>
      <c r="K12">
        <v>0</v>
      </c>
    </row>
    <row r="13" spans="1:11" ht="15.75" customHeight="1" x14ac:dyDescent="0.15">
      <c r="A13" t="s">
        <v>22</v>
      </c>
      <c r="B13">
        <v>1592262</v>
      </c>
      <c r="C13">
        <v>90098</v>
      </c>
      <c r="D13">
        <v>2114.2069999999999</v>
      </c>
      <c r="E13">
        <v>2136.48</v>
      </c>
      <c r="F13">
        <v>1772.44</v>
      </c>
      <c r="G13">
        <v>121.637</v>
      </c>
      <c r="H13">
        <v>163.39699999999999</v>
      </c>
      <c r="I13">
        <v>209.04599999999999</v>
      </c>
      <c r="J13">
        <v>296.64100000000002</v>
      </c>
      <c r="K13">
        <v>435.09199999999998</v>
      </c>
    </row>
    <row r="14" spans="1:11" ht="15.75" customHeight="1" x14ac:dyDescent="0.1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15.75" customHeight="1" x14ac:dyDescent="0.15">
      <c r="A15" t="s">
        <v>24</v>
      </c>
      <c r="B15">
        <v>247743</v>
      </c>
      <c r="C15">
        <v>220617</v>
      </c>
      <c r="D15">
        <v>223741.12700000001</v>
      </c>
      <c r="E15">
        <v>217974.80900000001</v>
      </c>
      <c r="F15">
        <v>220394.5</v>
      </c>
      <c r="G15">
        <v>154055.71900000001</v>
      </c>
      <c r="H15">
        <v>149620.66200000001</v>
      </c>
      <c r="I15">
        <v>148980.375</v>
      </c>
      <c r="J15">
        <v>145157.72099999999</v>
      </c>
      <c r="K15">
        <v>152948.56599999999</v>
      </c>
    </row>
    <row r="16" spans="1:11" ht="15.75" customHeight="1" x14ac:dyDescent="0.1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t="15.75" customHeight="1" x14ac:dyDescent="0.15">
      <c r="A17" t="s">
        <v>26</v>
      </c>
      <c r="B17">
        <v>14339</v>
      </c>
      <c r="C17">
        <v>46689</v>
      </c>
      <c r="D17">
        <v>76679.058999999994</v>
      </c>
      <c r="E17">
        <v>79327.474000000002</v>
      </c>
      <c r="F17">
        <v>87475.546000000002</v>
      </c>
      <c r="G17">
        <v>51009.243999999999</v>
      </c>
      <c r="H17">
        <v>52883.326000000001</v>
      </c>
      <c r="I17">
        <v>53993.851000000002</v>
      </c>
      <c r="J17">
        <v>57441.042999999998</v>
      </c>
      <c r="K17">
        <v>59775.425000000003</v>
      </c>
    </row>
    <row r="18" spans="1:11" ht="15.75" customHeight="1" x14ac:dyDescent="0.15">
      <c r="A18" t="s">
        <v>27</v>
      </c>
      <c r="B18">
        <v>125344</v>
      </c>
      <c r="C18">
        <v>100960</v>
      </c>
      <c r="D18">
        <v>125560.35799999999</v>
      </c>
      <c r="E18">
        <v>128183.844</v>
      </c>
      <c r="F18">
        <v>124380.40300000001</v>
      </c>
      <c r="G18">
        <v>86311.778000000006</v>
      </c>
      <c r="H18">
        <v>88171.71</v>
      </c>
      <c r="I18">
        <v>82537.404999999999</v>
      </c>
      <c r="J18">
        <v>85146.778000000006</v>
      </c>
      <c r="K18">
        <v>89532.66</v>
      </c>
    </row>
    <row r="19" spans="1:11" ht="15.75" customHeight="1" x14ac:dyDescent="0.15">
      <c r="A19" t="s">
        <v>28</v>
      </c>
      <c r="B19">
        <v>249</v>
      </c>
      <c r="C19">
        <v>315</v>
      </c>
      <c r="D19">
        <v>458.76</v>
      </c>
      <c r="E19">
        <v>498</v>
      </c>
      <c r="F19">
        <v>434.51100000000002</v>
      </c>
      <c r="G19">
        <v>430.92099999999999</v>
      </c>
      <c r="H19">
        <v>503.65300000000002</v>
      </c>
      <c r="I19">
        <v>633.09799999999996</v>
      </c>
      <c r="J19">
        <v>740.57299999999998</v>
      </c>
      <c r="K19">
        <v>906.995</v>
      </c>
    </row>
    <row r="20" spans="1:11" ht="15.75" customHeight="1" x14ac:dyDescent="0.15">
      <c r="A20" t="s">
        <v>29</v>
      </c>
      <c r="B20">
        <v>91805</v>
      </c>
      <c r="C20">
        <v>58021</v>
      </c>
      <c r="D20">
        <v>489.16300000000001</v>
      </c>
      <c r="E20">
        <v>441.52800000000002</v>
      </c>
      <c r="F20">
        <v>511.28699999999998</v>
      </c>
      <c r="G20">
        <v>603.53599999999994</v>
      </c>
      <c r="H20">
        <v>653.07600000000002</v>
      </c>
      <c r="I20">
        <v>735.09400000000005</v>
      </c>
      <c r="J20">
        <v>825.09699999999998</v>
      </c>
      <c r="K20">
        <v>906.33500000000004</v>
      </c>
    </row>
    <row r="21" spans="1:11" ht="15.75" customHeight="1" x14ac:dyDescent="0.15">
      <c r="A21" t="s">
        <v>30</v>
      </c>
      <c r="B21">
        <v>16006</v>
      </c>
      <c r="C21">
        <v>14632</v>
      </c>
      <c r="D21">
        <v>20553.787</v>
      </c>
      <c r="E21">
        <v>9523.9629999999997</v>
      </c>
      <c r="F21">
        <v>7592.7529999999997</v>
      </c>
      <c r="G21">
        <v>15700.24</v>
      </c>
      <c r="H21">
        <v>7408.8969999999999</v>
      </c>
      <c r="I21">
        <v>11080.927</v>
      </c>
      <c r="J21">
        <v>1004.23</v>
      </c>
      <c r="K21">
        <v>1827.1510000000001</v>
      </c>
    </row>
    <row r="22" spans="1:11" ht="15.75" customHeight="1" x14ac:dyDescent="0.1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t="15.75" customHeight="1" x14ac:dyDescent="0.15">
      <c r="A23" t="s">
        <v>32</v>
      </c>
      <c r="B23">
        <v>1015828</v>
      </c>
      <c r="C23">
        <v>559853</v>
      </c>
      <c r="D23">
        <v>756739.89599999995</v>
      </c>
      <c r="E23">
        <v>584316.34400000004</v>
      </c>
      <c r="F23">
        <v>598581.42200000002</v>
      </c>
      <c r="G23">
        <v>210684.89799999999</v>
      </c>
      <c r="H23">
        <v>233450.285</v>
      </c>
      <c r="I23">
        <v>260230.09099999999</v>
      </c>
      <c r="J23">
        <v>261987.25</v>
      </c>
      <c r="K23">
        <v>253033.50599999999</v>
      </c>
    </row>
    <row r="24" spans="1:11" ht="15.75" customHeight="1" x14ac:dyDescent="0.15">
      <c r="A24" t="s">
        <v>33</v>
      </c>
      <c r="B24">
        <v>0</v>
      </c>
      <c r="C24">
        <v>0</v>
      </c>
      <c r="D24">
        <v>10782.128000000001</v>
      </c>
      <c r="E24">
        <v>343.435</v>
      </c>
      <c r="F24">
        <v>370.685</v>
      </c>
      <c r="G24">
        <v>324.79599999999999</v>
      </c>
      <c r="H24">
        <v>281.976</v>
      </c>
      <c r="I24">
        <v>278.25799999999998</v>
      </c>
      <c r="J24">
        <v>316.07600000000002</v>
      </c>
      <c r="K24">
        <v>286.83999999999997</v>
      </c>
    </row>
    <row r="25" spans="1:11" ht="15.75" customHeight="1" x14ac:dyDescent="0.15">
      <c r="A25" t="s">
        <v>34</v>
      </c>
      <c r="B25">
        <v>1015828</v>
      </c>
      <c r="C25">
        <v>559853</v>
      </c>
      <c r="D25">
        <v>556283.77300000004</v>
      </c>
      <c r="E25">
        <v>484337.01899999997</v>
      </c>
      <c r="F25">
        <v>436771.36099999998</v>
      </c>
      <c r="G25">
        <v>185287.81</v>
      </c>
      <c r="H25">
        <v>205707.913</v>
      </c>
      <c r="I25">
        <v>232021.82</v>
      </c>
      <c r="J25">
        <v>249459.60800000001</v>
      </c>
      <c r="K25">
        <v>248664.74900000001</v>
      </c>
    </row>
    <row r="26" spans="1:11" ht="15.75" customHeight="1" x14ac:dyDescent="0.15">
      <c r="A26" t="s">
        <v>35</v>
      </c>
      <c r="B26">
        <v>1012239</v>
      </c>
      <c r="C26">
        <v>557430</v>
      </c>
      <c r="D26">
        <v>555588.12800000003</v>
      </c>
      <c r="E26">
        <v>483640.37400000001</v>
      </c>
      <c r="F26">
        <v>436074.71600000001</v>
      </c>
      <c r="G26">
        <v>184591.16500000001</v>
      </c>
      <c r="H26">
        <v>205011.26800000001</v>
      </c>
      <c r="I26">
        <v>231325.17499999999</v>
      </c>
      <c r="J26">
        <v>248762.96299999999</v>
      </c>
      <c r="K26">
        <v>247968.10399999999</v>
      </c>
    </row>
    <row r="27" spans="1:11" ht="15.75" customHeight="1" x14ac:dyDescent="0.15">
      <c r="A27" t="s">
        <v>36</v>
      </c>
      <c r="B27">
        <v>0</v>
      </c>
      <c r="C27">
        <v>0</v>
      </c>
      <c r="D27">
        <v>695.51599999999996</v>
      </c>
      <c r="E27">
        <v>695.51599999999996</v>
      </c>
      <c r="F27">
        <v>695.51599999999996</v>
      </c>
      <c r="G27">
        <v>695.51599999999996</v>
      </c>
      <c r="H27">
        <v>695.51599999999996</v>
      </c>
      <c r="I27">
        <v>695.51599999999996</v>
      </c>
      <c r="J27">
        <v>695.51599999999996</v>
      </c>
      <c r="K27">
        <v>695.51599999999996</v>
      </c>
    </row>
    <row r="28" spans="1:11" ht="15.75" customHeight="1" x14ac:dyDescent="0.15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t="15.75" customHeight="1" x14ac:dyDescent="0.15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t="15.75" customHeight="1" x14ac:dyDescent="0.15">
      <c r="A30" t="s">
        <v>39</v>
      </c>
      <c r="B30">
        <v>3589</v>
      </c>
      <c r="C30">
        <v>2423</v>
      </c>
      <c r="D30">
        <v>0.129</v>
      </c>
      <c r="E30">
        <v>1.129</v>
      </c>
      <c r="F30">
        <v>1.129</v>
      </c>
      <c r="G30">
        <v>1.129</v>
      </c>
      <c r="H30">
        <v>1.129</v>
      </c>
      <c r="I30">
        <v>1.129</v>
      </c>
      <c r="J30">
        <v>1.129</v>
      </c>
      <c r="K30">
        <v>1.129</v>
      </c>
    </row>
    <row r="31" spans="1:11" ht="15.75" customHeight="1" x14ac:dyDescent="0.15">
      <c r="A31" t="s">
        <v>40</v>
      </c>
      <c r="B31">
        <v>0</v>
      </c>
      <c r="C31">
        <v>0</v>
      </c>
      <c r="D31">
        <v>200456.12299999999</v>
      </c>
      <c r="E31">
        <v>99979.324999999997</v>
      </c>
      <c r="F31">
        <v>161810.06099999999</v>
      </c>
      <c r="G31">
        <v>25397.088</v>
      </c>
      <c r="H31">
        <v>27742.371999999999</v>
      </c>
      <c r="I31">
        <v>28208.271000000001</v>
      </c>
      <c r="J31">
        <v>12527.642</v>
      </c>
      <c r="K31">
        <v>4368.7569999999996</v>
      </c>
    </row>
    <row r="32" spans="1:11" ht="15.75" customHeight="1" x14ac:dyDescent="0.15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ht="15.75" customHeight="1" x14ac:dyDescent="0.15">
      <c r="A33" t="s">
        <v>42</v>
      </c>
      <c r="B33">
        <v>0</v>
      </c>
      <c r="C33">
        <v>0</v>
      </c>
      <c r="D33">
        <v>189673.995</v>
      </c>
      <c r="E33">
        <v>99635.89</v>
      </c>
      <c r="F33">
        <v>161439.37599999999</v>
      </c>
      <c r="G33">
        <v>25072.292000000001</v>
      </c>
      <c r="H33">
        <v>27460.396000000001</v>
      </c>
      <c r="I33">
        <v>27930.012999999999</v>
      </c>
      <c r="J33">
        <v>12130.447</v>
      </c>
      <c r="K33">
        <v>4081.9169999999999</v>
      </c>
    </row>
    <row r="34" spans="1:11" ht="15.75" customHeight="1" x14ac:dyDescent="0.1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25</v>
      </c>
      <c r="K34">
        <v>0</v>
      </c>
    </row>
    <row r="35" spans="1:11" ht="15.75" customHeight="1" x14ac:dyDescent="0.15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81.119</v>
      </c>
      <c r="K35">
        <v>0</v>
      </c>
    </row>
    <row r="36" spans="1:11" ht="15.75" customHeight="1" x14ac:dyDescent="0.15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ht="15.75" customHeight="1" x14ac:dyDescent="0.15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t="15.75" customHeight="1" x14ac:dyDescent="0.15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t="15.75" customHeight="1" x14ac:dyDescent="0.15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ht="15.75" customHeight="1" x14ac:dyDescent="0.15">
      <c r="A40" t="s">
        <v>49</v>
      </c>
      <c r="B40">
        <v>0</v>
      </c>
      <c r="C40">
        <v>0</v>
      </c>
      <c r="D40">
        <v>10782.128000000001</v>
      </c>
      <c r="E40">
        <v>343.435</v>
      </c>
      <c r="F40">
        <v>370.685</v>
      </c>
      <c r="G40">
        <v>324.79599999999999</v>
      </c>
      <c r="H40">
        <v>281.976</v>
      </c>
      <c r="I40">
        <v>278.25799999999998</v>
      </c>
      <c r="J40">
        <v>291.07600000000002</v>
      </c>
      <c r="K40">
        <v>286.83999999999997</v>
      </c>
    </row>
    <row r="41" spans="1:11" ht="15.75" customHeight="1" x14ac:dyDescent="0.15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ht="15.75" customHeight="1" x14ac:dyDescent="0.15">
      <c r="A42" t="s">
        <v>51</v>
      </c>
      <c r="B42">
        <v>0</v>
      </c>
      <c r="C42">
        <v>0</v>
      </c>
      <c r="D42">
        <v>10782.128000000001</v>
      </c>
      <c r="E42">
        <v>343.435</v>
      </c>
      <c r="F42">
        <v>370.685</v>
      </c>
      <c r="G42">
        <v>324.79599999999999</v>
      </c>
      <c r="H42">
        <v>281.976</v>
      </c>
      <c r="I42">
        <v>278.25799999999998</v>
      </c>
      <c r="J42">
        <v>316.07600000000002</v>
      </c>
      <c r="K42">
        <v>286.83999999999997</v>
      </c>
    </row>
    <row r="43" spans="1:11" ht="15.75" customHeight="1" x14ac:dyDescent="0.15">
      <c r="A43" t="s">
        <v>52</v>
      </c>
      <c r="B43">
        <v>0</v>
      </c>
      <c r="C43">
        <v>0</v>
      </c>
      <c r="D43">
        <v>189673.995</v>
      </c>
      <c r="E43">
        <v>99635.89</v>
      </c>
      <c r="F43">
        <v>161439.37599999999</v>
      </c>
      <c r="G43">
        <v>25072.292000000001</v>
      </c>
      <c r="H43">
        <v>27460.396000000001</v>
      </c>
      <c r="I43">
        <v>27930.012999999999</v>
      </c>
      <c r="J43">
        <v>12211.566000000001</v>
      </c>
      <c r="K43">
        <v>4081.9169999999999</v>
      </c>
    </row>
    <row r="44" spans="1:11" ht="15.75" customHeight="1" x14ac:dyDescent="0.15">
      <c r="A44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ht="15.75" customHeight="1" x14ac:dyDescent="0.15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ht="15.75" customHeight="1" x14ac:dyDescent="0.15">
      <c r="A46" t="s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ht="15.75" customHeight="1" x14ac:dyDescent="0.1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ht="15.75" customHeight="1" x14ac:dyDescent="0.15">
      <c r="A48" t="s">
        <v>57</v>
      </c>
      <c r="B48">
        <v>928992</v>
      </c>
      <c r="C48">
        <v>800575</v>
      </c>
      <c r="D48">
        <v>465473.06599999999</v>
      </c>
      <c r="E48">
        <v>414787.23300000001</v>
      </c>
      <c r="F48">
        <v>402157.69699999999</v>
      </c>
      <c r="G48">
        <v>362440.91</v>
      </c>
      <c r="H48">
        <v>397058.576</v>
      </c>
      <c r="I48">
        <v>366357.24200000003</v>
      </c>
      <c r="J48">
        <v>355745.69300000003</v>
      </c>
      <c r="K48">
        <v>356907.614</v>
      </c>
    </row>
    <row r="49" spans="1:11" ht="15.75" customHeight="1" x14ac:dyDescent="0.15">
      <c r="A49" t="s">
        <v>58</v>
      </c>
      <c r="B49">
        <v>131166</v>
      </c>
      <c r="C49">
        <v>118064</v>
      </c>
      <c r="D49">
        <v>153759.14300000001</v>
      </c>
      <c r="E49">
        <v>132482.193</v>
      </c>
      <c r="F49">
        <v>122437.38499999999</v>
      </c>
      <c r="G49">
        <v>119385.927</v>
      </c>
      <c r="H49">
        <v>165935.33900000001</v>
      </c>
      <c r="I49">
        <v>122521.084</v>
      </c>
      <c r="J49">
        <v>131111.24799999999</v>
      </c>
      <c r="K49">
        <v>127191.33900000001</v>
      </c>
    </row>
    <row r="50" spans="1:11" ht="15.75" customHeight="1" x14ac:dyDescent="0.15">
      <c r="A50" t="s">
        <v>59</v>
      </c>
      <c r="B50">
        <v>36228</v>
      </c>
      <c r="C50">
        <v>28765</v>
      </c>
      <c r="D50">
        <v>51100.074999999997</v>
      </c>
      <c r="E50">
        <v>55036.616000000002</v>
      </c>
      <c r="F50">
        <v>56441.392</v>
      </c>
      <c r="G50">
        <v>55075.055999999997</v>
      </c>
      <c r="H50">
        <v>94295.832999999999</v>
      </c>
      <c r="I50">
        <v>54804.972999999998</v>
      </c>
      <c r="J50">
        <v>56567.644999999997</v>
      </c>
      <c r="K50">
        <v>56487.773000000001</v>
      </c>
    </row>
    <row r="51" spans="1:11" ht="15.75" customHeight="1" x14ac:dyDescent="0.15">
      <c r="A51" t="s">
        <v>60</v>
      </c>
      <c r="B51">
        <v>21392</v>
      </c>
      <c r="C51">
        <v>17346</v>
      </c>
      <c r="D51">
        <v>18137.726999999999</v>
      </c>
      <c r="E51">
        <v>20388.608</v>
      </c>
      <c r="F51">
        <v>15941.976000000001</v>
      </c>
      <c r="G51">
        <v>13231.563</v>
      </c>
      <c r="H51">
        <v>17396.257000000001</v>
      </c>
      <c r="I51">
        <v>14002.516</v>
      </c>
      <c r="J51">
        <v>16943.866000000002</v>
      </c>
      <c r="K51">
        <v>21028.982</v>
      </c>
    </row>
    <row r="52" spans="1:11" ht="15.75" customHeight="1" x14ac:dyDescent="0.15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ht="15.75" customHeight="1" x14ac:dyDescent="0.15">
      <c r="A53" t="s">
        <v>62</v>
      </c>
      <c r="B53">
        <v>73546</v>
      </c>
      <c r="C53">
        <v>71953</v>
      </c>
      <c r="D53">
        <v>84521.341</v>
      </c>
      <c r="E53">
        <v>57056.968999999997</v>
      </c>
      <c r="F53">
        <v>50054.017</v>
      </c>
      <c r="G53">
        <v>51079.307999999997</v>
      </c>
      <c r="H53">
        <v>54243.249000000003</v>
      </c>
      <c r="I53">
        <v>53713.595000000001</v>
      </c>
      <c r="J53">
        <v>57599.737000000001</v>
      </c>
      <c r="K53">
        <v>49674.584000000003</v>
      </c>
    </row>
    <row r="54" spans="1:11" ht="15.75" customHeight="1" x14ac:dyDescent="0.15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ht="15.75" customHeight="1" x14ac:dyDescent="0.15">
      <c r="A55" t="s">
        <v>64</v>
      </c>
      <c r="B55">
        <v>0</v>
      </c>
      <c r="C55">
        <v>0</v>
      </c>
      <c r="D55">
        <v>510</v>
      </c>
      <c r="E55">
        <v>2484.4270000000001</v>
      </c>
      <c r="F55">
        <v>0</v>
      </c>
      <c r="G55">
        <v>0</v>
      </c>
      <c r="H55">
        <v>0</v>
      </c>
      <c r="I55">
        <v>9544.2790000000005</v>
      </c>
      <c r="J55">
        <v>0</v>
      </c>
      <c r="K55">
        <v>0</v>
      </c>
    </row>
    <row r="56" spans="1:11" ht="15.75" customHeight="1" x14ac:dyDescent="0.15">
      <c r="A56" t="s">
        <v>65</v>
      </c>
      <c r="B56">
        <v>466516</v>
      </c>
      <c r="C56">
        <v>385746</v>
      </c>
      <c r="D56">
        <v>201829.76800000001</v>
      </c>
      <c r="E56">
        <v>172658.69</v>
      </c>
      <c r="F56">
        <v>141122.549</v>
      </c>
      <c r="G56">
        <v>135002.11499999999</v>
      </c>
      <c r="H56">
        <v>210872.06</v>
      </c>
      <c r="I56">
        <v>184547.51199999999</v>
      </c>
      <c r="J56">
        <v>194970.45800000001</v>
      </c>
      <c r="K56">
        <v>221173.32399999999</v>
      </c>
    </row>
    <row r="57" spans="1:11" ht="15.75" customHeight="1" x14ac:dyDescent="0.15">
      <c r="A57" t="s">
        <v>66</v>
      </c>
      <c r="B57">
        <v>101879</v>
      </c>
      <c r="C57">
        <v>90210</v>
      </c>
      <c r="D57">
        <v>23706.719000000001</v>
      </c>
      <c r="E57">
        <v>29714.413</v>
      </c>
      <c r="F57">
        <v>49086.976999999999</v>
      </c>
      <c r="G57">
        <v>70085.629000000001</v>
      </c>
      <c r="H57">
        <v>136291.51199999999</v>
      </c>
      <c r="I57">
        <v>129228.81600000001</v>
      </c>
      <c r="J57">
        <v>138605.74299999999</v>
      </c>
      <c r="K57">
        <v>142030.00599999999</v>
      </c>
    </row>
    <row r="58" spans="1:11" ht="15.75" customHeight="1" x14ac:dyDescent="0.15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t="15.75" customHeight="1" x14ac:dyDescent="0.15">
      <c r="A59" t="s">
        <v>68</v>
      </c>
      <c r="B59">
        <v>0</v>
      </c>
      <c r="C59">
        <v>0</v>
      </c>
      <c r="D59">
        <v>94483.736999999994</v>
      </c>
      <c r="E59">
        <v>84671.501999999993</v>
      </c>
      <c r="F59">
        <v>42783.245999999999</v>
      </c>
      <c r="G59">
        <v>43410.699000000001</v>
      </c>
      <c r="H59">
        <v>49179.387000000002</v>
      </c>
      <c r="I59">
        <v>35369.919999999998</v>
      </c>
      <c r="J59">
        <v>40850.936999999998</v>
      </c>
      <c r="K59">
        <v>49767.019</v>
      </c>
    </row>
    <row r="60" spans="1:11" ht="15.75" customHeight="1" x14ac:dyDescent="0.15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ht="15.75" customHeight="1" x14ac:dyDescent="0.1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0.114</v>
      </c>
      <c r="J61">
        <v>0</v>
      </c>
      <c r="K61">
        <v>0</v>
      </c>
    </row>
    <row r="62" spans="1:11" ht="15.75" customHeight="1" x14ac:dyDescent="0.15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t="15.75" customHeight="1" x14ac:dyDescent="0.15">
      <c r="A63" t="s">
        <v>72</v>
      </c>
      <c r="B63">
        <v>0</v>
      </c>
      <c r="C63">
        <v>0</v>
      </c>
      <c r="D63">
        <v>0</v>
      </c>
      <c r="E63">
        <v>2347.6990000000001</v>
      </c>
      <c r="F63">
        <v>150.154</v>
      </c>
      <c r="G63">
        <v>60.783999999999999</v>
      </c>
      <c r="H63">
        <v>0</v>
      </c>
      <c r="I63">
        <v>17.433</v>
      </c>
      <c r="J63">
        <v>6.2389999999999999</v>
      </c>
      <c r="K63">
        <v>8499.3209999999999</v>
      </c>
    </row>
    <row r="64" spans="1:11" ht="15.75" customHeight="1" x14ac:dyDescent="0.15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3363.9589999999998</v>
      </c>
      <c r="K64">
        <v>3363.9589999999998</v>
      </c>
    </row>
    <row r="65" spans="1:11" ht="15.75" customHeight="1" x14ac:dyDescent="0.15">
      <c r="A65" t="s">
        <v>74</v>
      </c>
      <c r="B65">
        <v>0</v>
      </c>
      <c r="C65">
        <v>0</v>
      </c>
      <c r="D65">
        <v>0</v>
      </c>
      <c r="E65">
        <v>0</v>
      </c>
      <c r="F65">
        <v>0</v>
      </c>
      <c r="G65">
        <v>104.127</v>
      </c>
      <c r="H65">
        <v>1719.2280000000001</v>
      </c>
      <c r="I65">
        <v>0</v>
      </c>
      <c r="J65">
        <v>0</v>
      </c>
      <c r="K65">
        <v>0</v>
      </c>
    </row>
    <row r="66" spans="1:11" ht="15.75" customHeight="1" x14ac:dyDescent="0.15">
      <c r="A66" t="s">
        <v>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ht="15.75" customHeight="1" x14ac:dyDescent="0.15">
      <c r="A67" t="s">
        <v>76</v>
      </c>
      <c r="B67">
        <v>10412</v>
      </c>
      <c r="C67">
        <v>8555</v>
      </c>
      <c r="D67">
        <v>33563.233999999997</v>
      </c>
      <c r="E67">
        <v>3849.21</v>
      </c>
      <c r="F67">
        <v>5238.2250000000004</v>
      </c>
      <c r="G67">
        <v>2425.4760000000001</v>
      </c>
      <c r="H67">
        <v>3415.2809999999999</v>
      </c>
      <c r="I67">
        <v>1617.1220000000001</v>
      </c>
      <c r="J67">
        <v>1080.5029999999999</v>
      </c>
      <c r="K67">
        <v>1914.91</v>
      </c>
    </row>
    <row r="68" spans="1:11" ht="15.75" customHeight="1" x14ac:dyDescent="0.15">
      <c r="A68" t="s">
        <v>77</v>
      </c>
      <c r="B68">
        <v>0</v>
      </c>
      <c r="C68">
        <v>0</v>
      </c>
      <c r="D68">
        <v>17289.349999999999</v>
      </c>
      <c r="E68">
        <v>21476.190999999999</v>
      </c>
      <c r="F68">
        <v>21275.683000000001</v>
      </c>
      <c r="G68">
        <v>1476.2190000000001</v>
      </c>
      <c r="H68">
        <v>1476.2190000000001</v>
      </c>
      <c r="I68">
        <v>1476.2190000000001</v>
      </c>
      <c r="J68">
        <v>0</v>
      </c>
      <c r="K68">
        <v>0</v>
      </c>
    </row>
    <row r="69" spans="1:11" ht="15.75" customHeight="1" x14ac:dyDescent="0.15">
      <c r="A69" t="s">
        <v>78</v>
      </c>
      <c r="B69">
        <v>0</v>
      </c>
      <c r="C69">
        <v>0</v>
      </c>
      <c r="D69">
        <v>18985.47</v>
      </c>
      <c r="E69">
        <v>14440.609</v>
      </c>
      <c r="F69">
        <v>16501.79</v>
      </c>
      <c r="G69">
        <v>16381.2</v>
      </c>
      <c r="H69">
        <v>14957.316000000001</v>
      </c>
      <c r="I69">
        <v>13699.206</v>
      </c>
      <c r="J69">
        <v>9127.07</v>
      </c>
      <c r="K69">
        <v>929.00900000000001</v>
      </c>
    </row>
    <row r="70" spans="1:11" ht="15.75" customHeight="1" x14ac:dyDescent="0.15">
      <c r="A70" t="s">
        <v>79</v>
      </c>
      <c r="B70">
        <v>37784</v>
      </c>
      <c r="C70">
        <v>23126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6050.1090000000004</v>
      </c>
    </row>
    <row r="71" spans="1:11" ht="15.75" customHeight="1" x14ac:dyDescent="0.15">
      <c r="A71" t="s">
        <v>80</v>
      </c>
      <c r="B71">
        <v>308127</v>
      </c>
      <c r="C71">
        <v>250751</v>
      </c>
      <c r="D71">
        <v>13760.305</v>
      </c>
      <c r="E71">
        <v>16077.16</v>
      </c>
      <c r="F71">
        <v>5946.8969999999999</v>
      </c>
      <c r="G71">
        <v>1056.8779999999999</v>
      </c>
      <c r="H71">
        <v>3782.9609999999998</v>
      </c>
      <c r="I71">
        <v>3041.7890000000002</v>
      </c>
      <c r="J71">
        <v>1768.0609999999999</v>
      </c>
      <c r="K71">
        <v>8513.4590000000007</v>
      </c>
    </row>
    <row r="72" spans="1:11" ht="15.75" customHeight="1" x14ac:dyDescent="0.15">
      <c r="A72" t="s">
        <v>81</v>
      </c>
      <c r="B72">
        <v>8314</v>
      </c>
      <c r="C72">
        <v>13104</v>
      </c>
      <c r="D72">
        <v>40.953000000000003</v>
      </c>
      <c r="E72">
        <v>81.906000000000006</v>
      </c>
      <c r="F72">
        <v>139.577</v>
      </c>
      <c r="G72">
        <v>1.103</v>
      </c>
      <c r="H72">
        <v>50.155999999999999</v>
      </c>
      <c r="I72">
        <v>96.893000000000001</v>
      </c>
      <c r="J72">
        <v>167.946</v>
      </c>
      <c r="K72">
        <v>105.532</v>
      </c>
    </row>
    <row r="73" spans="1:11" ht="15.75" customHeight="1" x14ac:dyDescent="0.15">
      <c r="A73" t="s">
        <v>82</v>
      </c>
      <c r="B73">
        <v>420418</v>
      </c>
      <c r="C73">
        <v>349516</v>
      </c>
      <c r="D73">
        <v>184499.465</v>
      </c>
      <c r="E73">
        <v>151100.59299999999</v>
      </c>
      <c r="F73">
        <v>119707.289</v>
      </c>
      <c r="G73">
        <v>133524.79300000001</v>
      </c>
      <c r="H73">
        <v>209345.685</v>
      </c>
      <c r="I73">
        <v>182974.4</v>
      </c>
      <c r="J73">
        <v>191438.55300000001</v>
      </c>
      <c r="K73">
        <v>211653.72399999999</v>
      </c>
    </row>
    <row r="74" spans="1:11" ht="15.75" customHeight="1" x14ac:dyDescent="0.15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t="15.75" customHeight="1" x14ac:dyDescent="0.15">
      <c r="A75" t="s">
        <v>84</v>
      </c>
      <c r="B75">
        <v>46098</v>
      </c>
      <c r="C75">
        <v>36230</v>
      </c>
      <c r="D75">
        <v>17330.303</v>
      </c>
      <c r="E75">
        <v>21558.097000000002</v>
      </c>
      <c r="F75">
        <v>21415.26</v>
      </c>
      <c r="G75">
        <v>1477.3219999999999</v>
      </c>
      <c r="H75">
        <v>1526.375</v>
      </c>
      <c r="I75">
        <v>1573.1120000000001</v>
      </c>
      <c r="J75">
        <v>3531.9050000000002</v>
      </c>
      <c r="K75">
        <v>9519.6</v>
      </c>
    </row>
    <row r="76" spans="1:11" ht="15.75" customHeight="1" x14ac:dyDescent="0.15">
      <c r="A76" t="s">
        <v>85</v>
      </c>
      <c r="B76">
        <v>179600</v>
      </c>
      <c r="C76">
        <v>78779</v>
      </c>
      <c r="D76">
        <v>24977.574000000001</v>
      </c>
      <c r="E76">
        <v>7277.777</v>
      </c>
      <c r="F76">
        <v>3815.0030000000002</v>
      </c>
      <c r="G76">
        <v>5346.81</v>
      </c>
      <c r="H76">
        <v>10708.029</v>
      </c>
      <c r="I76">
        <v>38218.805</v>
      </c>
      <c r="J76">
        <v>22895.52</v>
      </c>
      <c r="K76">
        <v>0</v>
      </c>
    </row>
    <row r="77" spans="1:11" ht="15.75" customHeight="1" x14ac:dyDescent="0.15">
      <c r="A77" t="s">
        <v>86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ht="15.75" customHeight="1" x14ac:dyDescent="0.15">
      <c r="A78" t="s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ht="15.75" customHeight="1" x14ac:dyDescent="0.15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ht="15.75" customHeight="1" x14ac:dyDescent="0.15">
      <c r="A80" t="s">
        <v>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ht="15.75" customHeight="1" x14ac:dyDescent="0.15">
      <c r="A81" t="s">
        <v>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ht="15.75" customHeight="1" x14ac:dyDescent="0.15">
      <c r="A82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ht="15.75" customHeight="1" x14ac:dyDescent="0.15">
      <c r="A83" t="s">
        <v>56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ht="15.75" customHeight="1" x14ac:dyDescent="0.15">
      <c r="A84" t="s">
        <v>92</v>
      </c>
      <c r="B84">
        <v>6904</v>
      </c>
      <c r="C84">
        <v>0</v>
      </c>
      <c r="D84">
        <v>1696.644</v>
      </c>
      <c r="E84">
        <v>5609.9369999999999</v>
      </c>
      <c r="F84">
        <v>623.72</v>
      </c>
      <c r="G84">
        <v>68.100999999999999</v>
      </c>
      <c r="H84">
        <v>347.47699999999998</v>
      </c>
      <c r="I84">
        <v>30.891999999999999</v>
      </c>
      <c r="J84">
        <v>1597.0170000000001</v>
      </c>
      <c r="K84">
        <v>0</v>
      </c>
    </row>
    <row r="85" spans="1:11" ht="15.75" customHeight="1" x14ac:dyDescent="0.15">
      <c r="A85" t="s">
        <v>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t="15.75" customHeight="1" x14ac:dyDescent="0.15">
      <c r="A86" t="s">
        <v>94</v>
      </c>
      <c r="B86">
        <v>172696</v>
      </c>
      <c r="C86">
        <v>78779</v>
      </c>
      <c r="D86">
        <v>23280.93</v>
      </c>
      <c r="E86">
        <v>1667.84</v>
      </c>
      <c r="F86">
        <v>3191.2829999999999</v>
      </c>
      <c r="G86">
        <v>5278.7089999999998</v>
      </c>
      <c r="H86">
        <v>10360.552</v>
      </c>
      <c r="I86">
        <v>38187.913</v>
      </c>
      <c r="J86">
        <v>21298.503000000001</v>
      </c>
      <c r="K86">
        <v>0</v>
      </c>
    </row>
    <row r="87" spans="1:11" ht="15.75" customHeight="1" x14ac:dyDescent="0.15">
      <c r="A87" t="s">
        <v>95</v>
      </c>
      <c r="B87">
        <v>151710</v>
      </c>
      <c r="C87">
        <v>217986</v>
      </c>
      <c r="D87">
        <v>84396.581000000006</v>
      </c>
      <c r="E87">
        <v>99884.145999999993</v>
      </c>
      <c r="F87">
        <v>134782.76</v>
      </c>
      <c r="G87">
        <v>102706.058</v>
      </c>
      <c r="H87">
        <v>9543.1479999999992</v>
      </c>
      <c r="I87">
        <v>11525.562</v>
      </c>
      <c r="J87">
        <v>6768.4669999999996</v>
      </c>
      <c r="K87">
        <v>8542.9509999999991</v>
      </c>
    </row>
    <row r="88" spans="1:11" ht="15.75" customHeight="1" x14ac:dyDescent="0.15">
      <c r="A88" t="s">
        <v>96</v>
      </c>
      <c r="B88">
        <v>151686</v>
      </c>
      <c r="C88">
        <v>217926</v>
      </c>
      <c r="D88">
        <v>84346.945000000007</v>
      </c>
      <c r="E88">
        <v>99824.346000000005</v>
      </c>
      <c r="F88">
        <v>134694.236</v>
      </c>
      <c r="G88">
        <v>102618.291</v>
      </c>
      <c r="H88">
        <v>9451.3760000000002</v>
      </c>
      <c r="I88">
        <v>11392.255999999999</v>
      </c>
      <c r="J88">
        <v>6666.86</v>
      </c>
      <c r="K88">
        <v>8449.1939999999995</v>
      </c>
    </row>
    <row r="89" spans="1:11" ht="15.75" customHeight="1" x14ac:dyDescent="0.15">
      <c r="A89" t="s">
        <v>97</v>
      </c>
      <c r="B89">
        <v>0</v>
      </c>
      <c r="C89">
        <v>0</v>
      </c>
      <c r="D89">
        <v>0</v>
      </c>
      <c r="E89">
        <v>1.2549999999999999</v>
      </c>
      <c r="F89">
        <v>30.016999999999999</v>
      </c>
      <c r="G89">
        <v>0</v>
      </c>
      <c r="H89">
        <v>0</v>
      </c>
      <c r="I89">
        <v>1.639</v>
      </c>
      <c r="J89">
        <v>0</v>
      </c>
      <c r="K89">
        <v>0</v>
      </c>
    </row>
    <row r="90" spans="1:11" ht="15.75" customHeight="1" x14ac:dyDescent="0.15">
      <c r="A90" t="s">
        <v>98</v>
      </c>
      <c r="B90">
        <v>24</v>
      </c>
      <c r="C90">
        <v>60</v>
      </c>
      <c r="D90">
        <v>49.636000000000003</v>
      </c>
      <c r="E90">
        <v>58.545000000000002</v>
      </c>
      <c r="F90">
        <v>58.506999999999998</v>
      </c>
      <c r="G90">
        <v>87.766999999999996</v>
      </c>
      <c r="H90">
        <v>91.772000000000006</v>
      </c>
      <c r="I90">
        <v>131.667</v>
      </c>
      <c r="J90">
        <v>101.607</v>
      </c>
      <c r="K90">
        <v>93.757000000000005</v>
      </c>
    </row>
    <row r="91" spans="1:11" ht="15.75" customHeight="1" x14ac:dyDescent="0.15">
      <c r="A91" t="s">
        <v>99</v>
      </c>
      <c r="B91">
        <v>5495</v>
      </c>
      <c r="C91">
        <v>3920</v>
      </c>
      <c r="D91">
        <v>3803.0079999999998</v>
      </c>
      <c r="E91">
        <v>2622.9960000000001</v>
      </c>
      <c r="F91">
        <v>2341.9830000000002</v>
      </c>
      <c r="G91">
        <v>1486.9680000000001</v>
      </c>
      <c r="H91">
        <v>879.80799999999999</v>
      </c>
      <c r="I91">
        <v>874.59100000000001</v>
      </c>
      <c r="J91">
        <v>1037.3389999999999</v>
      </c>
      <c r="K91">
        <v>1262.259</v>
      </c>
    </row>
    <row r="92" spans="1:11" ht="15.75" customHeight="1" x14ac:dyDescent="0.15">
      <c r="A92" t="s">
        <v>100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ht="15.75" customHeight="1" x14ac:dyDescent="0.15">
      <c r="A93" t="s">
        <v>101</v>
      </c>
      <c r="B93">
        <v>3790320</v>
      </c>
      <c r="C93">
        <v>1675063</v>
      </c>
      <c r="D93">
        <v>1536536.983</v>
      </c>
      <c r="E93">
        <v>1308756.7039999999</v>
      </c>
      <c r="F93">
        <v>1311132.3030000001</v>
      </c>
      <c r="G93">
        <v>741974.82499999995</v>
      </c>
      <c r="H93">
        <v>792683.74399999995</v>
      </c>
      <c r="I93">
        <v>788836.85400000005</v>
      </c>
      <c r="J93">
        <v>778185.56599999999</v>
      </c>
      <c r="K93">
        <v>780383.29399999999</v>
      </c>
    </row>
    <row r="94" spans="1:11" ht="15.75" customHeight="1" x14ac:dyDescent="0.15">
      <c r="A94" t="s">
        <v>102</v>
      </c>
    </row>
    <row r="95" spans="1:11" ht="15.75" customHeight="1" x14ac:dyDescent="0.15">
      <c r="A95" t="s">
        <v>103</v>
      </c>
    </row>
    <row r="96" spans="1:11" ht="15.75" customHeight="1" x14ac:dyDescent="0.15">
      <c r="A96" t="s">
        <v>104</v>
      </c>
      <c r="B96">
        <v>852247</v>
      </c>
      <c r="C96">
        <v>88219</v>
      </c>
      <c r="D96">
        <v>136548.72099999999</v>
      </c>
      <c r="E96">
        <v>117108.52099999999</v>
      </c>
      <c r="F96">
        <v>124862.24099999999</v>
      </c>
      <c r="G96">
        <v>344954.712</v>
      </c>
      <c r="H96">
        <v>348518.46299999999</v>
      </c>
      <c r="I96">
        <v>370611.08799999999</v>
      </c>
      <c r="J96">
        <v>351645.83</v>
      </c>
      <c r="K96">
        <v>318992.28200000001</v>
      </c>
    </row>
    <row r="97" spans="1:11" ht="15.75" customHeight="1" x14ac:dyDescent="0.15">
      <c r="A97" t="s">
        <v>105</v>
      </c>
      <c r="B97">
        <v>40000</v>
      </c>
      <c r="C97">
        <v>40000</v>
      </c>
      <c r="D97">
        <v>40000.22</v>
      </c>
      <c r="E97">
        <v>40000.22</v>
      </c>
      <c r="F97">
        <v>40000.22</v>
      </c>
      <c r="G97">
        <v>40000.22</v>
      </c>
      <c r="H97">
        <v>40000.22</v>
      </c>
      <c r="I97">
        <v>40000.22</v>
      </c>
      <c r="J97">
        <v>40000.22</v>
      </c>
      <c r="K97">
        <v>40000.22</v>
      </c>
    </row>
    <row r="98" spans="1:11" ht="15.75" customHeight="1" x14ac:dyDescent="0.15">
      <c r="A98" t="s">
        <v>106</v>
      </c>
      <c r="B98">
        <v>0</v>
      </c>
      <c r="C98">
        <v>0</v>
      </c>
      <c r="D98">
        <v>4500</v>
      </c>
      <c r="E98">
        <v>0</v>
      </c>
      <c r="F98">
        <v>0</v>
      </c>
      <c r="G98">
        <v>9.8000000000000004E-2</v>
      </c>
      <c r="H98">
        <v>9.8000000000000004E-2</v>
      </c>
      <c r="I98">
        <v>9.8000000000000004E-2</v>
      </c>
      <c r="J98">
        <v>9.8000000000000004E-2</v>
      </c>
      <c r="K98">
        <v>9.8000000000000004E-2</v>
      </c>
    </row>
    <row r="99" spans="1:11" ht="15.75" customHeight="1" x14ac:dyDescent="0.15">
      <c r="A99" t="s">
        <v>107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ht="15.75" customHeight="1" x14ac:dyDescent="0.15">
      <c r="A100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ht="15.75" customHeight="1" x14ac:dyDescent="0.15">
      <c r="A101" t="s">
        <v>109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ht="15.75" customHeight="1" x14ac:dyDescent="0.15">
      <c r="A102" t="s">
        <v>110</v>
      </c>
      <c r="B102">
        <v>60241</v>
      </c>
      <c r="C102">
        <v>60241</v>
      </c>
      <c r="D102">
        <v>60241.453999999998</v>
      </c>
      <c r="E102">
        <v>60241.453999999998</v>
      </c>
      <c r="F102">
        <v>60241.453999999998</v>
      </c>
      <c r="G102">
        <v>51829.137999999999</v>
      </c>
      <c r="H102">
        <v>51829.137999999999</v>
      </c>
      <c r="I102">
        <v>51829.137999999999</v>
      </c>
      <c r="J102">
        <v>51829.137999999999</v>
      </c>
      <c r="K102">
        <v>51829.137999999999</v>
      </c>
    </row>
    <row r="103" spans="1:11" ht="15.75" customHeight="1" x14ac:dyDescent="0.15">
      <c r="A103" t="s">
        <v>111</v>
      </c>
      <c r="B103">
        <v>0</v>
      </c>
      <c r="C103">
        <v>0</v>
      </c>
      <c r="D103">
        <v>15471.903</v>
      </c>
      <c r="E103">
        <v>15471.903</v>
      </c>
      <c r="F103">
        <v>15471.903</v>
      </c>
      <c r="G103">
        <v>15471.903</v>
      </c>
      <c r="H103">
        <v>15471.903</v>
      </c>
      <c r="I103">
        <v>15471.903</v>
      </c>
      <c r="J103">
        <v>15471.903</v>
      </c>
      <c r="K103">
        <v>15471.903</v>
      </c>
    </row>
    <row r="104" spans="1:11" ht="15.75" customHeight="1" x14ac:dyDescent="0.15">
      <c r="A104" t="s">
        <v>112</v>
      </c>
      <c r="B104">
        <v>8000</v>
      </c>
      <c r="C104">
        <v>8000</v>
      </c>
      <c r="D104">
        <v>8000.0439999999999</v>
      </c>
      <c r="E104">
        <v>8000.0439999999999</v>
      </c>
      <c r="F104">
        <v>8000.0439999999999</v>
      </c>
      <c r="G104">
        <v>8000.0439999999999</v>
      </c>
      <c r="H104">
        <v>8000.0439999999999</v>
      </c>
      <c r="I104">
        <v>8000.0439999999999</v>
      </c>
      <c r="J104">
        <v>8000.0439999999999</v>
      </c>
      <c r="K104">
        <v>8000.0439999999999</v>
      </c>
    </row>
    <row r="105" spans="1:11" ht="15.75" customHeight="1" x14ac:dyDescent="0.15">
      <c r="A105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ht="15.75" customHeight="1" x14ac:dyDescent="0.15">
      <c r="A106" t="s">
        <v>114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ht="15.75" customHeight="1" x14ac:dyDescent="0.15">
      <c r="A107" t="s">
        <v>115</v>
      </c>
      <c r="B107">
        <v>1178691</v>
      </c>
      <c r="C107">
        <v>96414</v>
      </c>
      <c r="D107">
        <v>62110.595000000001</v>
      </c>
      <c r="E107">
        <v>57610.595000000001</v>
      </c>
      <c r="F107">
        <v>57610.595000000001</v>
      </c>
      <c r="G107">
        <v>229217.15599999999</v>
      </c>
      <c r="H107">
        <v>227309.62899999999</v>
      </c>
      <c r="I107">
        <v>206344.36</v>
      </c>
      <c r="J107">
        <v>181690.85500000001</v>
      </c>
      <c r="K107">
        <v>164816.54699999999</v>
      </c>
    </row>
    <row r="108" spans="1:11" ht="15.75" customHeight="1" x14ac:dyDescent="0.15">
      <c r="A108" t="s">
        <v>116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t="15.75" customHeight="1" x14ac:dyDescent="0.15">
      <c r="A109" t="s">
        <v>117</v>
      </c>
      <c r="B109">
        <v>0</v>
      </c>
      <c r="C109">
        <v>0</v>
      </c>
      <c r="D109">
        <v>-262.94200000000001</v>
      </c>
      <c r="E109">
        <v>2549.3290000000002</v>
      </c>
      <c r="F109">
        <v>-1033.3230000000001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t="15.75" customHeight="1" x14ac:dyDescent="0.15">
      <c r="A110" t="s">
        <v>118</v>
      </c>
      <c r="B110">
        <v>-109768</v>
      </c>
      <c r="C110">
        <v>-52144</v>
      </c>
      <c r="D110">
        <v>-66765.024000000005</v>
      </c>
      <c r="E110">
        <v>-55428.652000000002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ht="15.75" customHeight="1" x14ac:dyDescent="0.15">
      <c r="A111" t="s">
        <v>119</v>
      </c>
      <c r="B111">
        <v>-324917</v>
      </c>
      <c r="C111">
        <v>-64292</v>
      </c>
      <c r="D111">
        <v>17752.471000000001</v>
      </c>
      <c r="E111">
        <v>-11336.371999999999</v>
      </c>
      <c r="F111">
        <v>-55428.652000000002</v>
      </c>
      <c r="G111">
        <v>436.25099999999998</v>
      </c>
      <c r="H111">
        <v>5907.5290000000005</v>
      </c>
      <c r="I111">
        <v>48965.423000000003</v>
      </c>
      <c r="J111">
        <v>54653.67</v>
      </c>
      <c r="K111">
        <v>38874.43</v>
      </c>
    </row>
    <row r="112" spans="1:11" ht="15.75" customHeight="1" x14ac:dyDescent="0.15">
      <c r="A112" t="s">
        <v>120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ht="15.75" customHeight="1" x14ac:dyDescent="0.15">
      <c r="A113" t="s">
        <v>121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ht="15.75" customHeight="1" x14ac:dyDescent="0.15">
      <c r="A114" t="s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ht="15.75" customHeight="1" x14ac:dyDescent="0.15">
      <c r="A115" t="s">
        <v>123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ht="15.75" customHeight="1" x14ac:dyDescent="0.15">
      <c r="A116" t="s">
        <v>124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ht="15.75" customHeight="1" x14ac:dyDescent="0.15">
      <c r="A117" t="s">
        <v>125</v>
      </c>
      <c r="B117">
        <v>80578</v>
      </c>
      <c r="C117">
        <v>24669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ht="15.75" customHeight="1" x14ac:dyDescent="0.15">
      <c r="A118" t="s">
        <v>126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ht="15.75" customHeight="1" x14ac:dyDescent="0.15">
      <c r="A119" t="s">
        <v>127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t="15.75" customHeight="1" x14ac:dyDescent="0.15">
      <c r="A120" t="s">
        <v>128</v>
      </c>
      <c r="B120">
        <v>135061</v>
      </c>
      <c r="C120">
        <v>57173</v>
      </c>
      <c r="D120">
        <v>62323.983999999997</v>
      </c>
      <c r="E120">
        <v>44749.963000000003</v>
      </c>
      <c r="F120">
        <v>48860.097999999998</v>
      </c>
      <c r="G120">
        <v>35195.697999999997</v>
      </c>
      <c r="H120">
        <v>32083.278999999999</v>
      </c>
      <c r="I120">
        <v>26576.013999999999</v>
      </c>
      <c r="J120">
        <v>17047.620999999999</v>
      </c>
      <c r="K120">
        <v>9555.9650000000001</v>
      </c>
    </row>
    <row r="121" spans="1:11" ht="15.75" customHeight="1" x14ac:dyDescent="0.15">
      <c r="A121" t="s">
        <v>129</v>
      </c>
      <c r="B121">
        <v>0</v>
      </c>
      <c r="C121">
        <v>0</v>
      </c>
      <c r="D121">
        <v>3147.9960000000001</v>
      </c>
      <c r="E121">
        <v>3285.884</v>
      </c>
      <c r="F121">
        <v>3469.663</v>
      </c>
      <c r="G121">
        <v>3697.5169999999998</v>
      </c>
      <c r="H121">
        <v>3452.0909999999999</v>
      </c>
      <c r="I121">
        <v>3309.4319999999998</v>
      </c>
      <c r="J121">
        <v>2693.3980000000001</v>
      </c>
      <c r="K121">
        <v>2418.9299999999998</v>
      </c>
    </row>
    <row r="122" spans="1:11" ht="15.75" customHeight="1" x14ac:dyDescent="0.15">
      <c r="A122" t="s">
        <v>130</v>
      </c>
      <c r="B122">
        <v>80578</v>
      </c>
      <c r="C122">
        <v>24669</v>
      </c>
      <c r="D122">
        <v>17588.982</v>
      </c>
      <c r="E122">
        <v>16566.298999999999</v>
      </c>
      <c r="F122">
        <v>16422.796999999999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t="15.75" customHeight="1" x14ac:dyDescent="0.15">
      <c r="A123" t="s">
        <v>131</v>
      </c>
      <c r="B123">
        <v>1959</v>
      </c>
      <c r="C123">
        <v>16010</v>
      </c>
      <c r="D123">
        <v>14734.732</v>
      </c>
      <c r="E123">
        <v>620.45799999999997</v>
      </c>
      <c r="F123">
        <v>2147.741</v>
      </c>
      <c r="G123">
        <v>136.01300000000001</v>
      </c>
      <c r="H123">
        <v>12.057</v>
      </c>
      <c r="I123">
        <v>532.53399999999999</v>
      </c>
      <c r="J123">
        <v>157.47200000000001</v>
      </c>
      <c r="K123">
        <v>0</v>
      </c>
    </row>
    <row r="124" spans="1:11" ht="15.75" customHeight="1" x14ac:dyDescent="0.15">
      <c r="A124" t="s">
        <v>132</v>
      </c>
      <c r="B124">
        <v>52524</v>
      </c>
      <c r="C124">
        <v>16494</v>
      </c>
      <c r="D124">
        <v>26852.274000000001</v>
      </c>
      <c r="E124">
        <v>24277.322</v>
      </c>
      <c r="F124">
        <v>26819.897000000001</v>
      </c>
      <c r="G124">
        <v>31362.168000000001</v>
      </c>
      <c r="H124">
        <v>28619.131000000001</v>
      </c>
      <c r="I124">
        <v>22734.047999999999</v>
      </c>
      <c r="J124">
        <v>14196.751</v>
      </c>
      <c r="K124">
        <v>7137.0349999999999</v>
      </c>
    </row>
    <row r="125" spans="1:11" ht="15.75" customHeight="1" x14ac:dyDescent="0.15">
      <c r="A125" t="s">
        <v>133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ht="15.75" customHeight="1" x14ac:dyDescent="0.15">
      <c r="A126" t="s">
        <v>134</v>
      </c>
      <c r="B126">
        <v>6126</v>
      </c>
      <c r="C126">
        <v>7190</v>
      </c>
      <c r="D126">
        <v>9844.1450000000004</v>
      </c>
      <c r="E126">
        <v>9804.3629999999994</v>
      </c>
      <c r="F126">
        <v>11127.204</v>
      </c>
      <c r="G126">
        <v>13315.664000000001</v>
      </c>
      <c r="H126">
        <v>14615.308000000001</v>
      </c>
      <c r="I126">
        <v>15818.5</v>
      </c>
      <c r="J126">
        <v>16934.441999999999</v>
      </c>
      <c r="K126">
        <v>17851.923999999999</v>
      </c>
    </row>
    <row r="127" spans="1:11" ht="15.75" customHeight="1" x14ac:dyDescent="0.15">
      <c r="A127" t="s">
        <v>135</v>
      </c>
    </row>
    <row r="128" spans="1:11" ht="15.75" customHeight="1" x14ac:dyDescent="0.15">
      <c r="A128" t="s">
        <v>136</v>
      </c>
      <c r="B128">
        <v>2796886</v>
      </c>
      <c r="C128">
        <v>1522481</v>
      </c>
      <c r="D128">
        <v>1327820.1329999999</v>
      </c>
      <c r="E128">
        <v>1136860.6780000001</v>
      </c>
      <c r="F128">
        <v>1126282.76</v>
      </c>
      <c r="G128">
        <v>348491.18699999998</v>
      </c>
      <c r="H128">
        <v>397384.07400000002</v>
      </c>
      <c r="I128">
        <v>375606.89899999998</v>
      </c>
      <c r="J128">
        <v>392361.15700000001</v>
      </c>
      <c r="K128">
        <v>433764.14600000001</v>
      </c>
    </row>
    <row r="129" spans="1:11" ht="15.75" customHeight="1" x14ac:dyDescent="0.15">
      <c r="A129" t="s">
        <v>137</v>
      </c>
      <c r="B129">
        <v>6783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ht="15.75" customHeight="1" x14ac:dyDescent="0.15">
      <c r="A130" t="s">
        <v>138</v>
      </c>
      <c r="B130">
        <v>1069074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ht="15.75" customHeight="1" x14ac:dyDescent="0.15">
      <c r="A131" t="s">
        <v>139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ht="15.75" customHeight="1" x14ac:dyDescent="0.15">
      <c r="A132" t="s">
        <v>140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ht="15.75" customHeight="1" x14ac:dyDescent="0.15">
      <c r="A133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ht="15.75" customHeight="1" x14ac:dyDescent="0.15">
      <c r="A134" t="s">
        <v>142</v>
      </c>
      <c r="B134">
        <v>322056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ht="15.75" customHeight="1" x14ac:dyDescent="0.15">
      <c r="A135" t="s">
        <v>143</v>
      </c>
      <c r="B135">
        <v>82489</v>
      </c>
      <c r="C135">
        <v>48202</v>
      </c>
      <c r="D135">
        <v>10000</v>
      </c>
      <c r="E135">
        <v>0.499</v>
      </c>
      <c r="F135">
        <v>1.8069999999999999</v>
      </c>
      <c r="G135">
        <v>4.9219999999999997</v>
      </c>
      <c r="H135">
        <v>20464.468000000001</v>
      </c>
      <c r="I135">
        <v>99547.085999999996</v>
      </c>
      <c r="J135">
        <v>79477.820000000007</v>
      </c>
      <c r="K135">
        <v>100222.989</v>
      </c>
    </row>
    <row r="136" spans="1:11" ht="15.75" customHeight="1" x14ac:dyDescent="0.15">
      <c r="A136" t="s">
        <v>144</v>
      </c>
      <c r="B136">
        <v>178111</v>
      </c>
      <c r="C136">
        <v>614866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55779.955999999998</v>
      </c>
      <c r="J136">
        <v>79869.755999999994</v>
      </c>
      <c r="K136">
        <v>103275.89599999999</v>
      </c>
    </row>
    <row r="137" spans="1:11" ht="15.75" customHeight="1" x14ac:dyDescent="0.15">
      <c r="A137" t="s">
        <v>145</v>
      </c>
      <c r="B137">
        <v>17028</v>
      </c>
      <c r="C137">
        <v>14288</v>
      </c>
      <c r="D137">
        <v>15075.841</v>
      </c>
      <c r="E137">
        <v>12408.767</v>
      </c>
      <c r="F137">
        <v>18709.527999999998</v>
      </c>
      <c r="G137">
        <v>0</v>
      </c>
      <c r="H137">
        <v>0</v>
      </c>
      <c r="I137">
        <v>428.26499999999999</v>
      </c>
      <c r="J137">
        <v>0</v>
      </c>
      <c r="K137">
        <v>282.108</v>
      </c>
    </row>
    <row r="138" spans="1:11" ht="15.75" customHeight="1" x14ac:dyDescent="0.15">
      <c r="A138" t="s">
        <v>146</v>
      </c>
      <c r="B138">
        <v>171661</v>
      </c>
      <c r="C138">
        <v>88653</v>
      </c>
      <c r="D138">
        <v>0</v>
      </c>
      <c r="E138">
        <v>725617.17700000003</v>
      </c>
      <c r="F138">
        <v>780492.16799999995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ht="15.75" customHeight="1" x14ac:dyDescent="0.15">
      <c r="A139" t="s">
        <v>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6.24</v>
      </c>
      <c r="H139">
        <v>34.835000000000001</v>
      </c>
      <c r="I139">
        <v>20.253</v>
      </c>
      <c r="J139">
        <v>3.22</v>
      </c>
      <c r="K139">
        <v>5.2220000000000004</v>
      </c>
    </row>
    <row r="140" spans="1:11" ht="15.75" customHeight="1" x14ac:dyDescent="0.15">
      <c r="A140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ht="15.75" customHeight="1" x14ac:dyDescent="0.15">
      <c r="A141" t="s">
        <v>149</v>
      </c>
      <c r="B141">
        <v>250274</v>
      </c>
      <c r="C141">
        <v>182261</v>
      </c>
      <c r="D141">
        <v>252136.23</v>
      </c>
      <c r="E141">
        <v>190182.36300000001</v>
      </c>
      <c r="F141">
        <v>134849.12400000001</v>
      </c>
      <c r="G141">
        <v>139771.209</v>
      </c>
      <c r="H141">
        <v>197078.85800000001</v>
      </c>
      <c r="I141">
        <v>142429.71400000001</v>
      </c>
      <c r="J141">
        <v>140877.26300000001</v>
      </c>
      <c r="K141">
        <v>154221.997</v>
      </c>
    </row>
    <row r="142" spans="1:11" ht="15.75" customHeight="1" x14ac:dyDescent="0.15">
      <c r="A142" t="s">
        <v>150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ht="15.75" customHeight="1" x14ac:dyDescent="0.15">
      <c r="A143" t="s">
        <v>151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ht="15.75" customHeight="1" x14ac:dyDescent="0.15">
      <c r="A144" t="s">
        <v>152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ht="15.75" customHeight="1" x14ac:dyDescent="0.15">
      <c r="A145" t="s">
        <v>153</v>
      </c>
      <c r="B145">
        <v>0</v>
      </c>
      <c r="C145">
        <v>0</v>
      </c>
      <c r="D145">
        <v>328224</v>
      </c>
      <c r="E145">
        <v>173617.429</v>
      </c>
      <c r="F145">
        <v>141233.408</v>
      </c>
      <c r="G145">
        <v>103536.448</v>
      </c>
      <c r="H145">
        <v>67769.994000000006</v>
      </c>
      <c r="I145">
        <v>46501.775000000001</v>
      </c>
      <c r="J145">
        <v>54122.252</v>
      </c>
      <c r="K145">
        <v>48656.483999999997</v>
      </c>
    </row>
    <row r="146" spans="1:11" ht="15.75" customHeight="1" x14ac:dyDescent="0.15">
      <c r="A146" t="s">
        <v>154</v>
      </c>
      <c r="B146">
        <v>0</v>
      </c>
      <c r="C146">
        <v>0</v>
      </c>
      <c r="D146">
        <v>65000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937.5</v>
      </c>
    </row>
    <row r="147" spans="1:11" ht="15.75" customHeight="1" x14ac:dyDescent="0.15">
      <c r="A147" t="s">
        <v>155</v>
      </c>
      <c r="B147">
        <v>0</v>
      </c>
      <c r="C147">
        <v>0</v>
      </c>
      <c r="D147">
        <v>1805.1859999999999</v>
      </c>
      <c r="E147">
        <v>663</v>
      </c>
      <c r="F147">
        <v>293</v>
      </c>
      <c r="G147">
        <v>395</v>
      </c>
      <c r="H147">
        <v>183</v>
      </c>
      <c r="I147">
        <v>0</v>
      </c>
      <c r="J147">
        <v>0</v>
      </c>
      <c r="K147">
        <v>0</v>
      </c>
    </row>
    <row r="148" spans="1:11" ht="15.75" customHeight="1" x14ac:dyDescent="0.1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ht="15.75" customHeight="1" x14ac:dyDescent="0.15">
      <c r="A149" t="s">
        <v>157</v>
      </c>
      <c r="B149">
        <v>666520</v>
      </c>
      <c r="C149">
        <v>550601</v>
      </c>
      <c r="D149">
        <v>619570.353</v>
      </c>
      <c r="E149">
        <v>62.845999999999997</v>
      </c>
      <c r="F149">
        <v>61.573999999999998</v>
      </c>
      <c r="G149">
        <v>76557.005999999994</v>
      </c>
      <c r="H149">
        <v>85422.976999999999</v>
      </c>
      <c r="I149">
        <v>3685.02</v>
      </c>
      <c r="J149">
        <v>103.89700000000001</v>
      </c>
      <c r="K149">
        <v>107.2</v>
      </c>
    </row>
    <row r="150" spans="1:11" ht="15.75" customHeight="1" x14ac:dyDescent="0.15">
      <c r="A150" t="s">
        <v>158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ht="15.75" customHeight="1" x14ac:dyDescent="0.15">
      <c r="A15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590.56399999999996</v>
      </c>
      <c r="H151">
        <v>172.6</v>
      </c>
      <c r="I151">
        <v>0</v>
      </c>
      <c r="J151">
        <v>0</v>
      </c>
      <c r="K151">
        <v>0</v>
      </c>
    </row>
    <row r="152" spans="1:11" ht="15.75" customHeight="1" x14ac:dyDescent="0.15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ht="15.75" customHeight="1" x14ac:dyDescent="0.15">
      <c r="A153" t="s">
        <v>161</v>
      </c>
      <c r="B153">
        <v>1216</v>
      </c>
      <c r="C153">
        <v>201</v>
      </c>
      <c r="D153">
        <v>6905.8720000000003</v>
      </c>
      <c r="E153">
        <v>6209.9160000000002</v>
      </c>
      <c r="F153">
        <v>29033.54</v>
      </c>
      <c r="G153">
        <v>3829.73</v>
      </c>
      <c r="H153">
        <v>5886.76</v>
      </c>
      <c r="I153">
        <v>5786.9040000000005</v>
      </c>
      <c r="J153">
        <v>16388.105</v>
      </c>
      <c r="K153">
        <v>5412.6710000000003</v>
      </c>
    </row>
    <row r="154" spans="1:11" ht="15.75" customHeight="1" x14ac:dyDescent="0.15">
      <c r="A154" t="s">
        <v>162</v>
      </c>
      <c r="B154">
        <v>579</v>
      </c>
      <c r="C154">
        <v>579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170.01</v>
      </c>
      <c r="J154">
        <v>578.33399999999995</v>
      </c>
      <c r="K154">
        <v>986.65800000000002</v>
      </c>
    </row>
    <row r="155" spans="1:11" ht="15.75" customHeight="1" x14ac:dyDescent="0.15">
      <c r="A155" t="s">
        <v>163</v>
      </c>
      <c r="B155">
        <v>0</v>
      </c>
      <c r="C155">
        <v>0</v>
      </c>
      <c r="D155">
        <v>9303.4330000000009</v>
      </c>
      <c r="E155">
        <v>9089.4570000000003</v>
      </c>
      <c r="F155">
        <v>8103.6</v>
      </c>
      <c r="G155">
        <v>9574.7620000000006</v>
      </c>
      <c r="H155">
        <v>8995.3359999999993</v>
      </c>
      <c r="I155">
        <v>9189.9590000000007</v>
      </c>
      <c r="J155">
        <v>7565.527</v>
      </c>
      <c r="K155">
        <v>7185.1019999999999</v>
      </c>
    </row>
    <row r="156" spans="1:11" ht="15.75" customHeight="1" x14ac:dyDescent="0.15">
      <c r="A156" t="s">
        <v>164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138.55799999999999</v>
      </c>
      <c r="J156">
        <v>471.65199999999999</v>
      </c>
      <c r="K156">
        <v>804.74599999999998</v>
      </c>
    </row>
    <row r="157" spans="1:11" ht="15.75" customHeight="1" x14ac:dyDescent="0.15">
      <c r="A157" t="s">
        <v>165</v>
      </c>
      <c r="B157">
        <v>31095</v>
      </c>
      <c r="C157">
        <v>22830</v>
      </c>
      <c r="D157">
        <v>19799.218000000001</v>
      </c>
      <c r="E157">
        <v>19009.223999999998</v>
      </c>
      <c r="F157">
        <v>13505.011</v>
      </c>
      <c r="G157">
        <v>14225.306</v>
      </c>
      <c r="H157">
        <v>11375.245999999999</v>
      </c>
      <c r="I157">
        <v>11929.398999999999</v>
      </c>
      <c r="J157">
        <v>12903.331</v>
      </c>
      <c r="K157">
        <v>11665.573</v>
      </c>
    </row>
    <row r="158" spans="1:11" ht="15.75" customHeight="1" x14ac:dyDescent="0.15">
      <c r="A158" t="s">
        <v>166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t="15.75" customHeight="1" x14ac:dyDescent="0.15">
      <c r="A159" t="s">
        <v>167</v>
      </c>
      <c r="B159">
        <v>1055405</v>
      </c>
      <c r="C159">
        <v>818383</v>
      </c>
      <c r="D159">
        <v>1262820.1329999999</v>
      </c>
      <c r="E159">
        <v>411243.50099999999</v>
      </c>
      <c r="F159">
        <v>345790.592</v>
      </c>
      <c r="G159">
        <v>348491.18699999998</v>
      </c>
      <c r="H159">
        <v>397384.07400000002</v>
      </c>
      <c r="I159">
        <v>319518.375</v>
      </c>
      <c r="J159">
        <v>311441.41499999998</v>
      </c>
      <c r="K159">
        <v>327759.34600000002</v>
      </c>
    </row>
    <row r="160" spans="1:11" ht="15.75" customHeight="1" x14ac:dyDescent="0.15">
      <c r="A160" t="s">
        <v>168</v>
      </c>
      <c r="B160">
        <v>1741481</v>
      </c>
      <c r="C160">
        <v>704098</v>
      </c>
      <c r="D160">
        <v>65000</v>
      </c>
      <c r="E160">
        <v>725617.17700000003</v>
      </c>
      <c r="F160">
        <v>780492.16799999995</v>
      </c>
      <c r="G160">
        <v>0</v>
      </c>
      <c r="H160">
        <v>0</v>
      </c>
      <c r="I160">
        <v>56088.523999999998</v>
      </c>
      <c r="J160">
        <v>80919.741999999998</v>
      </c>
      <c r="K160">
        <v>106004.8</v>
      </c>
    </row>
    <row r="161" spans="1:11" ht="15.75" customHeight="1" x14ac:dyDescent="0.15">
      <c r="A161" t="s">
        <v>169</v>
      </c>
      <c r="B161">
        <v>1055405</v>
      </c>
      <c r="C161">
        <v>818383</v>
      </c>
      <c r="D161">
        <v>1262820.1329999999</v>
      </c>
      <c r="E161">
        <v>411243.50099999999</v>
      </c>
      <c r="F161">
        <v>345790.592</v>
      </c>
      <c r="G161">
        <v>348491.18699999998</v>
      </c>
      <c r="H161">
        <v>397384.07400000002</v>
      </c>
      <c r="I161">
        <v>319518.375</v>
      </c>
      <c r="J161">
        <v>311441.41499999998</v>
      </c>
      <c r="K161">
        <v>327759.34600000002</v>
      </c>
    </row>
    <row r="162" spans="1:11" ht="15.75" customHeight="1" x14ac:dyDescent="0.15">
      <c r="A162" t="s">
        <v>170</v>
      </c>
      <c r="B162">
        <v>1741481</v>
      </c>
      <c r="C162">
        <v>704098</v>
      </c>
      <c r="D162">
        <v>65000</v>
      </c>
      <c r="E162">
        <v>725617.17700000003</v>
      </c>
      <c r="F162">
        <v>780492.16799999995</v>
      </c>
      <c r="G162">
        <v>0</v>
      </c>
      <c r="H162">
        <v>0</v>
      </c>
      <c r="I162">
        <v>56088.523999999998</v>
      </c>
      <c r="J162">
        <v>80919.741999999998</v>
      </c>
      <c r="K162">
        <v>106004.8</v>
      </c>
    </row>
    <row r="163" spans="1:11" ht="15.75" customHeight="1" x14ac:dyDescent="0.15">
      <c r="A163" t="s">
        <v>171</v>
      </c>
      <c r="B163">
        <v>0</v>
      </c>
      <c r="C163">
        <v>0</v>
      </c>
      <c r="D163">
        <v>0</v>
      </c>
      <c r="E163">
        <v>233.179</v>
      </c>
      <c r="F163">
        <v>0</v>
      </c>
      <c r="G163">
        <v>17.564</v>
      </c>
      <c r="H163">
        <v>82.62</v>
      </c>
      <c r="I163">
        <v>224.35300000000001</v>
      </c>
      <c r="J163">
        <v>196.51599999999999</v>
      </c>
      <c r="K163">
        <v>218.977</v>
      </c>
    </row>
    <row r="164" spans="1:11" ht="15.75" customHeight="1" x14ac:dyDescent="0.15">
      <c r="A164" t="s">
        <v>172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ht="15.75" customHeight="1" x14ac:dyDescent="0.15">
      <c r="A165" t="s">
        <v>173</v>
      </c>
      <c r="B165">
        <v>3790320</v>
      </c>
      <c r="C165">
        <v>1675063</v>
      </c>
      <c r="D165">
        <v>1536536.983</v>
      </c>
      <c r="E165">
        <v>1308756.7039999999</v>
      </c>
      <c r="F165">
        <v>1311132.3030000001</v>
      </c>
      <c r="G165">
        <v>741974.82499999995</v>
      </c>
      <c r="H165">
        <v>792683.74399999995</v>
      </c>
      <c r="I165">
        <v>788836.85400000005</v>
      </c>
      <c r="J165">
        <v>778185.56599999999</v>
      </c>
      <c r="K165">
        <v>780383.29399999999</v>
      </c>
    </row>
    <row r="166" spans="1:11" ht="15.75" customHeight="1" x14ac:dyDescent="0.15">
      <c r="A166" t="s">
        <v>174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60357.982000000004</v>
      </c>
    </row>
    <row r="167" spans="1:11" ht="15.75" customHeight="1" x14ac:dyDescent="0.15">
      <c r="A167" t="s">
        <v>175</v>
      </c>
    </row>
    <row r="168" spans="1:11" ht="15.75" customHeight="1" x14ac:dyDescent="0.15">
      <c r="A168" t="s">
        <v>176</v>
      </c>
      <c r="B168">
        <v>716833</v>
      </c>
      <c r="C168">
        <v>561438</v>
      </c>
      <c r="D168">
        <v>778513.32900000003</v>
      </c>
      <c r="E168">
        <v>588825.80299999996</v>
      </c>
      <c r="F168">
        <v>474425.01199999999</v>
      </c>
      <c r="G168">
        <v>593075.30500000005</v>
      </c>
      <c r="H168">
        <v>607222.65</v>
      </c>
      <c r="I168">
        <v>653117.46100000001</v>
      </c>
      <c r="J168">
        <v>653243.69799999997</v>
      </c>
      <c r="K168">
        <v>618272.34100000001</v>
      </c>
    </row>
    <row r="169" spans="1:11" ht="15.75" customHeight="1" x14ac:dyDescent="0.15">
      <c r="A169" t="s">
        <v>177</v>
      </c>
      <c r="B169">
        <v>563394</v>
      </c>
      <c r="C169">
        <v>465805</v>
      </c>
      <c r="D169">
        <v>686052.73800000001</v>
      </c>
      <c r="E169">
        <v>541259.54099999997</v>
      </c>
      <c r="F169">
        <v>452166.67</v>
      </c>
      <c r="G169">
        <v>593117.56599999999</v>
      </c>
      <c r="H169">
        <v>593723.91799999995</v>
      </c>
      <c r="I169">
        <v>634079.11199999996</v>
      </c>
      <c r="J169">
        <v>642254.50399999996</v>
      </c>
      <c r="K169">
        <v>608857.84699999995</v>
      </c>
    </row>
    <row r="170" spans="1:11" ht="15.75" customHeight="1" x14ac:dyDescent="0.15">
      <c r="A170" t="s">
        <v>178</v>
      </c>
      <c r="B170">
        <v>9700</v>
      </c>
      <c r="C170">
        <v>-18892</v>
      </c>
      <c r="D170">
        <v>25197.522000000001</v>
      </c>
      <c r="E170">
        <v>12046.266</v>
      </c>
      <c r="F170">
        <v>1685.1220000000001</v>
      </c>
      <c r="G170">
        <v>-7328.6350000000002</v>
      </c>
      <c r="H170">
        <v>3923.395</v>
      </c>
      <c r="I170">
        <v>-6827.4930000000004</v>
      </c>
      <c r="J170">
        <v>3840.038</v>
      </c>
      <c r="K170">
        <v>-246</v>
      </c>
    </row>
    <row r="171" spans="1:11" ht="15.75" customHeight="1" x14ac:dyDescent="0.1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t="15.75" customHeight="1" x14ac:dyDescent="0.15">
      <c r="A172" t="s">
        <v>180</v>
      </c>
      <c r="B172">
        <v>9700</v>
      </c>
      <c r="C172">
        <v>-18892</v>
      </c>
      <c r="D172">
        <v>25197.522000000001</v>
      </c>
      <c r="E172">
        <v>12046.266</v>
      </c>
      <c r="F172">
        <v>1685.1220000000001</v>
      </c>
      <c r="G172">
        <v>-7328.6350000000002</v>
      </c>
      <c r="H172">
        <v>3923.395</v>
      </c>
      <c r="I172">
        <v>-6827.4930000000004</v>
      </c>
      <c r="J172">
        <v>3840.038</v>
      </c>
      <c r="K172">
        <v>-246</v>
      </c>
    </row>
    <row r="173" spans="1:11" ht="15.75" customHeight="1" x14ac:dyDescent="0.15">
      <c r="A173" t="s">
        <v>181</v>
      </c>
      <c r="B173">
        <v>4659</v>
      </c>
      <c r="C173">
        <v>3685</v>
      </c>
      <c r="D173">
        <v>809.38199999999995</v>
      </c>
      <c r="E173">
        <v>1326.432</v>
      </c>
      <c r="F173">
        <v>1595.6669999999999</v>
      </c>
      <c r="G173">
        <v>909.42899999999997</v>
      </c>
      <c r="H173">
        <v>1371.615</v>
      </c>
      <c r="I173">
        <v>784.82500000000005</v>
      </c>
      <c r="J173">
        <v>317.24799999999999</v>
      </c>
      <c r="K173">
        <v>535.27700000000004</v>
      </c>
    </row>
    <row r="174" spans="1:11" ht="15.75" customHeight="1" x14ac:dyDescent="0.15">
      <c r="A174" t="s">
        <v>182</v>
      </c>
      <c r="B174">
        <v>139080</v>
      </c>
      <c r="C174">
        <v>110840</v>
      </c>
      <c r="D174">
        <v>66453.687000000005</v>
      </c>
      <c r="E174">
        <v>34193.563999999998</v>
      </c>
      <c r="F174">
        <v>18977.553</v>
      </c>
      <c r="G174">
        <v>6376.9449999999997</v>
      </c>
      <c r="H174">
        <v>8203.7219999999998</v>
      </c>
      <c r="I174">
        <v>25081.017</v>
      </c>
      <c r="J174">
        <v>6831.9080000000004</v>
      </c>
      <c r="K174">
        <v>9125.2170000000006</v>
      </c>
    </row>
    <row r="175" spans="1:11" ht="15.75" customHeight="1" x14ac:dyDescent="0.15">
      <c r="A175" t="s">
        <v>183</v>
      </c>
      <c r="B175">
        <v>2123</v>
      </c>
      <c r="C175">
        <v>9121</v>
      </c>
      <c r="D175">
        <v>20889.058000000001</v>
      </c>
      <c r="E175">
        <v>143.67699999999999</v>
      </c>
      <c r="F175">
        <v>377.92200000000003</v>
      </c>
      <c r="G175">
        <v>141.16200000000001</v>
      </c>
      <c r="H175">
        <v>816.35699999999997</v>
      </c>
      <c r="I175">
        <v>703.74900000000002</v>
      </c>
      <c r="J175">
        <v>70.302999999999997</v>
      </c>
      <c r="K175">
        <v>85.563000000000002</v>
      </c>
    </row>
    <row r="176" spans="1:11" ht="15.75" customHeight="1" x14ac:dyDescent="0.15">
      <c r="A176" t="s">
        <v>184</v>
      </c>
      <c r="B176">
        <v>656297</v>
      </c>
      <c r="C176">
        <v>504248</v>
      </c>
      <c r="D176">
        <v>767219.04500000004</v>
      </c>
      <c r="E176">
        <v>579536.99100000004</v>
      </c>
      <c r="F176">
        <v>471160.83</v>
      </c>
      <c r="G176">
        <v>562411.52500000002</v>
      </c>
      <c r="H176">
        <v>573505.08400000003</v>
      </c>
      <c r="I176">
        <v>575818.75199999998</v>
      </c>
      <c r="J176">
        <v>582390.40800000005</v>
      </c>
      <c r="K176">
        <v>566338.50100000005</v>
      </c>
    </row>
    <row r="177" spans="1:11" ht="15.75" customHeight="1" x14ac:dyDescent="0.15">
      <c r="A177" t="s">
        <v>185</v>
      </c>
      <c r="B177">
        <v>294635</v>
      </c>
      <c r="C177">
        <v>233853</v>
      </c>
      <c r="D177">
        <v>369324.92</v>
      </c>
      <c r="E177">
        <v>286223.41899999999</v>
      </c>
      <c r="F177">
        <v>212362.41899999999</v>
      </c>
      <c r="G177">
        <v>251077.60200000001</v>
      </c>
      <c r="H177">
        <v>354468.08799999999</v>
      </c>
      <c r="I177">
        <v>310414.15299999999</v>
      </c>
      <c r="J177">
        <v>308669.76</v>
      </c>
      <c r="K177">
        <v>314184.40100000001</v>
      </c>
    </row>
    <row r="178" spans="1:11" ht="15.75" customHeight="1" x14ac:dyDescent="0.15">
      <c r="A178" t="s">
        <v>186</v>
      </c>
      <c r="B178">
        <v>186379</v>
      </c>
      <c r="C178">
        <v>150974</v>
      </c>
      <c r="D178">
        <v>233037.49799999999</v>
      </c>
      <c r="E178">
        <v>152791.55900000001</v>
      </c>
      <c r="F178">
        <v>136499.391</v>
      </c>
      <c r="G178">
        <v>138892.42199999999</v>
      </c>
      <c r="H178">
        <v>130598.713</v>
      </c>
      <c r="I178">
        <v>123574.18700000001</v>
      </c>
      <c r="J178">
        <v>132183.02799999999</v>
      </c>
      <c r="K178">
        <v>134109.93700000001</v>
      </c>
    </row>
    <row r="179" spans="1:11" ht="15.75" customHeight="1" x14ac:dyDescent="0.15">
      <c r="A179" t="s">
        <v>187</v>
      </c>
      <c r="B179">
        <v>0</v>
      </c>
      <c r="C179">
        <v>0</v>
      </c>
      <c r="D179">
        <v>9817.73</v>
      </c>
      <c r="E179">
        <v>10480.972</v>
      </c>
      <c r="F179">
        <v>9122.4560000000001</v>
      </c>
      <c r="G179">
        <v>10345.315000000001</v>
      </c>
      <c r="H179">
        <v>9457.3119999999999</v>
      </c>
      <c r="I179">
        <v>15010.611999999999</v>
      </c>
      <c r="J179">
        <v>14467.255999999999</v>
      </c>
      <c r="K179">
        <v>5282.0609999999997</v>
      </c>
    </row>
    <row r="180" spans="1:11" ht="15.75" customHeight="1" x14ac:dyDescent="0.15">
      <c r="A180" t="s">
        <v>188</v>
      </c>
      <c r="B180">
        <v>109862</v>
      </c>
      <c r="C180">
        <v>81692</v>
      </c>
      <c r="D180">
        <v>103269.478</v>
      </c>
      <c r="E180">
        <v>99862.975000000006</v>
      </c>
      <c r="F180">
        <v>85109.024999999994</v>
      </c>
      <c r="G180">
        <v>93196.070999999996</v>
      </c>
      <c r="H180">
        <v>87542.437000000005</v>
      </c>
      <c r="I180">
        <v>89605.232999999993</v>
      </c>
      <c r="J180">
        <v>91396.603000000003</v>
      </c>
      <c r="K180">
        <v>88636.918000000005</v>
      </c>
    </row>
    <row r="181" spans="1:11" ht="15.75" customHeight="1" x14ac:dyDescent="0.15">
      <c r="A181" t="s">
        <v>189</v>
      </c>
      <c r="B181">
        <v>77712</v>
      </c>
      <c r="C181">
        <v>58883</v>
      </c>
      <c r="D181">
        <v>74911.387000000002</v>
      </c>
      <c r="E181">
        <v>71487.195000000007</v>
      </c>
      <c r="F181">
        <v>59749.349000000002</v>
      </c>
      <c r="G181">
        <v>64866.205999999998</v>
      </c>
      <c r="H181">
        <v>61908.048000000003</v>
      </c>
      <c r="I181">
        <v>63648.148000000001</v>
      </c>
      <c r="J181">
        <v>64480.544999999998</v>
      </c>
      <c r="K181">
        <v>62412.108</v>
      </c>
    </row>
    <row r="182" spans="1:11" ht="15.75" customHeight="1" x14ac:dyDescent="0.15">
      <c r="A182" t="s">
        <v>190</v>
      </c>
      <c r="B182">
        <v>22089</v>
      </c>
      <c r="C182">
        <v>17023</v>
      </c>
      <c r="D182">
        <v>20727.396000000001</v>
      </c>
      <c r="E182">
        <v>20414.879000000001</v>
      </c>
      <c r="F182">
        <v>18817.364000000001</v>
      </c>
      <c r="G182">
        <v>20688.695</v>
      </c>
      <c r="H182">
        <v>20027.201000000001</v>
      </c>
      <c r="I182">
        <v>20480.386999999999</v>
      </c>
      <c r="J182">
        <v>21212.454000000002</v>
      </c>
      <c r="K182">
        <v>21049.16</v>
      </c>
    </row>
    <row r="183" spans="1:11" ht="15.75" customHeight="1" x14ac:dyDescent="0.15">
      <c r="A183" t="s">
        <v>191</v>
      </c>
      <c r="B183">
        <v>0</v>
      </c>
      <c r="C183">
        <v>0</v>
      </c>
      <c r="D183">
        <v>2822.2339999999999</v>
      </c>
      <c r="E183">
        <v>2057.366</v>
      </c>
      <c r="F183">
        <v>1392.8</v>
      </c>
      <c r="G183">
        <v>1760.472</v>
      </c>
      <c r="H183">
        <v>1922.0940000000001</v>
      </c>
      <c r="I183">
        <v>1890.655</v>
      </c>
      <c r="J183">
        <v>1963.165</v>
      </c>
      <c r="K183">
        <v>1862.771</v>
      </c>
    </row>
    <row r="184" spans="1:11" ht="15.75" customHeight="1" x14ac:dyDescent="0.15">
      <c r="A184" t="s">
        <v>192</v>
      </c>
      <c r="B184">
        <v>0</v>
      </c>
      <c r="C184">
        <v>0</v>
      </c>
      <c r="D184">
        <v>2980.07</v>
      </c>
      <c r="E184">
        <v>3125.7049999999999</v>
      </c>
      <c r="F184">
        <v>3361.6010000000001</v>
      </c>
      <c r="G184">
        <v>3246.7689999999998</v>
      </c>
      <c r="H184">
        <v>3062.8919999999998</v>
      </c>
      <c r="I184">
        <v>3033.5129999999999</v>
      </c>
      <c r="J184">
        <v>3002.5889999999999</v>
      </c>
      <c r="K184">
        <v>3067.335</v>
      </c>
    </row>
    <row r="185" spans="1:11" ht="15.75" customHeight="1" x14ac:dyDescent="0.15">
      <c r="A185" t="s">
        <v>193</v>
      </c>
      <c r="B185">
        <v>10061</v>
      </c>
      <c r="C185">
        <v>5786</v>
      </c>
      <c r="D185">
        <v>1828.3910000000001</v>
      </c>
      <c r="E185">
        <v>2777.83</v>
      </c>
      <c r="F185">
        <v>1787.9110000000001</v>
      </c>
      <c r="G185">
        <v>2633.9290000000001</v>
      </c>
      <c r="H185">
        <v>622.202</v>
      </c>
      <c r="I185">
        <v>552.53</v>
      </c>
      <c r="J185">
        <v>737.85</v>
      </c>
      <c r="K185">
        <v>245.54400000000001</v>
      </c>
    </row>
    <row r="186" spans="1:11" ht="15.75" customHeight="1" x14ac:dyDescent="0.15">
      <c r="A186" t="s">
        <v>194</v>
      </c>
      <c r="B186">
        <v>10061</v>
      </c>
      <c r="C186">
        <v>5786</v>
      </c>
      <c r="D186">
        <v>7630.6949999999997</v>
      </c>
      <c r="E186">
        <v>7960.9009999999998</v>
      </c>
      <c r="F186">
        <v>6542.3119999999999</v>
      </c>
      <c r="G186">
        <v>7641.17</v>
      </c>
      <c r="H186">
        <v>5607.1880000000001</v>
      </c>
      <c r="I186">
        <v>5476.6980000000003</v>
      </c>
      <c r="J186">
        <v>5703.6040000000003</v>
      </c>
      <c r="K186">
        <v>5175.6499999999996</v>
      </c>
    </row>
    <row r="187" spans="1:11" ht="15.75" customHeight="1" x14ac:dyDescent="0.15">
      <c r="A187" t="s">
        <v>195</v>
      </c>
      <c r="B187">
        <v>51303</v>
      </c>
      <c r="C187">
        <v>34444</v>
      </c>
      <c r="D187">
        <v>38134.266000000003</v>
      </c>
      <c r="E187">
        <v>30746.916000000001</v>
      </c>
      <c r="F187">
        <v>24436.806</v>
      </c>
      <c r="G187">
        <v>25506.424999999999</v>
      </c>
      <c r="H187">
        <v>21062.95</v>
      </c>
      <c r="I187">
        <v>20471.141</v>
      </c>
      <c r="J187">
        <v>24381.822</v>
      </c>
      <c r="K187">
        <v>23649.059000000001</v>
      </c>
    </row>
    <row r="188" spans="1:11" ht="15.75" customHeight="1" x14ac:dyDescent="0.15">
      <c r="A188" t="s">
        <v>196</v>
      </c>
      <c r="B188">
        <v>17419</v>
      </c>
      <c r="C188">
        <v>6609</v>
      </c>
      <c r="D188">
        <v>7787.4530000000004</v>
      </c>
      <c r="E188">
        <v>6153.1559999999999</v>
      </c>
      <c r="F188">
        <v>5598.6909999999998</v>
      </c>
      <c r="G188">
        <v>2012.7460000000001</v>
      </c>
      <c r="H188">
        <v>1873.6969999999999</v>
      </c>
      <c r="I188">
        <v>2182.5050000000001</v>
      </c>
      <c r="J188">
        <v>2368.2510000000002</v>
      </c>
      <c r="K188">
        <v>2617.8980000000001</v>
      </c>
    </row>
    <row r="189" spans="1:11" ht="15.75" customHeight="1" x14ac:dyDescent="0.15">
      <c r="A189" t="s">
        <v>197</v>
      </c>
      <c r="B189">
        <v>33884</v>
      </c>
      <c r="C189">
        <v>26052</v>
      </c>
      <c r="D189">
        <v>22216.22</v>
      </c>
      <c r="E189">
        <v>22066.156999999999</v>
      </c>
      <c r="F189">
        <v>18838.115000000002</v>
      </c>
      <c r="G189">
        <v>17758.05</v>
      </c>
      <c r="H189">
        <v>18032.236000000001</v>
      </c>
      <c r="I189">
        <v>17520.155999999999</v>
      </c>
      <c r="J189">
        <v>18447.008000000002</v>
      </c>
      <c r="K189">
        <v>19703.081999999999</v>
      </c>
    </row>
    <row r="190" spans="1:11" ht="15.75" customHeight="1" x14ac:dyDescent="0.15">
      <c r="A190" t="s">
        <v>198</v>
      </c>
      <c r="B190">
        <v>0</v>
      </c>
      <c r="C190">
        <v>0</v>
      </c>
      <c r="D190">
        <v>4674.4269999999997</v>
      </c>
      <c r="E190">
        <v>2527.6030000000001</v>
      </c>
      <c r="F190">
        <v>0</v>
      </c>
      <c r="G190">
        <v>4853.549</v>
      </c>
      <c r="H190">
        <v>0</v>
      </c>
      <c r="I190">
        <v>0</v>
      </c>
      <c r="J190">
        <v>2078.5630000000001</v>
      </c>
      <c r="K190">
        <v>0</v>
      </c>
    </row>
    <row r="191" spans="1:11" ht="15.75" customHeight="1" x14ac:dyDescent="0.15">
      <c r="A191" t="s">
        <v>199</v>
      </c>
      <c r="B191">
        <v>51303</v>
      </c>
      <c r="C191">
        <v>32661</v>
      </c>
      <c r="D191">
        <v>34678.1</v>
      </c>
      <c r="E191">
        <v>30746.916000000001</v>
      </c>
      <c r="F191">
        <v>24436.806</v>
      </c>
      <c r="G191">
        <v>24624.345000000001</v>
      </c>
      <c r="H191">
        <v>19905.933000000001</v>
      </c>
      <c r="I191">
        <v>19702.661</v>
      </c>
      <c r="J191">
        <v>22893.822</v>
      </c>
      <c r="K191">
        <v>22320.98</v>
      </c>
    </row>
    <row r="192" spans="1:11" ht="15.75" customHeight="1" x14ac:dyDescent="0.15">
      <c r="A192" t="s">
        <v>200</v>
      </c>
      <c r="B192">
        <v>0</v>
      </c>
      <c r="C192">
        <v>1783</v>
      </c>
      <c r="D192">
        <v>3456.1660000000002</v>
      </c>
      <c r="E192">
        <v>0</v>
      </c>
      <c r="F192">
        <v>0</v>
      </c>
      <c r="G192">
        <v>882.08</v>
      </c>
      <c r="H192">
        <v>1157.0170000000001</v>
      </c>
      <c r="I192">
        <v>768.48</v>
      </c>
      <c r="J192">
        <v>1488</v>
      </c>
      <c r="K192">
        <v>1328.079</v>
      </c>
    </row>
    <row r="193" spans="1:11" ht="15.75" customHeight="1" x14ac:dyDescent="0.15">
      <c r="A193" t="s">
        <v>201</v>
      </c>
      <c r="B193">
        <v>0</v>
      </c>
      <c r="C193">
        <v>0</v>
      </c>
      <c r="D193">
        <v>3920.5720000000001</v>
      </c>
      <c r="E193">
        <v>-7298.4579999999996</v>
      </c>
      <c r="F193">
        <v>-1366.336</v>
      </c>
      <c r="G193">
        <v>39220.777000000002</v>
      </c>
      <c r="H193">
        <v>-39490.86</v>
      </c>
      <c r="I193">
        <v>1762.672</v>
      </c>
      <c r="J193">
        <v>-79.873000000000005</v>
      </c>
      <c r="K193">
        <v>-3289.3319999999999</v>
      </c>
    </row>
    <row r="194" spans="1:11" ht="15.75" customHeight="1" x14ac:dyDescent="0.15">
      <c r="A194" t="s">
        <v>202</v>
      </c>
      <c r="B194">
        <v>0</v>
      </c>
      <c r="C194">
        <v>0</v>
      </c>
      <c r="D194">
        <v>5621.59</v>
      </c>
      <c r="E194">
        <v>3751.8939999999998</v>
      </c>
      <c r="F194">
        <v>1563.559</v>
      </c>
      <c r="G194">
        <v>1377.06</v>
      </c>
      <c r="H194">
        <v>6329.3450000000003</v>
      </c>
      <c r="I194">
        <v>10238.432000000001</v>
      </c>
      <c r="J194">
        <v>7707</v>
      </c>
      <c r="K194">
        <v>200</v>
      </c>
    </row>
    <row r="195" spans="1:11" ht="15.75" customHeight="1" x14ac:dyDescent="0.15">
      <c r="A195" t="s">
        <v>203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700</v>
      </c>
      <c r="I195">
        <v>1200</v>
      </c>
      <c r="J195">
        <v>500</v>
      </c>
      <c r="K195">
        <v>300</v>
      </c>
    </row>
    <row r="196" spans="1:11" ht="15.75" customHeight="1" x14ac:dyDescent="0.15">
      <c r="A196" t="s">
        <v>204</v>
      </c>
      <c r="B196">
        <v>14118</v>
      </c>
      <c r="C196">
        <v>3285</v>
      </c>
      <c r="D196">
        <v>4092.991</v>
      </c>
      <c r="E196">
        <v>2977.7139999999999</v>
      </c>
      <c r="F196">
        <v>3433.51</v>
      </c>
      <c r="G196">
        <v>2795.8530000000001</v>
      </c>
      <c r="H196">
        <v>2837.0990000000002</v>
      </c>
      <c r="I196">
        <v>3542.3220000000001</v>
      </c>
      <c r="J196">
        <v>3164.8119999999999</v>
      </c>
      <c r="K196">
        <v>3265.4569999999999</v>
      </c>
    </row>
    <row r="197" spans="1:11" ht="15.75" customHeight="1" x14ac:dyDescent="0.15">
      <c r="A197" t="s">
        <v>205</v>
      </c>
      <c r="B197">
        <v>60536</v>
      </c>
      <c r="C197">
        <v>57190</v>
      </c>
      <c r="D197">
        <v>11294.284</v>
      </c>
      <c r="E197">
        <v>9288.8119999999999</v>
      </c>
      <c r="F197">
        <v>3264.1819999999998</v>
      </c>
      <c r="G197">
        <v>30663.78</v>
      </c>
      <c r="H197">
        <v>33717.565999999999</v>
      </c>
      <c r="I197">
        <v>77298.709000000003</v>
      </c>
      <c r="J197">
        <v>70853.289999999994</v>
      </c>
      <c r="K197">
        <v>51933.84</v>
      </c>
    </row>
    <row r="198" spans="1:11" ht="15.75" customHeight="1" x14ac:dyDescent="0.15">
      <c r="A198" t="s">
        <v>206</v>
      </c>
      <c r="B198">
        <v>221701</v>
      </c>
      <c r="C198">
        <v>173326</v>
      </c>
      <c r="D198">
        <v>158319.61799999999</v>
      </c>
      <c r="E198">
        <v>143650.59700000001</v>
      </c>
      <c r="F198">
        <v>114373.572</v>
      </c>
      <c r="G198">
        <v>150743.33600000001</v>
      </c>
      <c r="H198">
        <v>149352.29800000001</v>
      </c>
      <c r="I198">
        <v>198813.51500000001</v>
      </c>
      <c r="J198">
        <v>194838.715</v>
      </c>
      <c r="K198">
        <v>164719.81700000001</v>
      </c>
    </row>
    <row r="199" spans="1:11" ht="15.75" customHeight="1" x14ac:dyDescent="0.15">
      <c r="A199" t="s">
        <v>207</v>
      </c>
      <c r="B199">
        <v>-331886</v>
      </c>
      <c r="C199">
        <v>-112761</v>
      </c>
      <c r="D199">
        <v>11534.01</v>
      </c>
      <c r="E199">
        <v>-17638.457999999999</v>
      </c>
      <c r="F199">
        <v>-57619.540999999997</v>
      </c>
      <c r="G199">
        <v>2594.7750000000001</v>
      </c>
      <c r="H199">
        <v>3433.0219999999999</v>
      </c>
      <c r="I199">
        <v>1926.3979999999999</v>
      </c>
      <c r="J199">
        <v>4748.5309999999999</v>
      </c>
      <c r="K199">
        <v>2813.9859999999999</v>
      </c>
    </row>
    <row r="200" spans="1:11" ht="15.75" customHeight="1" x14ac:dyDescent="0.15">
      <c r="A200" t="s">
        <v>208</v>
      </c>
      <c r="B200">
        <v>2000</v>
      </c>
      <c r="C200">
        <v>475</v>
      </c>
      <c r="D200">
        <v>53000</v>
      </c>
      <c r="E200">
        <v>15827.805</v>
      </c>
      <c r="F200">
        <v>7825.268</v>
      </c>
      <c r="G200">
        <v>6793.7470000000003</v>
      </c>
      <c r="H200">
        <v>6812.8969999999999</v>
      </c>
      <c r="I200">
        <v>7560.9319999999998</v>
      </c>
      <c r="J200">
        <v>7605.4920000000002</v>
      </c>
      <c r="K200">
        <v>6245.6940000000004</v>
      </c>
    </row>
    <row r="201" spans="1:11" ht="15.75" customHeight="1" x14ac:dyDescent="0.15">
      <c r="A201" t="s">
        <v>209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ht="15.75" customHeight="1" x14ac:dyDescent="0.15">
      <c r="A202" t="s">
        <v>210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ht="15.75" customHeight="1" x14ac:dyDescent="0.15">
      <c r="A203" t="s">
        <v>211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ht="15.75" customHeight="1" x14ac:dyDescent="0.15">
      <c r="A204" t="s">
        <v>212</v>
      </c>
      <c r="B204">
        <v>29006</v>
      </c>
      <c r="C204">
        <v>22875</v>
      </c>
      <c r="D204">
        <v>7976.72</v>
      </c>
      <c r="E204">
        <v>6455.6469999999999</v>
      </c>
      <c r="F204">
        <v>7773.098</v>
      </c>
      <c r="G204">
        <v>851.75099999999998</v>
      </c>
      <c r="H204">
        <v>1026.672</v>
      </c>
      <c r="I204">
        <v>1144.6679999999999</v>
      </c>
      <c r="J204">
        <v>450.45100000000002</v>
      </c>
      <c r="K204">
        <v>1503.171</v>
      </c>
    </row>
    <row r="205" spans="1:11" ht="15.75" customHeight="1" x14ac:dyDescent="0.15">
      <c r="A205" t="s">
        <v>213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545.673</v>
      </c>
      <c r="J205">
        <v>277.25599999999997</v>
      </c>
      <c r="K205">
        <v>1272.902</v>
      </c>
    </row>
    <row r="206" spans="1:11" ht="15.75" customHeight="1" x14ac:dyDescent="0.1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ht="15.75" customHeight="1" x14ac:dyDescent="0.15">
      <c r="A207" t="s">
        <v>211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ht="15.75" customHeight="1" x14ac:dyDescent="0.15">
      <c r="A208" t="s">
        <v>214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ht="15.75" customHeight="1" x14ac:dyDescent="0.15">
      <c r="A209" t="s">
        <v>215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ht="15.75" customHeight="1" x14ac:dyDescent="0.15">
      <c r="A210" t="s">
        <v>216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ht="15.75" customHeight="1" x14ac:dyDescent="0.15">
      <c r="A211" t="s">
        <v>217</v>
      </c>
      <c r="B211">
        <v>29006</v>
      </c>
      <c r="C211">
        <v>22875</v>
      </c>
      <c r="D211">
        <v>7976.72</v>
      </c>
      <c r="E211">
        <v>6455.6469999999999</v>
      </c>
      <c r="F211">
        <v>7773.098</v>
      </c>
      <c r="G211">
        <v>851.75099999999998</v>
      </c>
      <c r="H211">
        <v>1026.672</v>
      </c>
      <c r="I211">
        <v>598.995</v>
      </c>
      <c r="J211">
        <v>173.19499999999999</v>
      </c>
      <c r="K211">
        <v>230.26900000000001</v>
      </c>
    </row>
    <row r="212" spans="1:11" ht="15.75" customHeight="1" x14ac:dyDescent="0.15">
      <c r="A212" t="s">
        <v>218</v>
      </c>
      <c r="B212">
        <v>0</v>
      </c>
      <c r="C212">
        <v>0</v>
      </c>
      <c r="D212">
        <v>7757.84</v>
      </c>
      <c r="E212">
        <v>6429.1469999999999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t="15.75" customHeight="1" x14ac:dyDescent="0.1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ht="15.75" customHeight="1" x14ac:dyDescent="0.15">
      <c r="A214" t="s">
        <v>219</v>
      </c>
      <c r="B214">
        <v>355850</v>
      </c>
      <c r="C214">
        <v>135795</v>
      </c>
      <c r="D214">
        <v>57535.862000000001</v>
      </c>
      <c r="E214">
        <v>41740</v>
      </c>
      <c r="F214">
        <v>69507.698999999993</v>
      </c>
      <c r="G214">
        <v>5823.7510000000002</v>
      </c>
      <c r="H214">
        <v>4557.97</v>
      </c>
      <c r="I214">
        <v>2723.6190000000001</v>
      </c>
      <c r="J214">
        <v>3414.9189999999999</v>
      </c>
      <c r="K214">
        <v>4104.1790000000001</v>
      </c>
    </row>
    <row r="215" spans="1:11" ht="15.75" customHeight="1" x14ac:dyDescent="0.15">
      <c r="A215" t="s">
        <v>209</v>
      </c>
      <c r="B215">
        <v>0</v>
      </c>
      <c r="C215">
        <v>0</v>
      </c>
      <c r="D215">
        <v>6688.4750000000004</v>
      </c>
      <c r="E215">
        <v>659.97299999999996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ht="15.75" customHeight="1" x14ac:dyDescent="0.15">
      <c r="A216" t="s">
        <v>211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ht="15.75" customHeight="1" x14ac:dyDescent="0.15">
      <c r="A217" t="s">
        <v>220</v>
      </c>
      <c r="B217">
        <v>-7042</v>
      </c>
      <c r="C217">
        <v>-316</v>
      </c>
      <c r="D217">
        <v>8093.152</v>
      </c>
      <c r="E217">
        <v>1818.09</v>
      </c>
      <c r="F217">
        <v>-3710.2080000000001</v>
      </c>
      <c r="G217">
        <v>773.02800000000002</v>
      </c>
      <c r="H217">
        <v>151.423</v>
      </c>
      <c r="I217">
        <v>-4055.5830000000001</v>
      </c>
      <c r="J217">
        <v>107.50700000000001</v>
      </c>
      <c r="K217">
        <v>-830.7</v>
      </c>
    </row>
    <row r="218" spans="1:11" ht="15.75" customHeight="1" x14ac:dyDescent="0.15">
      <c r="A218" t="s">
        <v>221</v>
      </c>
      <c r="B218">
        <v>-45154</v>
      </c>
      <c r="C218">
        <v>-7288</v>
      </c>
      <c r="D218">
        <v>-13681.922</v>
      </c>
      <c r="E218">
        <v>-129.52099999999999</v>
      </c>
      <c r="F218">
        <v>-781.99099999999999</v>
      </c>
      <c r="G218">
        <v>-20718.442999999999</v>
      </c>
      <c r="H218">
        <v>-26525.807000000001</v>
      </c>
      <c r="I218">
        <v>-17939.43</v>
      </c>
      <c r="J218">
        <v>1439.5450000000001</v>
      </c>
      <c r="K218">
        <v>-745.91300000000001</v>
      </c>
    </row>
    <row r="219" spans="1:11" ht="15.75" customHeight="1" x14ac:dyDescent="0.15">
      <c r="A219" t="s">
        <v>222</v>
      </c>
      <c r="B219">
        <v>0</v>
      </c>
      <c r="C219">
        <v>0</v>
      </c>
      <c r="D219">
        <v>1696.644</v>
      </c>
      <c r="E219">
        <v>823.06299999999999</v>
      </c>
      <c r="F219">
        <v>623.72</v>
      </c>
      <c r="G219">
        <v>68.100999999999999</v>
      </c>
      <c r="H219">
        <v>347.47699999999998</v>
      </c>
      <c r="I219">
        <v>30.891999999999999</v>
      </c>
      <c r="J219">
        <v>1597.0170000000001</v>
      </c>
      <c r="K219">
        <v>0</v>
      </c>
    </row>
    <row r="220" spans="1:11" ht="15.75" customHeight="1" x14ac:dyDescent="0.15">
      <c r="A220" t="s">
        <v>223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ht="15.75" customHeight="1" x14ac:dyDescent="0.15">
      <c r="A221" t="s">
        <v>224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ht="15.75" customHeight="1" x14ac:dyDescent="0.15">
      <c r="A222" t="s">
        <v>225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ht="15.75" customHeight="1" x14ac:dyDescent="0.15">
      <c r="A223" t="s">
        <v>226</v>
      </c>
      <c r="B223">
        <v>0</v>
      </c>
      <c r="C223">
        <v>0</v>
      </c>
      <c r="D223">
        <v>1696.644</v>
      </c>
      <c r="E223">
        <v>823.06299999999999</v>
      </c>
      <c r="F223">
        <v>623.72</v>
      </c>
      <c r="G223">
        <v>68.100999999999999</v>
      </c>
      <c r="H223">
        <v>347.47699999999998</v>
      </c>
      <c r="I223">
        <v>30.891999999999999</v>
      </c>
      <c r="J223">
        <v>1597.0170000000001</v>
      </c>
      <c r="K223">
        <v>0</v>
      </c>
    </row>
    <row r="224" spans="1:11" ht="15.75" customHeight="1" x14ac:dyDescent="0.15">
      <c r="A224" t="s">
        <v>227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ht="15.75" customHeight="1" x14ac:dyDescent="0.15">
      <c r="A225" t="s">
        <v>228</v>
      </c>
      <c r="B225">
        <v>45154</v>
      </c>
      <c r="C225">
        <v>7288</v>
      </c>
      <c r="D225">
        <v>15378.566000000001</v>
      </c>
      <c r="E225">
        <v>952.58399999999995</v>
      </c>
      <c r="F225">
        <v>1405.711</v>
      </c>
      <c r="G225">
        <v>20786.544000000002</v>
      </c>
      <c r="H225">
        <v>26873.284</v>
      </c>
      <c r="I225">
        <v>17970.322</v>
      </c>
      <c r="J225">
        <v>157.47200000000001</v>
      </c>
      <c r="K225">
        <v>745.91300000000001</v>
      </c>
    </row>
    <row r="226" spans="1:11" ht="15.75" customHeight="1" x14ac:dyDescent="0.15">
      <c r="A226" t="s">
        <v>229</v>
      </c>
      <c r="B226">
        <v>45154</v>
      </c>
      <c r="C226">
        <v>7288</v>
      </c>
      <c r="D226">
        <v>1009.172</v>
      </c>
      <c r="E226">
        <v>948.90099999999995</v>
      </c>
      <c r="F226">
        <v>725.13300000000004</v>
      </c>
      <c r="G226">
        <v>20650.530999999999</v>
      </c>
      <c r="H226">
        <v>26861.226999999999</v>
      </c>
      <c r="I226">
        <v>17437.788</v>
      </c>
      <c r="J226">
        <v>0</v>
      </c>
      <c r="K226">
        <v>745.91300000000001</v>
      </c>
    </row>
    <row r="227" spans="1:11" ht="15.75" customHeight="1" x14ac:dyDescent="0.15">
      <c r="A227" t="s">
        <v>230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ht="15.75" customHeight="1" x14ac:dyDescent="0.15">
      <c r="A228" t="s">
        <v>231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ht="15.75" customHeight="1" x14ac:dyDescent="0.15">
      <c r="A229" t="s">
        <v>232</v>
      </c>
      <c r="B229">
        <v>0</v>
      </c>
      <c r="C229">
        <v>0</v>
      </c>
      <c r="D229">
        <v>14369.394</v>
      </c>
      <c r="E229">
        <v>3.6829999999999998</v>
      </c>
      <c r="F229">
        <v>680.57799999999997</v>
      </c>
      <c r="G229">
        <v>136.01300000000001</v>
      </c>
      <c r="H229">
        <v>12.057</v>
      </c>
      <c r="I229">
        <v>532.53399999999999</v>
      </c>
      <c r="J229">
        <v>157.47200000000001</v>
      </c>
      <c r="K229">
        <v>0</v>
      </c>
    </row>
    <row r="230" spans="1:11" ht="15.75" customHeight="1" x14ac:dyDescent="0.15">
      <c r="A230" t="s">
        <v>233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ht="15.75" customHeight="1" x14ac:dyDescent="0.15">
      <c r="A231" t="s">
        <v>234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1156.7249999999999</v>
      </c>
    </row>
    <row r="232" spans="1:11" ht="15.75" customHeight="1" x14ac:dyDescent="0.15">
      <c r="A232" t="s">
        <v>235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9230.8829999999998</v>
      </c>
    </row>
    <row r="233" spans="1:11" ht="15.75" customHeight="1" x14ac:dyDescent="0.15">
      <c r="A233" t="s">
        <v>236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ht="15.75" customHeight="1" x14ac:dyDescent="0.15">
      <c r="A234" t="s">
        <v>237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8074.1580000000004</v>
      </c>
    </row>
    <row r="235" spans="1:11" ht="15.75" customHeight="1" x14ac:dyDescent="0.15">
      <c r="A235" t="s">
        <v>238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t="15.75" customHeight="1" x14ac:dyDescent="0.15">
      <c r="A236" t="s">
        <v>239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ht="15.75" customHeight="1" x14ac:dyDescent="0.15">
      <c r="A237" t="s">
        <v>240</v>
      </c>
      <c r="B237">
        <v>-316504</v>
      </c>
      <c r="C237">
        <v>-62859</v>
      </c>
      <c r="D237">
        <v>9146.3719999999994</v>
      </c>
      <c r="E237">
        <v>-8479.1669999999995</v>
      </c>
      <c r="F237">
        <v>-55137.35</v>
      </c>
      <c r="G237">
        <v>12540.111999999999</v>
      </c>
      <c r="H237">
        <v>10624.781000000001</v>
      </c>
      <c r="I237">
        <v>61285.677000000003</v>
      </c>
      <c r="J237">
        <v>77041.365999999995</v>
      </c>
      <c r="K237">
        <v>55158.637999999999</v>
      </c>
    </row>
    <row r="238" spans="1:11" ht="15.75" customHeight="1" x14ac:dyDescent="0.15">
      <c r="A238" t="s">
        <v>241</v>
      </c>
      <c r="B238">
        <v>8413</v>
      </c>
      <c r="C238">
        <v>1433</v>
      </c>
      <c r="D238">
        <v>-8606.0990000000002</v>
      </c>
      <c r="E238">
        <v>2857.2049999999999</v>
      </c>
      <c r="F238">
        <v>291.30200000000002</v>
      </c>
      <c r="G238">
        <v>12103.861000000001</v>
      </c>
      <c r="H238">
        <v>4717.2520000000004</v>
      </c>
      <c r="I238">
        <v>12320.254000000001</v>
      </c>
      <c r="J238">
        <v>22387.696</v>
      </c>
      <c r="K238">
        <v>16284.208000000001</v>
      </c>
    </row>
    <row r="239" spans="1:11" ht="15.75" customHeight="1" x14ac:dyDescent="0.15">
      <c r="A239" t="s">
        <v>242</v>
      </c>
      <c r="B239">
        <v>8413</v>
      </c>
      <c r="C239">
        <v>1433</v>
      </c>
      <c r="D239">
        <v>7172.5569999999998</v>
      </c>
      <c r="E239">
        <v>4526.4780000000001</v>
      </c>
      <c r="F239">
        <v>2706.0940000000001</v>
      </c>
      <c r="G239">
        <v>3762.3020000000001</v>
      </c>
      <c r="H239">
        <v>8932.86</v>
      </c>
      <c r="I239">
        <v>3713.8490000000002</v>
      </c>
      <c r="J239">
        <v>24598.826000000001</v>
      </c>
      <c r="K239">
        <v>2315.1080000000002</v>
      </c>
    </row>
    <row r="240" spans="1:11" ht="15.75" customHeight="1" x14ac:dyDescent="0.15">
      <c r="A240" t="s">
        <v>243</v>
      </c>
      <c r="B240">
        <v>0</v>
      </c>
      <c r="C240">
        <v>0</v>
      </c>
      <c r="D240">
        <v>-2094.5149999999999</v>
      </c>
      <c r="E240">
        <v>4071.0129999999999</v>
      </c>
      <c r="F240">
        <v>-1729.875</v>
      </c>
      <c r="G240">
        <v>1788.433</v>
      </c>
      <c r="H240">
        <v>-1367.2349999999999</v>
      </c>
      <c r="I240">
        <v>-5757.3429999999998</v>
      </c>
      <c r="J240">
        <v>-63.177999999999997</v>
      </c>
      <c r="K240">
        <v>0</v>
      </c>
    </row>
    <row r="241" spans="1:11" ht="15.75" customHeight="1" x14ac:dyDescent="0.15">
      <c r="A241" t="s">
        <v>244</v>
      </c>
      <c r="B241">
        <v>0</v>
      </c>
      <c r="C241">
        <v>0</v>
      </c>
      <c r="D241">
        <v>-2403.239</v>
      </c>
      <c r="E241">
        <v>294.27499999999998</v>
      </c>
      <c r="F241">
        <v>655.67399999999998</v>
      </c>
      <c r="G241">
        <v>-1423.884</v>
      </c>
      <c r="H241">
        <v>-1258.1099999999999</v>
      </c>
      <c r="I241">
        <v>-4572.1350000000002</v>
      </c>
      <c r="J241">
        <v>-2147.9520000000002</v>
      </c>
      <c r="K241">
        <v>1779.021</v>
      </c>
    </row>
    <row r="242" spans="1:11" ht="15.75" customHeight="1" x14ac:dyDescent="0.15">
      <c r="A242" t="s">
        <v>245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ht="15.75" customHeight="1" x14ac:dyDescent="0.15">
      <c r="A243" t="s">
        <v>246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1779.021</v>
      </c>
    </row>
    <row r="244" spans="1:11" ht="15.75" customHeight="1" x14ac:dyDescent="0.15">
      <c r="A244" t="s">
        <v>247</v>
      </c>
      <c r="B244">
        <v>0</v>
      </c>
      <c r="C244">
        <v>0</v>
      </c>
      <c r="D244">
        <v>-11280.902</v>
      </c>
      <c r="E244">
        <v>-6034.5609999999997</v>
      </c>
      <c r="F244">
        <v>-1340.5909999999999</v>
      </c>
      <c r="G244">
        <v>7977.01</v>
      </c>
      <c r="H244">
        <v>-1590.2629999999999</v>
      </c>
      <c r="I244">
        <v>18935.883000000002</v>
      </c>
      <c r="J244">
        <v>0</v>
      </c>
      <c r="K244">
        <v>12190.079</v>
      </c>
    </row>
    <row r="245" spans="1:11" ht="15.75" customHeight="1" x14ac:dyDescent="0.15">
      <c r="A245" t="s">
        <v>248</v>
      </c>
      <c r="B245">
        <v>-324917</v>
      </c>
      <c r="C245">
        <v>-64292</v>
      </c>
      <c r="D245">
        <v>17752.471000000001</v>
      </c>
      <c r="E245">
        <v>-11336.371999999999</v>
      </c>
      <c r="F245">
        <v>-55428.652000000002</v>
      </c>
      <c r="G245">
        <v>436.25099999999998</v>
      </c>
      <c r="H245">
        <v>5907.5290000000005</v>
      </c>
      <c r="I245">
        <v>48965.423000000003</v>
      </c>
      <c r="J245">
        <v>54653.67</v>
      </c>
      <c r="K245">
        <v>38874.43</v>
      </c>
    </row>
    <row r="246" spans="1:11" ht="15.75" customHeight="1" x14ac:dyDescent="0.15">
      <c r="A246" t="s">
        <v>249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ht="15.75" customHeight="1" x14ac:dyDescent="0.15">
      <c r="A247" t="s">
        <v>454</v>
      </c>
    </row>
    <row r="248" spans="1:11" ht="15.75" customHeight="1" x14ac:dyDescent="0.15">
      <c r="A248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9068-50C8-F24C-AB6F-A46A82ACF2A2}">
  <dimension ref="A1:Z252"/>
  <sheetViews>
    <sheetView topLeftCell="A209" workbookViewId="0">
      <selection activeCell="N242" sqref="N242"/>
    </sheetView>
  </sheetViews>
  <sheetFormatPr baseColWidth="10" defaultRowHeight="13" x14ac:dyDescent="0.15"/>
  <cols>
    <col min="1" max="1" width="55.33203125" style="4" customWidth="1"/>
    <col min="2" max="11" width="16.83203125" style="2" hidden="1" customWidth="1"/>
    <col min="12" max="12" width="2" style="1" customWidth="1"/>
    <col min="13" max="13" width="3.1640625" style="1" customWidth="1"/>
    <col min="14" max="14" width="42.6640625" style="1" bestFit="1" customWidth="1"/>
    <col min="15" max="15" width="20.5" style="1" customWidth="1"/>
    <col min="16" max="16384" width="10.83203125" style="1"/>
  </cols>
  <sheetData>
    <row r="1" spans="1:26" s="34" customFormat="1" ht="19" x14ac:dyDescent="0.15">
      <c r="A1" s="30" t="s">
        <v>378</v>
      </c>
      <c r="B1" s="31" t="str">
        <f>input!B1</f>
        <v>31/12/2024</v>
      </c>
      <c r="C1" s="31" t="str">
        <f>input!C1</f>
        <v>31/12/2023</v>
      </c>
      <c r="D1" s="31" t="str">
        <f>input!D1</f>
        <v>31/12/2022</v>
      </c>
      <c r="E1" s="31" t="str">
        <f>input!E1</f>
        <v>31/12/2021</v>
      </c>
      <c r="F1" s="31" t="str">
        <f>input!F1</f>
        <v>31/12/2020</v>
      </c>
      <c r="G1" s="31" t="str">
        <f>input!G1</f>
        <v>31/12/2019</v>
      </c>
      <c r="H1" s="31" t="str">
        <f>input!H1</f>
        <v>31/12/2018</v>
      </c>
      <c r="I1" s="31" t="str">
        <f>input!I1</f>
        <v>31/12/2017</v>
      </c>
      <c r="J1" s="31" t="str">
        <f>input!J1</f>
        <v>31/12/2016</v>
      </c>
      <c r="K1" s="31" t="str">
        <f>input!K1</f>
        <v>31/12/2015</v>
      </c>
      <c r="L1" s="32"/>
      <c r="M1" s="33" t="s">
        <v>250</v>
      </c>
      <c r="N1" s="32" t="s">
        <v>379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s="10" customFormat="1" ht="14" x14ac:dyDescent="0.15">
      <c r="A2" s="35" t="str">
        <f>input!A2</f>
        <v>A. CREDITI VERSO SOCI</v>
      </c>
      <c r="B2" s="36">
        <f>$M2*input!B2</f>
        <v>0</v>
      </c>
      <c r="C2" s="36">
        <f>$M2*input!C2</f>
        <v>0</v>
      </c>
      <c r="D2" s="36">
        <f>$M2*input!D2</f>
        <v>0</v>
      </c>
      <c r="E2" s="36">
        <f>$M2*input!E2</f>
        <v>0</v>
      </c>
      <c r="F2" s="36">
        <f>$M2*input!F2</f>
        <v>0</v>
      </c>
      <c r="G2" s="36">
        <f>$M2*input!G2</f>
        <v>0</v>
      </c>
      <c r="H2" s="36">
        <f>$M2*input!H2</f>
        <v>0</v>
      </c>
      <c r="I2" s="36">
        <f>$M2*input!I2</f>
        <v>0</v>
      </c>
      <c r="J2" s="36">
        <f>$M2*input!J2</f>
        <v>0</v>
      </c>
      <c r="K2" s="36">
        <f>$M2*input!K2</f>
        <v>0</v>
      </c>
      <c r="M2" s="10">
        <v>-1</v>
      </c>
      <c r="N2" s="45" t="s">
        <v>251</v>
      </c>
    </row>
    <row r="3" spans="1:26" x14ac:dyDescent="0.15">
      <c r="A3" s="11" t="str">
        <f>input!A3</f>
        <v>Quota di capitale richiamata</v>
      </c>
      <c r="B3" s="2">
        <f>$M3*input!B3</f>
        <v>0</v>
      </c>
      <c r="C3" s="2">
        <f>$M3*input!C3</f>
        <v>0</v>
      </c>
      <c r="D3" s="2">
        <f>$M3*input!D3</f>
        <v>0</v>
      </c>
      <c r="E3" s="2">
        <f>$M3*input!E3</f>
        <v>0</v>
      </c>
      <c r="F3" s="2">
        <f>$M3*input!F3</f>
        <v>0</v>
      </c>
      <c r="G3" s="2">
        <f>$M3*input!G3</f>
        <v>0</v>
      </c>
      <c r="H3" s="2">
        <f>$M3*input!H3</f>
        <v>0</v>
      </c>
      <c r="I3" s="2">
        <f>$M3*input!I3</f>
        <v>0</v>
      </c>
      <c r="J3" s="2">
        <f>$M3*input!J3</f>
        <v>0</v>
      </c>
      <c r="K3" s="2">
        <f>$M3*input!K3</f>
        <v>0</v>
      </c>
      <c r="M3" s="1">
        <v>1</v>
      </c>
    </row>
    <row r="4" spans="1:26" x14ac:dyDescent="0.15">
      <c r="A4" s="11"/>
    </row>
    <row r="5" spans="1:26" s="10" customFormat="1" ht="14" x14ac:dyDescent="0.15">
      <c r="A5" s="35" t="str">
        <f>input!A4</f>
        <v>B. TOTALE IMMOBILIZZAZIONI sep.ind. Di quelle conc. In loc. Finanz.</v>
      </c>
      <c r="B5" s="36">
        <f>$M5*input!B4</f>
        <v>2855833</v>
      </c>
      <c r="C5" s="36">
        <f>$M5*input!C4</f>
        <v>870568</v>
      </c>
      <c r="D5" s="36">
        <f>$M5*input!D4</f>
        <v>1067260.909</v>
      </c>
      <c r="E5" s="36">
        <f>$M5*input!E4</f>
        <v>891346.47499999998</v>
      </c>
      <c r="F5" s="36">
        <f>$M5*input!F4</f>
        <v>906632.62300000002</v>
      </c>
      <c r="G5" s="36">
        <f>$M5*input!G4</f>
        <v>378046.94699999999</v>
      </c>
      <c r="H5" s="36">
        <f>$M5*input!H4</f>
        <v>394745.36</v>
      </c>
      <c r="I5" s="36">
        <f>$M5*input!I4</f>
        <v>421605.02100000001</v>
      </c>
      <c r="J5" s="36">
        <f>$M5*input!J4</f>
        <v>421402.53399999999</v>
      </c>
      <c r="K5" s="36">
        <f>$M5*input!K4</f>
        <v>422213.42099999997</v>
      </c>
      <c r="M5" s="10">
        <v>1</v>
      </c>
    </row>
    <row r="6" spans="1:26" x14ac:dyDescent="0.15">
      <c r="A6" s="11" t="str">
        <f>input!A5</f>
        <v>B.I. TOTALE IMMOB. IMMATERIALI</v>
      </c>
      <c r="B6" s="2">
        <f>$M6*input!B5</f>
        <v>1592262</v>
      </c>
      <c r="C6" s="2">
        <f>$M6*input!C5</f>
        <v>90098</v>
      </c>
      <c r="D6" s="2">
        <f>$M6*input!D5</f>
        <v>86779.885999999999</v>
      </c>
      <c r="E6" s="2">
        <f>$M6*input!E5</f>
        <v>89055.322</v>
      </c>
      <c r="F6" s="2">
        <f>$M6*input!F5</f>
        <v>87656.701000000001</v>
      </c>
      <c r="G6" s="2">
        <f>$M6*input!G5</f>
        <v>13306.33</v>
      </c>
      <c r="H6" s="2">
        <f>$M6*input!H5</f>
        <v>11674.413</v>
      </c>
      <c r="I6" s="2">
        <f>$M6*input!I5</f>
        <v>12394.555</v>
      </c>
      <c r="J6" s="2">
        <f>$M6*input!J5</f>
        <v>14257.563</v>
      </c>
      <c r="K6" s="2">
        <f>$M6*input!K5</f>
        <v>16231.349</v>
      </c>
      <c r="M6" s="1">
        <v>1</v>
      </c>
      <c r="N6" s="1" t="s">
        <v>252</v>
      </c>
    </row>
    <row r="7" spans="1:26" x14ac:dyDescent="0.15">
      <c r="A7" s="12" t="str">
        <f>input!A6</f>
        <v>B.I.1. Costi impianto e ampl.</v>
      </c>
      <c r="B7" s="2">
        <f>$M7*input!B6</f>
        <v>0</v>
      </c>
      <c r="C7" s="2">
        <f>$M7*input!C6</f>
        <v>0</v>
      </c>
      <c r="D7" s="2">
        <f>$M7*input!D6</f>
        <v>0</v>
      </c>
      <c r="E7" s="2">
        <f>$M7*input!E6</f>
        <v>0</v>
      </c>
      <c r="F7" s="2">
        <f>$M7*input!F6</f>
        <v>0</v>
      </c>
      <c r="G7" s="2">
        <f>$M7*input!G6</f>
        <v>0</v>
      </c>
      <c r="H7" s="2">
        <f>$M7*input!H6</f>
        <v>0</v>
      </c>
      <c r="I7" s="2">
        <f>$M7*input!I6</f>
        <v>0</v>
      </c>
      <c r="J7" s="2">
        <f>$M7*input!J6</f>
        <v>0</v>
      </c>
      <c r="K7" s="2">
        <f>$M7*input!K6</f>
        <v>0</v>
      </c>
      <c r="M7" s="1">
        <v>1</v>
      </c>
    </row>
    <row r="8" spans="1:26" x14ac:dyDescent="0.15">
      <c r="A8" s="12" t="str">
        <f>input!A7</f>
        <v>B.I.2. Costi ricerca e pubb.</v>
      </c>
      <c r="B8" s="2">
        <f>$M8*input!B7</f>
        <v>0</v>
      </c>
      <c r="C8" s="2">
        <f>$M8*input!C7</f>
        <v>0</v>
      </c>
      <c r="D8" s="2">
        <f>$M8*input!D7</f>
        <v>770.60799999999995</v>
      </c>
      <c r="E8" s="2">
        <f>$M8*input!E7</f>
        <v>1105.1220000000001</v>
      </c>
      <c r="F8" s="2">
        <f>$M8*input!F7</f>
        <v>0</v>
      </c>
      <c r="G8" s="2">
        <f>$M8*input!G7</f>
        <v>0</v>
      </c>
      <c r="H8" s="2">
        <f>$M8*input!H7</f>
        <v>0</v>
      </c>
      <c r="I8" s="2">
        <f>$M8*input!I7</f>
        <v>0</v>
      </c>
      <c r="J8" s="2">
        <f>$M8*input!J7</f>
        <v>0</v>
      </c>
      <c r="K8" s="2">
        <f>$M8*input!K7</f>
        <v>0</v>
      </c>
      <c r="M8" s="1">
        <v>1</v>
      </c>
    </row>
    <row r="9" spans="1:26" x14ac:dyDescent="0.15">
      <c r="A9" s="12" t="str">
        <f>input!A8</f>
        <v>B.I.3. Diritti brevetto ind.</v>
      </c>
      <c r="B9" s="2">
        <f>$M9*input!B8</f>
        <v>0</v>
      </c>
      <c r="C9" s="2">
        <f>$M9*input!C8</f>
        <v>0</v>
      </c>
      <c r="D9" s="2">
        <f>$M9*input!D8</f>
        <v>12189.851000000001</v>
      </c>
      <c r="E9" s="2">
        <f>$M9*input!E8</f>
        <v>11548.739</v>
      </c>
      <c r="F9" s="2">
        <f>$M9*input!F8</f>
        <v>4441.9589999999998</v>
      </c>
      <c r="G9" s="2">
        <f>$M9*input!G8</f>
        <v>4819.24</v>
      </c>
      <c r="H9" s="2">
        <f>$M9*input!H8</f>
        <v>1058.732</v>
      </c>
      <c r="I9" s="2">
        <f>$M9*input!I8</f>
        <v>1177.0609999999999</v>
      </c>
      <c r="J9" s="2">
        <f>$M9*input!J8</f>
        <v>1355.297</v>
      </c>
      <c r="K9" s="2">
        <f>$M9*input!K8</f>
        <v>1568.018</v>
      </c>
      <c r="M9" s="1">
        <v>1</v>
      </c>
    </row>
    <row r="10" spans="1:26" x14ac:dyDescent="0.15">
      <c r="A10" s="12" t="str">
        <f>input!A9</f>
        <v>B.I.4. Concessioni, licenze</v>
      </c>
      <c r="B10" s="2">
        <f>$M10*input!B9</f>
        <v>0</v>
      </c>
      <c r="C10" s="2">
        <f>$M10*input!C9</f>
        <v>0</v>
      </c>
      <c r="D10" s="2">
        <f>$M10*input!D9</f>
        <v>37175.784</v>
      </c>
      <c r="E10" s="2">
        <f>$M10*input!E9</f>
        <v>39674.966999999997</v>
      </c>
      <c r="F10" s="2">
        <f>$M10*input!F9</f>
        <v>42112.582000000002</v>
      </c>
      <c r="G10" s="2">
        <f>$M10*input!G9</f>
        <v>8248.91</v>
      </c>
      <c r="H10" s="2">
        <f>$M10*input!H9</f>
        <v>9568.06</v>
      </c>
      <c r="I10" s="2">
        <f>$M10*input!I9</f>
        <v>11008.448</v>
      </c>
      <c r="J10" s="2">
        <f>$M10*input!J9</f>
        <v>12605.625</v>
      </c>
      <c r="K10" s="2">
        <f>$M10*input!K9</f>
        <v>14213.550999999999</v>
      </c>
      <c r="M10" s="1">
        <v>1</v>
      </c>
    </row>
    <row r="11" spans="1:26" x14ac:dyDescent="0.15">
      <c r="A11" s="12" t="str">
        <f>input!A10</f>
        <v>B.I.5. Avviamento/Differenza di consolidamento</v>
      </c>
      <c r="B11" s="2">
        <f>$M11*input!B10</f>
        <v>0</v>
      </c>
      <c r="C11" s="2">
        <f>$M11*input!C10</f>
        <v>0</v>
      </c>
      <c r="D11" s="2">
        <f>$M11*input!D10</f>
        <v>29953.918000000001</v>
      </c>
      <c r="E11" s="2">
        <f>$M11*input!E10</f>
        <v>31715.913</v>
      </c>
      <c r="F11" s="2">
        <f>$M11*input!F10</f>
        <v>33477.908000000003</v>
      </c>
      <c r="G11" s="2">
        <f>$M11*input!G10</f>
        <v>0</v>
      </c>
      <c r="H11" s="2">
        <f>$M11*input!H10</f>
        <v>0</v>
      </c>
      <c r="I11" s="2">
        <f>$M11*input!I10</f>
        <v>0</v>
      </c>
      <c r="J11" s="2">
        <f>$M11*input!J10</f>
        <v>0</v>
      </c>
      <c r="K11" s="2">
        <f>$M11*input!K10</f>
        <v>14.688000000000001</v>
      </c>
      <c r="M11" s="1">
        <v>1</v>
      </c>
    </row>
    <row r="12" spans="1:26" x14ac:dyDescent="0.15">
      <c r="A12" s="12" t="str">
        <f>input!A11</f>
        <v>di cui: Avviamento</v>
      </c>
      <c r="B12" s="2">
        <f>$M12*input!B11</f>
        <v>0</v>
      </c>
      <c r="C12" s="2">
        <f>$M12*input!C11</f>
        <v>0</v>
      </c>
      <c r="D12" s="2">
        <f>$M12*input!D11</f>
        <v>29953.918000000001</v>
      </c>
      <c r="E12" s="2">
        <f>$M12*input!E11</f>
        <v>31715.913</v>
      </c>
      <c r="F12" s="2">
        <f>$M12*input!F11</f>
        <v>33477.908000000003</v>
      </c>
      <c r="G12" s="2">
        <f>$M12*input!G11</f>
        <v>0</v>
      </c>
      <c r="H12" s="2">
        <f>$M12*input!H11</f>
        <v>0</v>
      </c>
      <c r="I12" s="2">
        <f>$M12*input!I11</f>
        <v>0</v>
      </c>
      <c r="J12" s="2">
        <f>$M12*input!J11</f>
        <v>0</v>
      </c>
      <c r="K12" s="2">
        <f>$M12*input!K11</f>
        <v>14.688000000000001</v>
      </c>
      <c r="M12" s="1">
        <v>1</v>
      </c>
    </row>
    <row r="13" spans="1:26" x14ac:dyDescent="0.15">
      <c r="A13" s="12" t="str">
        <f>input!A12</f>
        <v>B.I.6. Imm. in corso</v>
      </c>
      <c r="B13" s="2">
        <f>$M13*input!B12</f>
        <v>0</v>
      </c>
      <c r="C13" s="2">
        <f>$M13*input!C12</f>
        <v>0</v>
      </c>
      <c r="D13" s="2">
        <f>$M13*input!D12</f>
        <v>4575.518</v>
      </c>
      <c r="E13" s="2">
        <f>$M13*input!E12</f>
        <v>2874.1010000000001</v>
      </c>
      <c r="F13" s="2">
        <f>$M13*input!F12</f>
        <v>5851.8119999999999</v>
      </c>
      <c r="G13" s="2">
        <f>$M13*input!G12</f>
        <v>116.54300000000001</v>
      </c>
      <c r="H13" s="2">
        <f>$M13*input!H12</f>
        <v>884.22400000000005</v>
      </c>
      <c r="I13" s="2">
        <f>$M13*input!I12</f>
        <v>0</v>
      </c>
      <c r="J13" s="2">
        <f>$M13*input!J12</f>
        <v>0</v>
      </c>
      <c r="K13" s="2">
        <f>$M13*input!K12</f>
        <v>0</v>
      </c>
      <c r="M13" s="1">
        <v>1</v>
      </c>
    </row>
    <row r="14" spans="1:26" x14ac:dyDescent="0.15">
      <c r="A14" s="12" t="str">
        <f>input!A13</f>
        <v>B.I.7. Altre immobiliz. Immateriali</v>
      </c>
      <c r="B14" s="2">
        <f>$M14*input!B13</f>
        <v>1592262</v>
      </c>
      <c r="C14" s="2">
        <f>$M14*input!C13</f>
        <v>90098</v>
      </c>
      <c r="D14" s="2">
        <f>$M14*input!D13</f>
        <v>2114.2069999999999</v>
      </c>
      <c r="E14" s="2">
        <f>$M14*input!E13</f>
        <v>2136.48</v>
      </c>
      <c r="F14" s="2">
        <f>$M14*input!F13</f>
        <v>1772.44</v>
      </c>
      <c r="G14" s="2">
        <f>$M14*input!G13</f>
        <v>121.637</v>
      </c>
      <c r="H14" s="2">
        <f>$M14*input!H13</f>
        <v>163.39699999999999</v>
      </c>
      <c r="I14" s="2">
        <f>$M14*input!I13</f>
        <v>209.04599999999999</v>
      </c>
      <c r="J14" s="2">
        <f>$M14*input!J13</f>
        <v>296.64100000000002</v>
      </c>
      <c r="K14" s="2">
        <f>$M14*input!K13</f>
        <v>435.09199999999998</v>
      </c>
      <c r="M14" s="1">
        <v>1</v>
      </c>
    </row>
    <row r="15" spans="1:26" x14ac:dyDescent="0.15">
      <c r="A15" s="12" t="str">
        <f>input!A14</f>
        <v>Fondo amm.to Immob. Immateriali</v>
      </c>
      <c r="B15" s="2">
        <f>$M15*input!B14</f>
        <v>0</v>
      </c>
      <c r="C15" s="2">
        <f>$M15*input!C14</f>
        <v>0</v>
      </c>
      <c r="D15" s="2">
        <f>$M15*input!D14</f>
        <v>0</v>
      </c>
      <c r="E15" s="2">
        <f>$M15*input!E14</f>
        <v>0</v>
      </c>
      <c r="F15" s="2">
        <f>$M15*input!F14</f>
        <v>0</v>
      </c>
      <c r="G15" s="2">
        <f>$M15*input!G14</f>
        <v>0</v>
      </c>
      <c r="H15" s="2">
        <f>$M15*input!H14</f>
        <v>0</v>
      </c>
      <c r="I15" s="2">
        <f>$M15*input!I14</f>
        <v>0</v>
      </c>
      <c r="J15" s="2">
        <f>$M15*input!J14</f>
        <v>0</v>
      </c>
      <c r="K15" s="2">
        <f>$M15*input!K14</f>
        <v>0</v>
      </c>
      <c r="M15" s="1">
        <v>1</v>
      </c>
    </row>
    <row r="16" spans="1:26" x14ac:dyDescent="0.15">
      <c r="A16" s="11" t="str">
        <f>input!A15</f>
        <v>B.II. TOTALE IMMOB. MATERIALI</v>
      </c>
      <c r="B16" s="2">
        <f>$M16*input!B15</f>
        <v>247743</v>
      </c>
      <c r="C16" s="2">
        <f>$M16*input!C15</f>
        <v>220617</v>
      </c>
      <c r="D16" s="2">
        <f>$M16*input!D15</f>
        <v>223741.12700000001</v>
      </c>
      <c r="E16" s="2">
        <f>$M16*input!E15</f>
        <v>217974.80900000001</v>
      </c>
      <c r="F16" s="2">
        <f>$M16*input!F15</f>
        <v>220394.5</v>
      </c>
      <c r="G16" s="2">
        <f>$M16*input!G15</f>
        <v>154055.71900000001</v>
      </c>
      <c r="H16" s="2">
        <f>$M16*input!H15</f>
        <v>149620.66200000001</v>
      </c>
      <c r="I16" s="2">
        <f>$M16*input!I15</f>
        <v>148980.375</v>
      </c>
      <c r="J16" s="2">
        <f>$M16*input!J15</f>
        <v>145157.72099999999</v>
      </c>
      <c r="K16" s="2">
        <f>$M16*input!K15</f>
        <v>152948.56599999999</v>
      </c>
      <c r="M16" s="1">
        <v>1</v>
      </c>
      <c r="N16" s="1" t="s">
        <v>253</v>
      </c>
    </row>
    <row r="17" spans="1:14" x14ac:dyDescent="0.15">
      <c r="A17" s="11" t="str">
        <f>input!A16</f>
        <v>di cui: Beni materiali concessi in locazione finanziaria</v>
      </c>
      <c r="B17" s="2">
        <f>$M17*input!B16</f>
        <v>0</v>
      </c>
      <c r="C17" s="2">
        <f>$M17*input!C16</f>
        <v>0</v>
      </c>
      <c r="D17" s="2">
        <f>$M17*input!D16</f>
        <v>0</v>
      </c>
      <c r="E17" s="2">
        <f>$M17*input!E16</f>
        <v>0</v>
      </c>
      <c r="F17" s="2">
        <f>$M17*input!F16</f>
        <v>0</v>
      </c>
      <c r="G17" s="2">
        <f>$M17*input!G16</f>
        <v>0</v>
      </c>
      <c r="H17" s="2">
        <f>$M17*input!H16</f>
        <v>0</v>
      </c>
      <c r="I17" s="2">
        <f>$M17*input!I16</f>
        <v>0</v>
      </c>
      <c r="J17" s="2">
        <f>$M17*input!J16</f>
        <v>0</v>
      </c>
      <c r="K17" s="2">
        <f>$M17*input!K16</f>
        <v>0</v>
      </c>
      <c r="M17" s="1">
        <v>1</v>
      </c>
    </row>
    <row r="18" spans="1:14" x14ac:dyDescent="0.15">
      <c r="A18" s="12" t="str">
        <f>input!A17</f>
        <v>B.II.1. Terreni e fabbricati</v>
      </c>
      <c r="B18" s="2">
        <f>$M18*input!B17</f>
        <v>14339</v>
      </c>
      <c r="C18" s="2">
        <f>$M18*input!C17</f>
        <v>46689</v>
      </c>
      <c r="D18" s="2">
        <f>$M18*input!D17</f>
        <v>76679.058999999994</v>
      </c>
      <c r="E18" s="2">
        <f>$M18*input!E17</f>
        <v>79327.474000000002</v>
      </c>
      <c r="F18" s="2">
        <f>$M18*input!F17</f>
        <v>87475.546000000002</v>
      </c>
      <c r="G18" s="2">
        <f>$M18*input!G17</f>
        <v>51009.243999999999</v>
      </c>
      <c r="H18" s="2">
        <f>$M18*input!H17</f>
        <v>52883.326000000001</v>
      </c>
      <c r="I18" s="2">
        <f>$M18*input!I17</f>
        <v>53993.851000000002</v>
      </c>
      <c r="J18" s="2">
        <f>$M18*input!J17</f>
        <v>57441.042999999998</v>
      </c>
      <c r="K18" s="2">
        <f>$M18*input!K17</f>
        <v>59775.425000000003</v>
      </c>
      <c r="M18" s="1">
        <v>1</v>
      </c>
    </row>
    <row r="19" spans="1:14" x14ac:dyDescent="0.15">
      <c r="A19" s="12" t="str">
        <f>input!A18</f>
        <v>B.II.2. Impianti</v>
      </c>
      <c r="B19" s="2">
        <f>$M19*input!B18</f>
        <v>125344</v>
      </c>
      <c r="C19" s="2">
        <f>$M19*input!C18</f>
        <v>100960</v>
      </c>
      <c r="D19" s="2">
        <f>$M19*input!D18</f>
        <v>125560.35799999999</v>
      </c>
      <c r="E19" s="2">
        <f>$M19*input!E18</f>
        <v>128183.844</v>
      </c>
      <c r="F19" s="2">
        <f>$M19*input!F18</f>
        <v>124380.40300000001</v>
      </c>
      <c r="G19" s="2">
        <f>$M19*input!G18</f>
        <v>86311.778000000006</v>
      </c>
      <c r="H19" s="2">
        <f>$M19*input!H18</f>
        <v>88171.71</v>
      </c>
      <c r="I19" s="2">
        <f>$M19*input!I18</f>
        <v>82537.404999999999</v>
      </c>
      <c r="J19" s="2">
        <f>$M19*input!J18</f>
        <v>85146.778000000006</v>
      </c>
      <c r="K19" s="2">
        <f>$M19*input!K18</f>
        <v>89532.66</v>
      </c>
      <c r="M19" s="1">
        <v>1</v>
      </c>
    </row>
    <row r="20" spans="1:14" x14ac:dyDescent="0.15">
      <c r="A20" s="12" t="str">
        <f>input!A19</f>
        <v>B.II.3. Attrez. industriali</v>
      </c>
      <c r="B20" s="2">
        <f>$M20*input!B19</f>
        <v>249</v>
      </c>
      <c r="C20" s="2">
        <f>$M20*input!C19</f>
        <v>315</v>
      </c>
      <c r="D20" s="2">
        <f>$M20*input!D19</f>
        <v>458.76</v>
      </c>
      <c r="E20" s="2">
        <f>$M20*input!E19</f>
        <v>498</v>
      </c>
      <c r="F20" s="2">
        <f>$M20*input!F19</f>
        <v>434.51100000000002</v>
      </c>
      <c r="G20" s="2">
        <f>$M20*input!G19</f>
        <v>430.92099999999999</v>
      </c>
      <c r="H20" s="2">
        <f>$M20*input!H19</f>
        <v>503.65300000000002</v>
      </c>
      <c r="I20" s="2">
        <f>$M20*input!I19</f>
        <v>633.09799999999996</v>
      </c>
      <c r="J20" s="2">
        <f>$M20*input!J19</f>
        <v>740.57299999999998</v>
      </c>
      <c r="K20" s="2">
        <f>$M20*input!K19</f>
        <v>906.995</v>
      </c>
      <c r="M20" s="1">
        <v>1</v>
      </c>
    </row>
    <row r="21" spans="1:14" x14ac:dyDescent="0.15">
      <c r="A21" s="12" t="str">
        <f>input!A20</f>
        <v>B.II.4. Altri beni</v>
      </c>
      <c r="B21" s="2">
        <f>$M21*input!B20</f>
        <v>91805</v>
      </c>
      <c r="C21" s="2">
        <f>$M21*input!C20</f>
        <v>58021</v>
      </c>
      <c r="D21" s="2">
        <f>$M21*input!D20</f>
        <v>489.16300000000001</v>
      </c>
      <c r="E21" s="2">
        <f>$M21*input!E20</f>
        <v>441.52800000000002</v>
      </c>
      <c r="F21" s="2">
        <f>$M21*input!F20</f>
        <v>511.28699999999998</v>
      </c>
      <c r="G21" s="2">
        <f>$M21*input!G20</f>
        <v>603.53599999999994</v>
      </c>
      <c r="H21" s="2">
        <f>$M21*input!H20</f>
        <v>653.07600000000002</v>
      </c>
      <c r="I21" s="2">
        <f>$M21*input!I20</f>
        <v>735.09400000000005</v>
      </c>
      <c r="J21" s="2">
        <f>$M21*input!J20</f>
        <v>825.09699999999998</v>
      </c>
      <c r="K21" s="2">
        <f>$M21*input!K20</f>
        <v>906.33500000000004</v>
      </c>
      <c r="M21" s="1">
        <v>1</v>
      </c>
    </row>
    <row r="22" spans="1:14" x14ac:dyDescent="0.15">
      <c r="A22" s="12" t="str">
        <f>input!A21</f>
        <v>B.II.5. Imm. in corso/acconti</v>
      </c>
      <c r="B22" s="2">
        <f>$M22*input!B21</f>
        <v>16006</v>
      </c>
      <c r="C22" s="2">
        <f>$M22*input!C21</f>
        <v>14632</v>
      </c>
      <c r="D22" s="2">
        <f>$M22*input!D21</f>
        <v>20553.787</v>
      </c>
      <c r="E22" s="2">
        <f>$M22*input!E21</f>
        <v>9523.9629999999997</v>
      </c>
      <c r="F22" s="2">
        <f>$M22*input!F21</f>
        <v>7592.7529999999997</v>
      </c>
      <c r="G22" s="2">
        <f>$M22*input!G21</f>
        <v>15700.24</v>
      </c>
      <c r="H22" s="2">
        <f>$M22*input!H21</f>
        <v>7408.8969999999999</v>
      </c>
      <c r="I22" s="2">
        <f>$M22*input!I21</f>
        <v>11080.927</v>
      </c>
      <c r="J22" s="2">
        <f>$M22*input!J21</f>
        <v>1004.23</v>
      </c>
      <c r="K22" s="2">
        <f>$M22*input!K21</f>
        <v>1827.1510000000001</v>
      </c>
      <c r="M22" s="1">
        <v>1</v>
      </c>
    </row>
    <row r="23" spans="1:14" x14ac:dyDescent="0.15">
      <c r="A23" s="12" t="str">
        <f>input!A22</f>
        <v>Fondo amm.to Immob. Materiali</v>
      </c>
      <c r="B23" s="2">
        <f>$M23*input!B22</f>
        <v>0</v>
      </c>
      <c r="C23" s="2">
        <f>$M23*input!C22</f>
        <v>0</v>
      </c>
      <c r="D23" s="2">
        <f>$M23*input!D22</f>
        <v>0</v>
      </c>
      <c r="E23" s="2">
        <f>$M23*input!E22</f>
        <v>0</v>
      </c>
      <c r="F23" s="2">
        <f>$M23*input!F22</f>
        <v>0</v>
      </c>
      <c r="G23" s="2">
        <f>$M23*input!G22</f>
        <v>0</v>
      </c>
      <c r="H23" s="2">
        <f>$M23*input!H22</f>
        <v>0</v>
      </c>
      <c r="I23" s="2">
        <f>$M23*input!I22</f>
        <v>0</v>
      </c>
      <c r="J23" s="2">
        <f>$M23*input!J22</f>
        <v>0</v>
      </c>
      <c r="K23" s="2">
        <f>$M23*input!K22</f>
        <v>0</v>
      </c>
      <c r="M23" s="1">
        <v>1</v>
      </c>
    </row>
    <row r="24" spans="1:14" x14ac:dyDescent="0.15">
      <c r="A24" s="11" t="str">
        <f>input!A23</f>
        <v>B.III. TOTALE IMMOB. FINANZIARIE</v>
      </c>
      <c r="B24" s="2">
        <f>$M24*input!B23</f>
        <v>1015828</v>
      </c>
      <c r="C24" s="2">
        <f>$M24*input!C23</f>
        <v>559853</v>
      </c>
      <c r="D24" s="2">
        <f>$M24*input!D23</f>
        <v>756739.89599999995</v>
      </c>
      <c r="E24" s="2">
        <f>$M24*input!E23</f>
        <v>584316.34400000004</v>
      </c>
      <c r="F24" s="2">
        <f>$M24*input!F23</f>
        <v>598581.42200000002</v>
      </c>
      <c r="G24" s="2">
        <f>$M24*input!G23</f>
        <v>210684.89799999999</v>
      </c>
      <c r="H24" s="2">
        <f>$M24*input!H23</f>
        <v>233450.285</v>
      </c>
      <c r="I24" s="2">
        <f>$M24*input!I23</f>
        <v>260230.09099999999</v>
      </c>
      <c r="J24" s="2">
        <f>$M24*input!J23</f>
        <v>261987.25</v>
      </c>
      <c r="K24" s="2">
        <f>$M24*input!K23</f>
        <v>253033.50599999999</v>
      </c>
      <c r="M24" s="1">
        <v>1</v>
      </c>
    </row>
    <row r="25" spans="1:14" x14ac:dyDescent="0.15">
      <c r="A25" s="12" t="str">
        <f>input!A24</f>
        <v>di cui: esigibili entro l'esercizio successivo</v>
      </c>
      <c r="B25" s="2">
        <f>$M25*input!B24</f>
        <v>0</v>
      </c>
      <c r="C25" s="2">
        <f>$M25*input!C24</f>
        <v>0</v>
      </c>
      <c r="D25" s="2">
        <f>$M25*input!D24</f>
        <v>10782.128000000001</v>
      </c>
      <c r="E25" s="2">
        <f>$M25*input!E24</f>
        <v>343.435</v>
      </c>
      <c r="F25" s="2">
        <f>$M25*input!F24</f>
        <v>370.685</v>
      </c>
      <c r="G25" s="2">
        <f>$M25*input!G24</f>
        <v>324.79599999999999</v>
      </c>
      <c r="H25" s="2">
        <f>$M25*input!H24</f>
        <v>281.976</v>
      </c>
      <c r="I25" s="2">
        <f>$M25*input!I24</f>
        <v>278.25799999999998</v>
      </c>
      <c r="J25" s="2">
        <f>$M25*input!J24</f>
        <v>316.07600000000002</v>
      </c>
      <c r="K25" s="2">
        <f>$M25*input!K24</f>
        <v>286.83999999999997</v>
      </c>
      <c r="M25" s="1">
        <v>1</v>
      </c>
    </row>
    <row r="26" spans="1:14" x14ac:dyDescent="0.15">
      <c r="A26" s="12" t="str">
        <f>input!A25</f>
        <v>B.III.1. TOT Partecipazioni</v>
      </c>
      <c r="B26" s="2">
        <f>$M26*input!B25</f>
        <v>1015828</v>
      </c>
      <c r="C26" s="2">
        <f>$M26*input!C25</f>
        <v>559853</v>
      </c>
      <c r="D26" s="2">
        <f>$M26*input!D25</f>
        <v>556283.77300000004</v>
      </c>
      <c r="E26" s="2">
        <f>$M26*input!E25</f>
        <v>484337.01899999997</v>
      </c>
      <c r="F26" s="2">
        <f>$M26*input!F25</f>
        <v>436771.36099999998</v>
      </c>
      <c r="G26" s="2">
        <f>$M26*input!G25</f>
        <v>185287.81</v>
      </c>
      <c r="H26" s="2">
        <f>$M26*input!H25</f>
        <v>205707.913</v>
      </c>
      <c r="I26" s="2">
        <f>$M26*input!I25</f>
        <v>232021.82</v>
      </c>
      <c r="J26" s="2">
        <f>$M26*input!J25</f>
        <v>249459.60800000001</v>
      </c>
      <c r="K26" s="2">
        <f>$M26*input!K25</f>
        <v>248664.74900000001</v>
      </c>
      <c r="M26" s="1">
        <v>1</v>
      </c>
    </row>
    <row r="27" spans="1:14" x14ac:dyDescent="0.15">
      <c r="A27" s="13" t="str">
        <f>input!A26</f>
        <v>B.III.1.a. Imprese controllate</v>
      </c>
      <c r="B27" s="2">
        <f>$M27*input!B26</f>
        <v>1012239</v>
      </c>
      <c r="C27" s="2">
        <f>$M27*input!C26</f>
        <v>557430</v>
      </c>
      <c r="D27" s="2">
        <f>$M27*input!D26</f>
        <v>555588.12800000003</v>
      </c>
      <c r="E27" s="2">
        <f>$M27*input!E26</f>
        <v>483640.37400000001</v>
      </c>
      <c r="F27" s="2">
        <f>$M27*input!F26</f>
        <v>436074.71600000001</v>
      </c>
      <c r="G27" s="2">
        <f>$M27*input!G26</f>
        <v>184591.16500000001</v>
      </c>
      <c r="H27" s="2">
        <f>$M27*input!H26</f>
        <v>205011.26800000001</v>
      </c>
      <c r="I27" s="2">
        <f>$M27*input!I26</f>
        <v>231325.17499999999</v>
      </c>
      <c r="J27" s="2">
        <f>$M27*input!J26</f>
        <v>248762.96299999999</v>
      </c>
      <c r="K27" s="2">
        <f>$M27*input!K26</f>
        <v>247968.10399999999</v>
      </c>
      <c r="M27" s="1">
        <v>1</v>
      </c>
      <c r="N27" s="1" t="s">
        <v>254</v>
      </c>
    </row>
    <row r="28" spans="1:14" x14ac:dyDescent="0.15">
      <c r="A28" s="13" t="str">
        <f>input!A27</f>
        <v>B.III.1.b. Imprese collegate</v>
      </c>
      <c r="B28" s="2">
        <f>$M28*input!B27</f>
        <v>0</v>
      </c>
      <c r="C28" s="2">
        <f>$M28*input!C27</f>
        <v>0</v>
      </c>
      <c r="D28" s="2">
        <f>$M28*input!D27</f>
        <v>695.51599999999996</v>
      </c>
      <c r="E28" s="2">
        <f>$M28*input!E27</f>
        <v>695.51599999999996</v>
      </c>
      <c r="F28" s="2">
        <f>$M28*input!F27</f>
        <v>695.51599999999996</v>
      </c>
      <c r="G28" s="2">
        <f>$M28*input!G27</f>
        <v>695.51599999999996</v>
      </c>
      <c r="H28" s="2">
        <f>$M28*input!H27</f>
        <v>695.51599999999996</v>
      </c>
      <c r="I28" s="2">
        <f>$M28*input!I27</f>
        <v>695.51599999999996</v>
      </c>
      <c r="J28" s="2">
        <f>$M28*input!J27</f>
        <v>695.51599999999996</v>
      </c>
      <c r="K28" s="2">
        <f>$M28*input!K27</f>
        <v>695.51599999999996</v>
      </c>
      <c r="M28" s="1">
        <v>1</v>
      </c>
      <c r="N28" s="1" t="s">
        <v>254</v>
      </c>
    </row>
    <row r="29" spans="1:14" x14ac:dyDescent="0.15">
      <c r="A29" s="13" t="str">
        <f>input!A28</f>
        <v>B.III.1.c. Imprese controllanti</v>
      </c>
      <c r="B29" s="2">
        <f>$M29*input!B28</f>
        <v>0</v>
      </c>
      <c r="C29" s="2">
        <f>$M29*input!C28</f>
        <v>0</v>
      </c>
      <c r="D29" s="2">
        <f>$M29*input!D28</f>
        <v>0</v>
      </c>
      <c r="E29" s="2">
        <f>$M29*input!E28</f>
        <v>0</v>
      </c>
      <c r="F29" s="2">
        <f>$M29*input!F28</f>
        <v>0</v>
      </c>
      <c r="G29" s="2">
        <f>$M29*input!G28</f>
        <v>0</v>
      </c>
      <c r="H29" s="2">
        <f>$M29*input!H28</f>
        <v>0</v>
      </c>
      <c r="I29" s="2">
        <f>$M29*input!I28</f>
        <v>0</v>
      </c>
      <c r="J29" s="2">
        <f>$M29*input!J28</f>
        <v>0</v>
      </c>
      <c r="K29" s="2">
        <f>$M29*input!K28</f>
        <v>0</v>
      </c>
      <c r="M29" s="1">
        <v>1</v>
      </c>
      <c r="N29" s="1" t="s">
        <v>255</v>
      </c>
    </row>
    <row r="30" spans="1:14" x14ac:dyDescent="0.15">
      <c r="A30" s="13" t="str">
        <f>input!A29</f>
        <v>B.III.1.d. In imprese sottoposte al controllo delle controllanti</v>
      </c>
      <c r="B30" s="2">
        <f>$M30*input!B29</f>
        <v>0</v>
      </c>
      <c r="C30" s="2">
        <f>$M30*input!C29</f>
        <v>0</v>
      </c>
      <c r="D30" s="2">
        <f>$M30*input!D29</f>
        <v>0</v>
      </c>
      <c r="E30" s="2">
        <f>$M30*input!E29</f>
        <v>0</v>
      </c>
      <c r="F30" s="2">
        <f>$M30*input!F29</f>
        <v>0</v>
      </c>
      <c r="G30" s="2">
        <f>$M30*input!G29</f>
        <v>0</v>
      </c>
      <c r="H30" s="2">
        <f>$M30*input!H29</f>
        <v>0</v>
      </c>
      <c r="I30" s="2">
        <f>$M30*input!I29</f>
        <v>0</v>
      </c>
      <c r="J30" s="2">
        <f>$M30*input!J29</f>
        <v>0</v>
      </c>
      <c r="K30" s="2">
        <f>$M30*input!K29</f>
        <v>0</v>
      </c>
      <c r="M30" s="1">
        <v>1</v>
      </c>
      <c r="N30" s="1" t="s">
        <v>255</v>
      </c>
    </row>
    <row r="31" spans="1:14" x14ac:dyDescent="0.15">
      <c r="A31" s="13" t="str">
        <f>input!A30</f>
        <v>B.III.1.d.bis. Altre imprese</v>
      </c>
      <c r="B31" s="2">
        <f>$M31*input!B30</f>
        <v>3589</v>
      </c>
      <c r="C31" s="2">
        <f>$M31*input!C30</f>
        <v>2423</v>
      </c>
      <c r="D31" s="2">
        <f>$M31*input!D30</f>
        <v>0.129</v>
      </c>
      <c r="E31" s="2">
        <f>$M31*input!E30</f>
        <v>1.129</v>
      </c>
      <c r="F31" s="2">
        <f>$M31*input!F30</f>
        <v>1.129</v>
      </c>
      <c r="G31" s="2">
        <f>$M31*input!G30</f>
        <v>1.129</v>
      </c>
      <c r="H31" s="2">
        <f>$M31*input!H30</f>
        <v>1.129</v>
      </c>
      <c r="I31" s="2">
        <f>$M31*input!I30</f>
        <v>1.129</v>
      </c>
      <c r="J31" s="2">
        <f>$M31*input!J30</f>
        <v>1.129</v>
      </c>
      <c r="K31" s="2">
        <f>$M31*input!K30</f>
        <v>1.129</v>
      </c>
      <c r="M31" s="1">
        <v>1</v>
      </c>
      <c r="N31" s="1" t="s">
        <v>254</v>
      </c>
    </row>
    <row r="32" spans="1:14" x14ac:dyDescent="0.15">
      <c r="A32" s="12" t="str">
        <f>input!A31</f>
        <v>B.III.2. TOT CREDITI Imm. Fin.</v>
      </c>
      <c r="B32" s="2">
        <f>$M32*input!B31</f>
        <v>0</v>
      </c>
      <c r="C32" s="2">
        <f>$M32*input!C31</f>
        <v>0</v>
      </c>
      <c r="D32" s="2">
        <f>$M32*input!D31</f>
        <v>200456.12299999999</v>
      </c>
      <c r="E32" s="2">
        <f>$M32*input!E31</f>
        <v>99979.324999999997</v>
      </c>
      <c r="F32" s="2">
        <f>$M32*input!F31</f>
        <v>161810.06099999999</v>
      </c>
      <c r="G32" s="2">
        <f>$M32*input!G31</f>
        <v>25397.088</v>
      </c>
      <c r="H32" s="2">
        <f>$M32*input!H31</f>
        <v>27742.371999999999</v>
      </c>
      <c r="I32" s="2">
        <f>$M32*input!I31</f>
        <v>28208.271000000001</v>
      </c>
      <c r="J32" s="2">
        <f>$M32*input!J31</f>
        <v>12527.642</v>
      </c>
      <c r="K32" s="2">
        <f>$M32*input!K31</f>
        <v>4368.7569999999996</v>
      </c>
      <c r="M32" s="1">
        <v>1</v>
      </c>
    </row>
    <row r="33" spans="1:14" x14ac:dyDescent="0.15">
      <c r="A33" s="13" t="str">
        <f>input!A32</f>
        <v>B.III.2.a. Cred. vs Controllate entro</v>
      </c>
      <c r="B33" s="2">
        <f>$M33*input!B32</f>
        <v>0</v>
      </c>
      <c r="C33" s="2">
        <f>$M33*input!C32</f>
        <v>0</v>
      </c>
      <c r="D33" s="2">
        <f>$M33*input!D32</f>
        <v>0</v>
      </c>
      <c r="E33" s="2">
        <f>$M33*input!E32</f>
        <v>0</v>
      </c>
      <c r="F33" s="2">
        <f>$M33*input!F32</f>
        <v>0</v>
      </c>
      <c r="G33" s="2">
        <f>$M33*input!G32</f>
        <v>0</v>
      </c>
      <c r="H33" s="2">
        <f>$M33*input!H32</f>
        <v>0</v>
      </c>
      <c r="I33" s="2">
        <f>$M33*input!I32</f>
        <v>0</v>
      </c>
      <c r="J33" s="2">
        <f>$M33*input!J32</f>
        <v>0</v>
      </c>
      <c r="K33" s="2">
        <f>$M33*input!K32</f>
        <v>0</v>
      </c>
      <c r="M33" s="1">
        <v>1</v>
      </c>
      <c r="N33" s="1" t="s">
        <v>256</v>
      </c>
    </row>
    <row r="34" spans="1:14" x14ac:dyDescent="0.15">
      <c r="A34" s="13" t="str">
        <f>input!A33</f>
        <v>B.III.2.a. Cred. vs Controllate oltre</v>
      </c>
      <c r="B34" s="2">
        <f>$M34*input!B33</f>
        <v>0</v>
      </c>
      <c r="C34" s="2">
        <f>$M34*input!C33</f>
        <v>0</v>
      </c>
      <c r="D34" s="2">
        <f>$M34*input!D33</f>
        <v>189673.995</v>
      </c>
      <c r="E34" s="2">
        <f>$M34*input!E33</f>
        <v>99635.89</v>
      </c>
      <c r="F34" s="2">
        <f>$M34*input!F33</f>
        <v>161439.37599999999</v>
      </c>
      <c r="G34" s="2">
        <f>$M34*input!G33</f>
        <v>25072.292000000001</v>
      </c>
      <c r="H34" s="2">
        <f>$M34*input!H33</f>
        <v>27460.396000000001</v>
      </c>
      <c r="I34" s="2">
        <f>$M34*input!I33</f>
        <v>27930.012999999999</v>
      </c>
      <c r="J34" s="2">
        <f>$M34*input!J33</f>
        <v>12130.447</v>
      </c>
      <c r="K34" s="2">
        <f>$M34*input!K33</f>
        <v>4081.9169999999999</v>
      </c>
      <c r="M34" s="1">
        <v>1</v>
      </c>
      <c r="N34" s="1" t="s">
        <v>256</v>
      </c>
    </row>
    <row r="35" spans="1:14" x14ac:dyDescent="0.15">
      <c r="A35" s="13" t="str">
        <f>input!A34</f>
        <v>B.III.2.b. Cred. vs Collegate entro</v>
      </c>
      <c r="B35" s="2">
        <f>$M35*input!B34</f>
        <v>0</v>
      </c>
      <c r="C35" s="2">
        <f>$M35*input!C34</f>
        <v>0</v>
      </c>
      <c r="D35" s="2">
        <f>$M35*input!D34</f>
        <v>0</v>
      </c>
      <c r="E35" s="2">
        <f>$M35*input!E34</f>
        <v>0</v>
      </c>
      <c r="F35" s="2">
        <f>$M35*input!F34</f>
        <v>0</v>
      </c>
      <c r="G35" s="2">
        <f>$M35*input!G34</f>
        <v>0</v>
      </c>
      <c r="H35" s="2">
        <f>$M35*input!H34</f>
        <v>0</v>
      </c>
      <c r="I35" s="2">
        <f>$M35*input!I34</f>
        <v>0</v>
      </c>
      <c r="J35" s="2">
        <f>$M35*input!J34</f>
        <v>25</v>
      </c>
      <c r="K35" s="2">
        <f>$M35*input!K34</f>
        <v>0</v>
      </c>
      <c r="M35" s="1">
        <v>1</v>
      </c>
      <c r="N35" s="1" t="s">
        <v>256</v>
      </c>
    </row>
    <row r="36" spans="1:14" x14ac:dyDescent="0.15">
      <c r="A36" s="13" t="str">
        <f>input!A35</f>
        <v>B.III.2.b. Cred. vs Collegate oltre</v>
      </c>
      <c r="B36" s="2">
        <f>$M36*input!B35</f>
        <v>0</v>
      </c>
      <c r="C36" s="2">
        <f>$M36*input!C35</f>
        <v>0</v>
      </c>
      <c r="D36" s="2">
        <f>$M36*input!D35</f>
        <v>0</v>
      </c>
      <c r="E36" s="2">
        <f>$M36*input!E35</f>
        <v>0</v>
      </c>
      <c r="F36" s="2">
        <f>$M36*input!F35</f>
        <v>0</v>
      </c>
      <c r="G36" s="2">
        <f>$M36*input!G35</f>
        <v>0</v>
      </c>
      <c r="H36" s="2">
        <f>$M36*input!H35</f>
        <v>0</v>
      </c>
      <c r="I36" s="2">
        <f>$M36*input!I35</f>
        <v>0</v>
      </c>
      <c r="J36" s="2">
        <f>$M36*input!J35</f>
        <v>81.119</v>
      </c>
      <c r="K36" s="2">
        <f>$M36*input!K35</f>
        <v>0</v>
      </c>
      <c r="M36" s="1">
        <v>1</v>
      </c>
      <c r="N36" s="1" t="s">
        <v>256</v>
      </c>
    </row>
    <row r="37" spans="1:14" x14ac:dyDescent="0.15">
      <c r="A37" s="13" t="str">
        <f>input!A36</f>
        <v>B.III.2.c. Cred. vs Controllanti entro</v>
      </c>
      <c r="B37" s="2">
        <f>$M37*input!B36</f>
        <v>0</v>
      </c>
      <c r="C37" s="2">
        <f>$M37*input!C36</f>
        <v>0</v>
      </c>
      <c r="D37" s="2">
        <f>$M37*input!D36</f>
        <v>0</v>
      </c>
      <c r="E37" s="2">
        <f>$M37*input!E36</f>
        <v>0</v>
      </c>
      <c r="F37" s="2">
        <f>$M37*input!F36</f>
        <v>0</v>
      </c>
      <c r="G37" s="2">
        <f>$M37*input!G36</f>
        <v>0</v>
      </c>
      <c r="H37" s="2">
        <f>$M37*input!H36</f>
        <v>0</v>
      </c>
      <c r="I37" s="2">
        <f>$M37*input!I36</f>
        <v>0</v>
      </c>
      <c r="J37" s="2">
        <f>$M37*input!J36</f>
        <v>0</v>
      </c>
      <c r="K37" s="2">
        <f>$M37*input!K36</f>
        <v>0</v>
      </c>
      <c r="M37" s="1">
        <v>-1</v>
      </c>
      <c r="N37" s="1" t="s">
        <v>251</v>
      </c>
    </row>
    <row r="38" spans="1:14" x14ac:dyDescent="0.15">
      <c r="A38" s="13" t="str">
        <f>input!A37</f>
        <v>B.III.2.c. Cred. vs Controllanti oltre</v>
      </c>
      <c r="B38" s="2">
        <f>$M38*input!B37</f>
        <v>0</v>
      </c>
      <c r="C38" s="2">
        <f>$M38*input!C37</f>
        <v>0</v>
      </c>
      <c r="D38" s="2">
        <f>$M38*input!D37</f>
        <v>0</v>
      </c>
      <c r="E38" s="2">
        <f>$M38*input!E37</f>
        <v>0</v>
      </c>
      <c r="F38" s="2">
        <f>$M38*input!F37</f>
        <v>0</v>
      </c>
      <c r="G38" s="2">
        <f>$M38*input!G37</f>
        <v>0</v>
      </c>
      <c r="H38" s="2">
        <f>$M38*input!H37</f>
        <v>0</v>
      </c>
      <c r="I38" s="2">
        <f>$M38*input!I37</f>
        <v>0</v>
      </c>
      <c r="J38" s="2">
        <f>$M38*input!J37</f>
        <v>0</v>
      </c>
      <c r="K38" s="2">
        <f>$M38*input!K37</f>
        <v>0</v>
      </c>
      <c r="M38" s="1">
        <v>-1</v>
      </c>
      <c r="N38" s="1" t="s">
        <v>251</v>
      </c>
    </row>
    <row r="39" spans="1:14" x14ac:dyDescent="0.15">
      <c r="A39" s="13" t="str">
        <f>input!A38</f>
        <v>B.III.2.d. Cred. vs imprese sottoposte al controllo delle controllanti entro</v>
      </c>
      <c r="B39" s="2">
        <f>$M39*input!B38</f>
        <v>0</v>
      </c>
      <c r="C39" s="2">
        <f>$M39*input!C38</f>
        <v>0</v>
      </c>
      <c r="D39" s="2">
        <f>$M39*input!D38</f>
        <v>0</v>
      </c>
      <c r="E39" s="2">
        <f>$M39*input!E38</f>
        <v>0</v>
      </c>
      <c r="F39" s="2">
        <f>$M39*input!F38</f>
        <v>0</v>
      </c>
      <c r="G39" s="2">
        <f>$M39*input!G38</f>
        <v>0</v>
      </c>
      <c r="H39" s="2">
        <f>$M39*input!H38</f>
        <v>0</v>
      </c>
      <c r="I39" s="2">
        <f>$M39*input!I38</f>
        <v>0</v>
      </c>
      <c r="J39" s="2">
        <f>$M39*input!J38</f>
        <v>0</v>
      </c>
      <c r="K39" s="2">
        <f>$M39*input!K38</f>
        <v>0</v>
      </c>
      <c r="M39" s="1">
        <v>-1</v>
      </c>
      <c r="N39" s="1" t="s">
        <v>251</v>
      </c>
    </row>
    <row r="40" spans="1:14" x14ac:dyDescent="0.15">
      <c r="A40" s="13" t="str">
        <f>input!A39</f>
        <v>B.III.2.d. Cred. vs imprese sottoposte al controllo delle controllanti oltre</v>
      </c>
      <c r="B40" s="2">
        <f>$M40*input!B39</f>
        <v>0</v>
      </c>
      <c r="C40" s="2">
        <f>$M40*input!C39</f>
        <v>0</v>
      </c>
      <c r="D40" s="2">
        <f>$M40*input!D39</f>
        <v>0</v>
      </c>
      <c r="E40" s="2">
        <f>$M40*input!E39</f>
        <v>0</v>
      </c>
      <c r="F40" s="2">
        <f>$M40*input!F39</f>
        <v>0</v>
      </c>
      <c r="G40" s="2">
        <f>$M40*input!G39</f>
        <v>0</v>
      </c>
      <c r="H40" s="2">
        <f>$M40*input!H39</f>
        <v>0</v>
      </c>
      <c r="I40" s="2">
        <f>$M40*input!I39</f>
        <v>0</v>
      </c>
      <c r="J40" s="2">
        <f>$M40*input!J39</f>
        <v>0</v>
      </c>
      <c r="K40" s="2">
        <f>$M40*input!K39</f>
        <v>0</v>
      </c>
      <c r="M40" s="1">
        <v>-1</v>
      </c>
      <c r="N40" s="1" t="s">
        <v>251</v>
      </c>
    </row>
    <row r="41" spans="1:14" x14ac:dyDescent="0.15">
      <c r="A41" s="13" t="str">
        <f>input!A40</f>
        <v>B.III.2.d.bis. Cred. vs Altri entro</v>
      </c>
      <c r="B41" s="2">
        <f>$M41*input!B40</f>
        <v>0</v>
      </c>
      <c r="C41" s="2">
        <f>$M41*input!C40</f>
        <v>0</v>
      </c>
      <c r="D41" s="2">
        <f>$M41*input!D40</f>
        <v>10782.128000000001</v>
      </c>
      <c r="E41" s="2">
        <f>$M41*input!E40</f>
        <v>343.435</v>
      </c>
      <c r="F41" s="2">
        <f>$M41*input!F40</f>
        <v>370.685</v>
      </c>
      <c r="G41" s="2">
        <f>$M41*input!G40</f>
        <v>324.79599999999999</v>
      </c>
      <c r="H41" s="2">
        <f>$M41*input!H40</f>
        <v>281.976</v>
      </c>
      <c r="I41" s="2">
        <f>$M41*input!I40</f>
        <v>278.25799999999998</v>
      </c>
      <c r="J41" s="2">
        <f>$M41*input!J40</f>
        <v>291.07600000000002</v>
      </c>
      <c r="K41" s="2">
        <f>$M41*input!K40</f>
        <v>286.83999999999997</v>
      </c>
      <c r="M41" s="1">
        <v>1</v>
      </c>
      <c r="N41" s="1" t="s">
        <v>257</v>
      </c>
    </row>
    <row r="42" spans="1:14" ht="12" customHeight="1" x14ac:dyDescent="0.15">
      <c r="A42" s="13" t="str">
        <f>input!A41</f>
        <v>B.III.2.d.bis Cred. vs Altri oltre</v>
      </c>
      <c r="B42" s="2">
        <f>$M42*input!B41</f>
        <v>0</v>
      </c>
      <c r="C42" s="2">
        <f>$M42*input!C41</f>
        <v>0</v>
      </c>
      <c r="D42" s="2">
        <f>$M42*input!D41</f>
        <v>0</v>
      </c>
      <c r="E42" s="2">
        <f>$M42*input!E41</f>
        <v>0</v>
      </c>
      <c r="F42" s="2">
        <f>$M42*input!F41</f>
        <v>0</v>
      </c>
      <c r="G42" s="2">
        <f>$M42*input!G41</f>
        <v>0</v>
      </c>
      <c r="H42" s="2">
        <f>$M42*input!H41</f>
        <v>0</v>
      </c>
      <c r="I42" s="2">
        <f>$M42*input!I41</f>
        <v>0</v>
      </c>
      <c r="J42" s="2">
        <f>$M42*input!J41</f>
        <v>0</v>
      </c>
      <c r="K42" s="2">
        <f>$M42*input!K41</f>
        <v>0</v>
      </c>
      <c r="M42" s="1">
        <v>1</v>
      </c>
      <c r="N42" s="1" t="s">
        <v>257</v>
      </c>
    </row>
    <row r="43" spans="1:14" x14ac:dyDescent="0.15">
      <c r="A43" s="12" t="str">
        <f>input!A42</f>
        <v>B.III. CREDITI FIN. A BREVE</v>
      </c>
      <c r="B43" s="2">
        <f>$M43*input!B42</f>
        <v>0</v>
      </c>
      <c r="C43" s="2">
        <f>$M43*input!C42</f>
        <v>0</v>
      </c>
      <c r="D43" s="2">
        <f>$M43*input!D42</f>
        <v>10782.128000000001</v>
      </c>
      <c r="E43" s="2">
        <f>$M43*input!E42</f>
        <v>343.435</v>
      </c>
      <c r="F43" s="2">
        <f>$M43*input!F42</f>
        <v>370.685</v>
      </c>
      <c r="G43" s="2">
        <f>$M43*input!G42</f>
        <v>324.79599999999999</v>
      </c>
      <c r="H43" s="2">
        <f>$M43*input!H42</f>
        <v>281.976</v>
      </c>
      <c r="I43" s="2">
        <f>$M43*input!I42</f>
        <v>278.25799999999998</v>
      </c>
      <c r="J43" s="2">
        <f>$M43*input!J42</f>
        <v>316.07600000000002</v>
      </c>
      <c r="K43" s="2">
        <f>$M43*input!K42</f>
        <v>286.83999999999997</v>
      </c>
      <c r="M43" s="1">
        <v>1</v>
      </c>
    </row>
    <row r="44" spans="1:14" x14ac:dyDescent="0.15">
      <c r="A44" s="12" t="str">
        <f>input!A43</f>
        <v>B.III. CREDITI FIN. A OLTRE</v>
      </c>
      <c r="B44" s="2">
        <f>$M44*input!B43</f>
        <v>0</v>
      </c>
      <c r="C44" s="2">
        <f>$M44*input!C43</f>
        <v>0</v>
      </c>
      <c r="D44" s="2">
        <f>$M44*input!D43</f>
        <v>189673.995</v>
      </c>
      <c r="E44" s="2">
        <f>$M44*input!E43</f>
        <v>99635.89</v>
      </c>
      <c r="F44" s="2">
        <f>$M44*input!F43</f>
        <v>161439.37599999999</v>
      </c>
      <c r="G44" s="2">
        <f>$M44*input!G43</f>
        <v>25072.292000000001</v>
      </c>
      <c r="H44" s="2">
        <f>$M44*input!H43</f>
        <v>27460.396000000001</v>
      </c>
      <c r="I44" s="2">
        <f>$M44*input!I43</f>
        <v>27930.012999999999</v>
      </c>
      <c r="J44" s="2">
        <f>$M44*input!J43</f>
        <v>12211.566000000001</v>
      </c>
      <c r="K44" s="2">
        <f>$M44*input!K43</f>
        <v>4081.9169999999999</v>
      </c>
      <c r="M44" s="1">
        <v>1</v>
      </c>
    </row>
    <row r="45" spans="1:14" x14ac:dyDescent="0.15">
      <c r="A45" s="12" t="str">
        <f>input!A44</f>
        <v>B.III.3. Altri titoli</v>
      </c>
      <c r="B45" s="2">
        <f>$M45*input!B44</f>
        <v>0</v>
      </c>
      <c r="C45" s="2">
        <f>$M45*input!C44</f>
        <v>0</v>
      </c>
      <c r="D45" s="2">
        <f>$M45*input!D44</f>
        <v>0</v>
      </c>
      <c r="E45" s="2">
        <f>$M45*input!E44</f>
        <v>0</v>
      </c>
      <c r="F45" s="2">
        <f>$M45*input!F44</f>
        <v>0</v>
      </c>
      <c r="G45" s="2">
        <f>$M45*input!G44</f>
        <v>0</v>
      </c>
      <c r="H45" s="2">
        <f>$M45*input!H44</f>
        <v>0</v>
      </c>
      <c r="I45" s="2">
        <f>$M45*input!I44</f>
        <v>0</v>
      </c>
      <c r="J45" s="2">
        <f>$M45*input!J44</f>
        <v>0</v>
      </c>
      <c r="K45" s="2">
        <f>$M45*input!K44</f>
        <v>0</v>
      </c>
      <c r="M45" s="1">
        <v>1</v>
      </c>
      <c r="N45" s="1" t="s">
        <v>254</v>
      </c>
    </row>
    <row r="46" spans="1:14" x14ac:dyDescent="0.15">
      <c r="A46" s="13" t="str">
        <f>input!A45</f>
        <v>B.III.3.bis. Azioni proprie</v>
      </c>
      <c r="B46" s="2">
        <f>$M46*input!B45</f>
        <v>0</v>
      </c>
      <c r="C46" s="2">
        <f>$M46*input!C45</f>
        <v>0</v>
      </c>
      <c r="D46" s="2">
        <f>$M46*input!D45</f>
        <v>0</v>
      </c>
      <c r="E46" s="2">
        <f>$M46*input!E45</f>
        <v>0</v>
      </c>
      <c r="F46" s="2">
        <f>$M46*input!F45</f>
        <v>0</v>
      </c>
      <c r="G46" s="2">
        <f>$M46*input!G45</f>
        <v>0</v>
      </c>
      <c r="H46" s="2">
        <f>$M46*input!H45</f>
        <v>0</v>
      </c>
      <c r="I46" s="2">
        <f>$M46*input!I45</f>
        <v>0</v>
      </c>
      <c r="J46" s="2">
        <f>$M46*input!J45</f>
        <v>0</v>
      </c>
      <c r="K46" s="2">
        <f>$M46*input!K45</f>
        <v>0</v>
      </c>
      <c r="M46" s="1">
        <v>-1</v>
      </c>
      <c r="N46" s="1" t="s">
        <v>255</v>
      </c>
    </row>
    <row r="47" spans="1:14" x14ac:dyDescent="0.15">
      <c r="A47" s="12" t="str">
        <f>input!A46</f>
        <v>B.III.4. Strumenti finanziari derivati attivi</v>
      </c>
      <c r="B47" s="2">
        <f>$M47*input!B46</f>
        <v>0</v>
      </c>
      <c r="C47" s="2">
        <f>$M47*input!C46</f>
        <v>0</v>
      </c>
      <c r="D47" s="2">
        <f>$M47*input!D46</f>
        <v>0</v>
      </c>
      <c r="E47" s="2">
        <f>$M47*input!E46</f>
        <v>0</v>
      </c>
      <c r="F47" s="2">
        <f>$M47*input!F46</f>
        <v>0</v>
      </c>
      <c r="G47" s="2">
        <f>$M47*input!G46</f>
        <v>0</v>
      </c>
      <c r="H47" s="2">
        <f>$M47*input!H46</f>
        <v>0</v>
      </c>
      <c r="I47" s="2">
        <f>$M47*input!I46</f>
        <v>0</v>
      </c>
      <c r="J47" s="2">
        <f>$M47*input!J46</f>
        <v>0</v>
      </c>
      <c r="K47" s="2">
        <f>$M47*input!K46</f>
        <v>0</v>
      </c>
      <c r="M47" s="1">
        <v>1</v>
      </c>
      <c r="N47" s="1" t="s">
        <v>263</v>
      </c>
    </row>
    <row r="48" spans="1:14" x14ac:dyDescent="0.15">
      <c r="A48" s="11" t="str">
        <f>input!A47</f>
        <v>Azioni proprie DI CUI: Val nominale</v>
      </c>
      <c r="B48" s="2">
        <f>$M48*input!B47</f>
        <v>0</v>
      </c>
      <c r="C48" s="2">
        <f>$M48*input!C47</f>
        <v>0</v>
      </c>
      <c r="D48" s="2">
        <f>$M48*input!D47</f>
        <v>0</v>
      </c>
      <c r="E48" s="2">
        <f>$M48*input!E47</f>
        <v>0</v>
      </c>
      <c r="F48" s="2">
        <f>$M48*input!F47</f>
        <v>0</v>
      </c>
      <c r="G48" s="2">
        <f>$M48*input!G47</f>
        <v>0</v>
      </c>
      <c r="H48" s="2">
        <f>$M48*input!H47</f>
        <v>0</v>
      </c>
      <c r="I48" s="2">
        <f>$M48*input!I47</f>
        <v>0</v>
      </c>
      <c r="J48" s="2">
        <f>$M48*input!J47</f>
        <v>0</v>
      </c>
      <c r="K48" s="2">
        <f>$M48*input!K47</f>
        <v>0</v>
      </c>
      <c r="M48" s="1">
        <v>1</v>
      </c>
    </row>
    <row r="49" spans="1:14" x14ac:dyDescent="0.15">
      <c r="A49" s="14" t="s">
        <v>380</v>
      </c>
    </row>
    <row r="50" spans="1:14" s="10" customFormat="1" ht="14" x14ac:dyDescent="0.15">
      <c r="A50" s="35" t="str">
        <f>input!A48</f>
        <v>C. ATTIVO CIRCOLANTE</v>
      </c>
      <c r="B50" s="36">
        <f>$M50*input!B48</f>
        <v>928992</v>
      </c>
      <c r="C50" s="36">
        <f>$M50*input!C48</f>
        <v>800575</v>
      </c>
      <c r="D50" s="36">
        <f>$M50*input!D48</f>
        <v>465473.06599999999</v>
      </c>
      <c r="E50" s="36">
        <f>$M50*input!E48</f>
        <v>414787.23300000001</v>
      </c>
      <c r="F50" s="36">
        <f>$M50*input!F48</f>
        <v>402157.69699999999</v>
      </c>
      <c r="G50" s="36">
        <f>$M50*input!G48</f>
        <v>362440.91</v>
      </c>
      <c r="H50" s="36">
        <f>$M50*input!H48</f>
        <v>397058.576</v>
      </c>
      <c r="I50" s="36">
        <f>$M50*input!I48</f>
        <v>366357.24200000003</v>
      </c>
      <c r="J50" s="36">
        <f>$M50*input!J48</f>
        <v>355745.69300000003</v>
      </c>
      <c r="K50" s="36">
        <f>$M50*input!K48</f>
        <v>356907.614</v>
      </c>
      <c r="M50" s="10">
        <v>1</v>
      </c>
    </row>
    <row r="51" spans="1:14" x14ac:dyDescent="0.15">
      <c r="A51" s="11" t="str">
        <f>input!A49</f>
        <v>C.I. TOTALE RIMANENZE</v>
      </c>
      <c r="B51" s="2">
        <f>$M51*input!B49</f>
        <v>131166</v>
      </c>
      <c r="C51" s="2">
        <f>$M51*input!C49</f>
        <v>118064</v>
      </c>
      <c r="D51" s="2">
        <f>$M51*input!D49</f>
        <v>153759.14300000001</v>
      </c>
      <c r="E51" s="2">
        <f>$M51*input!E49</f>
        <v>132482.193</v>
      </c>
      <c r="F51" s="2">
        <f>$M51*input!F49</f>
        <v>122437.38499999999</v>
      </c>
      <c r="G51" s="2">
        <f>$M51*input!G49</f>
        <v>119385.927</v>
      </c>
      <c r="H51" s="2">
        <f>$M51*input!H49</f>
        <v>165935.33900000001</v>
      </c>
      <c r="I51" s="2">
        <f>$M51*input!I49</f>
        <v>122521.084</v>
      </c>
      <c r="J51" s="2">
        <f>$M51*input!J49</f>
        <v>131111.24799999999</v>
      </c>
      <c r="K51" s="2">
        <f>$M51*input!K49</f>
        <v>127191.33900000001</v>
      </c>
      <c r="M51" s="1">
        <v>1</v>
      </c>
    </row>
    <row r="52" spans="1:14" x14ac:dyDescent="0.15">
      <c r="A52" s="12" t="str">
        <f>input!A50</f>
        <v>C.I.1. Materie prime</v>
      </c>
      <c r="B52" s="2">
        <f>$M52*input!B50</f>
        <v>36228</v>
      </c>
      <c r="C52" s="2">
        <f>$M52*input!C50</f>
        <v>28765</v>
      </c>
      <c r="D52" s="2">
        <f>$M52*input!D50</f>
        <v>51100.074999999997</v>
      </c>
      <c r="E52" s="2">
        <f>$M52*input!E50</f>
        <v>55036.616000000002</v>
      </c>
      <c r="F52" s="2">
        <f>$M52*input!F50</f>
        <v>56441.392</v>
      </c>
      <c r="G52" s="2">
        <f>$M52*input!G50</f>
        <v>55075.055999999997</v>
      </c>
      <c r="H52" s="2">
        <f>$M52*input!H50</f>
        <v>94295.832999999999</v>
      </c>
      <c r="I52" s="2">
        <f>$M52*input!I50</f>
        <v>54804.972999999998</v>
      </c>
      <c r="J52" s="2">
        <f>$M52*input!J50</f>
        <v>56567.644999999997</v>
      </c>
      <c r="K52" s="2">
        <f>$M52*input!K50</f>
        <v>56487.773000000001</v>
      </c>
      <c r="M52" s="1">
        <v>1</v>
      </c>
      <c r="N52" s="1" t="s">
        <v>258</v>
      </c>
    </row>
    <row r="53" spans="1:14" x14ac:dyDescent="0.15">
      <c r="A53" s="12" t="str">
        <f>input!A51</f>
        <v>C.I.2. Prodotti semilav./in corso</v>
      </c>
      <c r="B53" s="2">
        <f>$M53*input!B51</f>
        <v>21392</v>
      </c>
      <c r="C53" s="2">
        <f>$M53*input!C51</f>
        <v>17346</v>
      </c>
      <c r="D53" s="2">
        <f>$M53*input!D51</f>
        <v>18137.726999999999</v>
      </c>
      <c r="E53" s="2">
        <f>$M53*input!E51</f>
        <v>20388.608</v>
      </c>
      <c r="F53" s="2">
        <f>$M53*input!F51</f>
        <v>15941.976000000001</v>
      </c>
      <c r="G53" s="2">
        <f>$M53*input!G51</f>
        <v>13231.563</v>
      </c>
      <c r="H53" s="2">
        <f>$M53*input!H51</f>
        <v>17396.257000000001</v>
      </c>
      <c r="I53" s="2">
        <f>$M53*input!I51</f>
        <v>14002.516</v>
      </c>
      <c r="J53" s="2">
        <f>$M53*input!J51</f>
        <v>16943.866000000002</v>
      </c>
      <c r="K53" s="2">
        <f>$M53*input!K51</f>
        <v>21028.982</v>
      </c>
      <c r="M53" s="1">
        <v>1</v>
      </c>
      <c r="N53" s="1" t="s">
        <v>258</v>
      </c>
    </row>
    <row r="54" spans="1:14" x14ac:dyDescent="0.15">
      <c r="A54" s="12" t="str">
        <f>input!A52</f>
        <v>C.I.3. Lavori in corso</v>
      </c>
      <c r="B54" s="2">
        <f>$M54*input!B52</f>
        <v>0</v>
      </c>
      <c r="C54" s="2">
        <f>$M54*input!C52</f>
        <v>0</v>
      </c>
      <c r="D54" s="2">
        <f>$M54*input!D52</f>
        <v>0</v>
      </c>
      <c r="E54" s="2">
        <f>$M54*input!E52</f>
        <v>0</v>
      </c>
      <c r="F54" s="2">
        <f>$M54*input!F52</f>
        <v>0</v>
      </c>
      <c r="G54" s="2">
        <f>$M54*input!G52</f>
        <v>0</v>
      </c>
      <c r="H54" s="2">
        <f>$M54*input!H52</f>
        <v>0</v>
      </c>
      <c r="I54" s="2">
        <f>$M54*input!I52</f>
        <v>0</v>
      </c>
      <c r="J54" s="2">
        <f>$M54*input!J52</f>
        <v>0</v>
      </c>
      <c r="K54" s="2">
        <f>$M54*input!K52</f>
        <v>0</v>
      </c>
      <c r="M54" s="1">
        <v>1</v>
      </c>
      <c r="N54" s="1" t="s">
        <v>258</v>
      </c>
    </row>
    <row r="55" spans="1:14" x14ac:dyDescent="0.15">
      <c r="A55" s="12" t="str">
        <f>input!A53</f>
        <v>C.I.4. Prodotti finiti</v>
      </c>
      <c r="B55" s="2">
        <f>$M55*input!B53</f>
        <v>73546</v>
      </c>
      <c r="C55" s="2">
        <f>$M55*input!C53</f>
        <v>71953</v>
      </c>
      <c r="D55" s="2">
        <f>$M55*input!D53</f>
        <v>84521.341</v>
      </c>
      <c r="E55" s="2">
        <f>$M55*input!E53</f>
        <v>57056.968999999997</v>
      </c>
      <c r="F55" s="2">
        <f>$M55*input!F53</f>
        <v>50054.017</v>
      </c>
      <c r="G55" s="2">
        <f>$M55*input!G53</f>
        <v>51079.307999999997</v>
      </c>
      <c r="H55" s="2">
        <f>$M55*input!H53</f>
        <v>54243.249000000003</v>
      </c>
      <c r="I55" s="2">
        <f>$M55*input!I53</f>
        <v>53713.595000000001</v>
      </c>
      <c r="J55" s="2">
        <f>$M55*input!J53</f>
        <v>57599.737000000001</v>
      </c>
      <c r="K55" s="2">
        <f>$M55*input!K53</f>
        <v>49674.584000000003</v>
      </c>
      <c r="M55" s="1">
        <v>1</v>
      </c>
      <c r="N55" s="1" t="s">
        <v>258</v>
      </c>
    </row>
    <row r="56" spans="1:14" x14ac:dyDescent="0.15">
      <c r="A56" s="12" t="str">
        <f>input!A54</f>
        <v>C.I.5. Acconti</v>
      </c>
      <c r="B56" s="2">
        <f>$M56*input!B54</f>
        <v>0</v>
      </c>
      <c r="C56" s="2">
        <f>$M56*input!C54</f>
        <v>0</v>
      </c>
      <c r="D56" s="2">
        <f>$M56*input!D54</f>
        <v>0</v>
      </c>
      <c r="E56" s="2">
        <f>$M56*input!E54</f>
        <v>0</v>
      </c>
      <c r="F56" s="2">
        <f>$M56*input!F54</f>
        <v>0</v>
      </c>
      <c r="G56" s="2">
        <f>$M56*input!G54</f>
        <v>0</v>
      </c>
      <c r="H56" s="2">
        <f>$M56*input!H54</f>
        <v>0</v>
      </c>
      <c r="I56" s="2">
        <f>$M56*input!I54</f>
        <v>0</v>
      </c>
      <c r="J56" s="2">
        <f>$M56*input!J54</f>
        <v>0</v>
      </c>
      <c r="K56" s="2">
        <f>$M56*input!K54</f>
        <v>0</v>
      </c>
      <c r="M56" s="1">
        <v>1</v>
      </c>
      <c r="N56" s="1" t="s">
        <v>259</v>
      </c>
    </row>
    <row r="57" spans="1:14" x14ac:dyDescent="0.15">
      <c r="A57" s="12" t="str">
        <f>input!A55</f>
        <v>Immobilizzazioni materiali destinate alla vendita</v>
      </c>
      <c r="B57" s="2">
        <f>$M57*input!B55</f>
        <v>0</v>
      </c>
      <c r="C57" s="2">
        <f>$M57*input!C55</f>
        <v>0</v>
      </c>
      <c r="D57" s="2">
        <f>$M57*input!D55</f>
        <v>510</v>
      </c>
      <c r="E57" s="2">
        <f>$M57*input!E55</f>
        <v>2484.4270000000001</v>
      </c>
      <c r="F57" s="2">
        <f>$M57*input!F55</f>
        <v>0</v>
      </c>
      <c r="G57" s="2">
        <f>$M57*input!G55</f>
        <v>0</v>
      </c>
      <c r="H57" s="2">
        <f>$M57*input!H55</f>
        <v>0</v>
      </c>
      <c r="I57" s="2">
        <f>$M57*input!I55</f>
        <v>9544.2790000000005</v>
      </c>
      <c r="J57" s="2">
        <f>$M57*input!J55</f>
        <v>0</v>
      </c>
      <c r="K57" s="2">
        <f>$M57*input!K55</f>
        <v>0</v>
      </c>
      <c r="M57" s="1">
        <v>1</v>
      </c>
      <c r="N57" s="1" t="s">
        <v>253</v>
      </c>
    </row>
    <row r="58" spans="1:14" x14ac:dyDescent="0.15">
      <c r="A58" s="11" t="str">
        <f>input!A56</f>
        <v>C.II. TOTALE CREDITI</v>
      </c>
      <c r="B58" s="2">
        <f>$M58*input!B56</f>
        <v>466516</v>
      </c>
      <c r="C58" s="2">
        <f>$M58*input!C56</f>
        <v>385746</v>
      </c>
      <c r="D58" s="2">
        <f>$M58*input!D56</f>
        <v>201829.76800000001</v>
      </c>
      <c r="E58" s="2">
        <f>$M58*input!E56</f>
        <v>172658.69</v>
      </c>
      <c r="F58" s="2">
        <f>$M58*input!F56</f>
        <v>141122.549</v>
      </c>
      <c r="G58" s="2">
        <f>$M58*input!G56</f>
        <v>135002.11499999999</v>
      </c>
      <c r="H58" s="2">
        <f>$M58*input!H56</f>
        <v>210872.06</v>
      </c>
      <c r="I58" s="2">
        <f>$M58*input!I56</f>
        <v>184547.51199999999</v>
      </c>
      <c r="J58" s="2">
        <f>$M58*input!J56</f>
        <v>194970.45800000001</v>
      </c>
      <c r="K58" s="2">
        <f>$M58*input!K56</f>
        <v>221173.32399999999</v>
      </c>
      <c r="M58" s="1">
        <v>1</v>
      </c>
    </row>
    <row r="59" spans="1:14" x14ac:dyDescent="0.15">
      <c r="A59" s="12" t="str">
        <f>input!A57</f>
        <v>C.II.1. Cred. vs Clienti entro</v>
      </c>
      <c r="B59" s="2">
        <f>$M59*input!B57</f>
        <v>101879</v>
      </c>
      <c r="C59" s="2">
        <f>$M59*input!C57</f>
        <v>90210</v>
      </c>
      <c r="D59" s="2">
        <f>$M59*input!D57</f>
        <v>23706.719000000001</v>
      </c>
      <c r="E59" s="2">
        <f>$M59*input!E57</f>
        <v>29714.413</v>
      </c>
      <c r="F59" s="2">
        <f>$M59*input!F57</f>
        <v>49086.976999999999</v>
      </c>
      <c r="G59" s="2">
        <f>$M59*input!G57</f>
        <v>70085.629000000001</v>
      </c>
      <c r="H59" s="2">
        <f>$M59*input!H57</f>
        <v>136291.51199999999</v>
      </c>
      <c r="I59" s="2">
        <f>$M59*input!I57</f>
        <v>129228.81600000001</v>
      </c>
      <c r="J59" s="2">
        <f>$M59*input!J57</f>
        <v>138605.74299999999</v>
      </c>
      <c r="K59" s="2">
        <f>$M59*input!K57</f>
        <v>142030.00599999999</v>
      </c>
      <c r="M59" s="1">
        <v>1</v>
      </c>
      <c r="N59" s="1" t="s">
        <v>260</v>
      </c>
    </row>
    <row r="60" spans="1:14" x14ac:dyDescent="0.15">
      <c r="A60" s="12" t="str">
        <f>input!A58</f>
        <v>C.II.1. Cred. vs Clienti oltre</v>
      </c>
      <c r="B60" s="2">
        <f>$M60*input!B58</f>
        <v>0</v>
      </c>
      <c r="C60" s="2">
        <f>$M60*input!C58</f>
        <v>0</v>
      </c>
      <c r="D60" s="2">
        <f>$M60*input!D58</f>
        <v>0</v>
      </c>
      <c r="E60" s="2">
        <f>$M60*input!E58</f>
        <v>0</v>
      </c>
      <c r="F60" s="2">
        <f>$M60*input!F58</f>
        <v>0</v>
      </c>
      <c r="G60" s="2">
        <f>$M60*input!G58</f>
        <v>0</v>
      </c>
      <c r="H60" s="2">
        <f>$M60*input!H58</f>
        <v>0</v>
      </c>
      <c r="I60" s="2">
        <f>$M60*input!I58</f>
        <v>0</v>
      </c>
      <c r="J60" s="2">
        <f>$M60*input!J58</f>
        <v>0</v>
      </c>
      <c r="K60" s="2">
        <f>$M60*input!K58</f>
        <v>0</v>
      </c>
      <c r="M60" s="1">
        <v>1</v>
      </c>
      <c r="N60" s="1" t="s">
        <v>260</v>
      </c>
    </row>
    <row r="61" spans="1:14" x14ac:dyDescent="0.15">
      <c r="A61" s="12" t="str">
        <f>input!A59</f>
        <v>C.II.2. Cred. vs Controllate entro</v>
      </c>
      <c r="B61" s="2">
        <f>$M61*input!B59</f>
        <v>0</v>
      </c>
      <c r="C61" s="2">
        <f>$M61*input!C59</f>
        <v>0</v>
      </c>
      <c r="D61" s="2">
        <f>$M61*input!D59</f>
        <v>94483.736999999994</v>
      </c>
      <c r="E61" s="2">
        <f>$M61*input!E59</f>
        <v>84671.501999999993</v>
      </c>
      <c r="F61" s="2">
        <f>$M61*input!F59</f>
        <v>42783.245999999999</v>
      </c>
      <c r="G61" s="2">
        <f>$M61*input!G59</f>
        <v>43410.699000000001</v>
      </c>
      <c r="H61" s="2">
        <f>$M61*input!H59</f>
        <v>49179.387000000002</v>
      </c>
      <c r="I61" s="2">
        <f>$M61*input!I59</f>
        <v>35369.919999999998</v>
      </c>
      <c r="J61" s="2">
        <f>$M61*input!J59</f>
        <v>40850.936999999998</v>
      </c>
      <c r="K61" s="2">
        <f>$M61*input!K59</f>
        <v>49767.019</v>
      </c>
      <c r="M61" s="1">
        <v>1</v>
      </c>
      <c r="N61" s="1" t="s">
        <v>256</v>
      </c>
    </row>
    <row r="62" spans="1:14" x14ac:dyDescent="0.15">
      <c r="A62" s="12" t="str">
        <f>input!A60</f>
        <v>C.II.2. Cred. vs Controllate oltre</v>
      </c>
      <c r="B62" s="2">
        <f>$M62*input!B60</f>
        <v>0</v>
      </c>
      <c r="C62" s="2">
        <f>$M62*input!C60</f>
        <v>0</v>
      </c>
      <c r="D62" s="2">
        <f>$M62*input!D60</f>
        <v>0</v>
      </c>
      <c r="E62" s="2">
        <f>$M62*input!E60</f>
        <v>0</v>
      </c>
      <c r="F62" s="2">
        <f>$M62*input!F60</f>
        <v>0</v>
      </c>
      <c r="G62" s="2">
        <f>$M62*input!G60</f>
        <v>0</v>
      </c>
      <c r="H62" s="2">
        <f>$M62*input!H60</f>
        <v>0</v>
      </c>
      <c r="I62" s="2">
        <f>$M62*input!I60</f>
        <v>0</v>
      </c>
      <c r="J62" s="2">
        <f>$M62*input!J60</f>
        <v>0</v>
      </c>
      <c r="K62" s="2">
        <f>$M62*input!K60</f>
        <v>0</v>
      </c>
      <c r="M62" s="1">
        <v>1</v>
      </c>
      <c r="N62" s="1" t="s">
        <v>256</v>
      </c>
    </row>
    <row r="63" spans="1:14" x14ac:dyDescent="0.15">
      <c r="A63" s="12" t="str">
        <f>input!A61</f>
        <v>C.II.3. Cred. vs Collegate entro</v>
      </c>
      <c r="B63" s="2">
        <f>$M63*input!B61</f>
        <v>0</v>
      </c>
      <c r="C63" s="2">
        <f>$M63*input!C61</f>
        <v>0</v>
      </c>
      <c r="D63" s="2">
        <f>$M63*input!D61</f>
        <v>0</v>
      </c>
      <c r="E63" s="2">
        <f>$M63*input!E61</f>
        <v>0</v>
      </c>
      <c r="F63" s="2">
        <f>$M63*input!F61</f>
        <v>0</v>
      </c>
      <c r="G63" s="2">
        <f>$M63*input!G61</f>
        <v>0</v>
      </c>
      <c r="H63" s="2">
        <f>$M63*input!H61</f>
        <v>0</v>
      </c>
      <c r="I63" s="2">
        <f>$M63*input!I61</f>
        <v>0.114</v>
      </c>
      <c r="J63" s="2">
        <f>$M63*input!J61</f>
        <v>0</v>
      </c>
      <c r="K63" s="2">
        <f>$M63*input!K61</f>
        <v>0</v>
      </c>
      <c r="M63" s="1">
        <v>1</v>
      </c>
      <c r="N63" s="1" t="s">
        <v>256</v>
      </c>
    </row>
    <row r="64" spans="1:14" x14ac:dyDescent="0.15">
      <c r="A64" s="12" t="str">
        <f>input!A62</f>
        <v>C.II.3. Cred. vs Collegate oltre</v>
      </c>
      <c r="B64" s="2">
        <f>$M64*input!B62</f>
        <v>0</v>
      </c>
      <c r="C64" s="2">
        <f>$M64*input!C62</f>
        <v>0</v>
      </c>
      <c r="D64" s="2">
        <f>$M64*input!D62</f>
        <v>0</v>
      </c>
      <c r="E64" s="2">
        <f>$M64*input!E62</f>
        <v>0</v>
      </c>
      <c r="F64" s="2">
        <f>$M64*input!F62</f>
        <v>0</v>
      </c>
      <c r="G64" s="2">
        <f>$M64*input!G62</f>
        <v>0</v>
      </c>
      <c r="H64" s="2">
        <f>$M64*input!H62</f>
        <v>0</v>
      </c>
      <c r="I64" s="2">
        <f>$M64*input!I62</f>
        <v>0</v>
      </c>
      <c r="J64" s="2">
        <f>$M64*input!J62</f>
        <v>0</v>
      </c>
      <c r="K64" s="2">
        <f>$M64*input!K62</f>
        <v>0</v>
      </c>
      <c r="M64" s="1">
        <v>1</v>
      </c>
      <c r="N64" s="1" t="s">
        <v>256</v>
      </c>
    </row>
    <row r="65" spans="1:14" x14ac:dyDescent="0.15">
      <c r="A65" s="12" t="str">
        <f>input!A63</f>
        <v>C.II.4. Cred. vs Controllanti entro</v>
      </c>
      <c r="B65" s="2">
        <f>$M65*input!B63</f>
        <v>0</v>
      </c>
      <c r="C65" s="2">
        <f>$M65*input!C63</f>
        <v>0</v>
      </c>
      <c r="D65" s="2">
        <f>$M65*input!D63</f>
        <v>0</v>
      </c>
      <c r="E65" s="2">
        <f>$M65*input!E63</f>
        <v>-2347.6990000000001</v>
      </c>
      <c r="F65" s="2">
        <f>$M65*input!F63</f>
        <v>-150.154</v>
      </c>
      <c r="G65" s="2">
        <f>$M65*input!G63</f>
        <v>-60.783999999999999</v>
      </c>
      <c r="H65" s="2">
        <f>$M65*input!H63</f>
        <v>0</v>
      </c>
      <c r="I65" s="2">
        <f>$M65*input!I63</f>
        <v>-17.433</v>
      </c>
      <c r="J65" s="2">
        <f>$M65*input!J63</f>
        <v>-6.2389999999999999</v>
      </c>
      <c r="K65" s="2">
        <f>$M65*input!K63</f>
        <v>-8499.3209999999999</v>
      </c>
      <c r="M65" s="1">
        <v>-1</v>
      </c>
      <c r="N65" s="1" t="s">
        <v>251</v>
      </c>
    </row>
    <row r="66" spans="1:14" x14ac:dyDescent="0.15">
      <c r="A66" s="12" t="str">
        <f>input!A64</f>
        <v>C.II.4. Cred. vs Controllanti oltre</v>
      </c>
      <c r="B66" s="2">
        <f>$M66*input!B64</f>
        <v>0</v>
      </c>
      <c r="C66" s="2">
        <f>$M66*input!C64</f>
        <v>0</v>
      </c>
      <c r="D66" s="2">
        <f>$M66*input!D64</f>
        <v>0</v>
      </c>
      <c r="E66" s="2">
        <f>$M66*input!E64</f>
        <v>0</v>
      </c>
      <c r="F66" s="2">
        <f>$M66*input!F64</f>
        <v>0</v>
      </c>
      <c r="G66" s="2">
        <f>$M66*input!G64</f>
        <v>0</v>
      </c>
      <c r="H66" s="2">
        <f>$M66*input!H64</f>
        <v>0</v>
      </c>
      <c r="I66" s="2">
        <f>$M66*input!I64</f>
        <v>0</v>
      </c>
      <c r="J66" s="2">
        <f>$M66*input!J64</f>
        <v>-3363.9589999999998</v>
      </c>
      <c r="K66" s="2">
        <f>$M66*input!K64</f>
        <v>-3363.9589999999998</v>
      </c>
      <c r="M66" s="1">
        <v>-1</v>
      </c>
      <c r="N66" s="1" t="s">
        <v>251</v>
      </c>
    </row>
    <row r="67" spans="1:14" x14ac:dyDescent="0.15">
      <c r="A67" s="12" t="str">
        <f>input!A65</f>
        <v>C.II.5. Cred. vs imprese sottoposte al controllo delle controllanti entro</v>
      </c>
      <c r="B67" s="2">
        <f>$M67*input!B65</f>
        <v>0</v>
      </c>
      <c r="C67" s="2">
        <f>$M67*input!C65</f>
        <v>0</v>
      </c>
      <c r="D67" s="2">
        <f>$M67*input!D65</f>
        <v>0</v>
      </c>
      <c r="E67" s="2">
        <f>$M67*input!E65</f>
        <v>0</v>
      </c>
      <c r="F67" s="2">
        <f>$M67*input!F65</f>
        <v>0</v>
      </c>
      <c r="G67" s="2">
        <f>$M67*input!G65</f>
        <v>-104.127</v>
      </c>
      <c r="H67" s="2">
        <f>$M67*input!H65</f>
        <v>-1719.2280000000001</v>
      </c>
      <c r="I67" s="2">
        <f>$M67*input!I65</f>
        <v>0</v>
      </c>
      <c r="J67" s="2">
        <f>$M67*input!J65</f>
        <v>0</v>
      </c>
      <c r="K67" s="2">
        <f>$M67*input!K65</f>
        <v>0</v>
      </c>
      <c r="M67" s="1">
        <v>-1</v>
      </c>
      <c r="N67" s="1" t="s">
        <v>251</v>
      </c>
    </row>
    <row r="68" spans="1:14" x14ac:dyDescent="0.15">
      <c r="A68" s="12" t="str">
        <f>input!A66</f>
        <v>C.II.5. Cred. vs imprese sottoposte al controllo delle controllanti oltre</v>
      </c>
      <c r="B68" s="2">
        <f>$M68*input!B66</f>
        <v>0</v>
      </c>
      <c r="C68" s="2">
        <f>$M68*input!C66</f>
        <v>0</v>
      </c>
      <c r="D68" s="2">
        <f>$M68*input!D66</f>
        <v>0</v>
      </c>
      <c r="E68" s="2">
        <f>$M68*input!E66</f>
        <v>0</v>
      </c>
      <c r="F68" s="2">
        <f>$M68*input!F66</f>
        <v>0</v>
      </c>
      <c r="G68" s="2">
        <f>$M68*input!G66</f>
        <v>0</v>
      </c>
      <c r="H68" s="2">
        <f>$M68*input!H66</f>
        <v>0</v>
      </c>
      <c r="I68" s="2">
        <f>$M68*input!I66</f>
        <v>0</v>
      </c>
      <c r="J68" s="2">
        <f>$M68*input!J66</f>
        <v>0</v>
      </c>
      <c r="K68" s="2">
        <f>$M68*input!K66</f>
        <v>0</v>
      </c>
      <c r="M68" s="1">
        <v>-1</v>
      </c>
      <c r="N68" s="1" t="s">
        <v>251</v>
      </c>
    </row>
    <row r="69" spans="1:14" x14ac:dyDescent="0.15">
      <c r="A69" s="12" t="str">
        <f>input!A67</f>
        <v>C.II.5.bis. Cred. tributari entro</v>
      </c>
      <c r="B69" s="2">
        <f>$M69*input!B67</f>
        <v>10412</v>
      </c>
      <c r="C69" s="2">
        <f>$M69*input!C67</f>
        <v>8555</v>
      </c>
      <c r="D69" s="2">
        <f>$M69*input!D67</f>
        <v>33563.233999999997</v>
      </c>
      <c r="E69" s="2">
        <f>$M69*input!E67</f>
        <v>3849.21</v>
      </c>
      <c r="F69" s="2">
        <f>$M69*input!F67</f>
        <v>5238.2250000000004</v>
      </c>
      <c r="G69" s="2">
        <f>$M69*input!G67</f>
        <v>2425.4760000000001</v>
      </c>
      <c r="H69" s="2">
        <f>$M69*input!H67</f>
        <v>3415.2809999999999</v>
      </c>
      <c r="I69" s="2">
        <f>$M69*input!I67</f>
        <v>1617.1220000000001</v>
      </c>
      <c r="J69" s="2">
        <f>$M69*input!J67</f>
        <v>1080.5029999999999</v>
      </c>
      <c r="K69" s="2">
        <f>$M69*input!K67</f>
        <v>1914.91</v>
      </c>
      <c r="M69" s="1">
        <v>1</v>
      </c>
      <c r="N69" s="1" t="s">
        <v>261</v>
      </c>
    </row>
    <row r="70" spans="1:14" x14ac:dyDescent="0.15">
      <c r="A70" s="12" t="str">
        <f>input!A68</f>
        <v>C.II.5.bis. Cred. tributari oltre</v>
      </c>
      <c r="B70" s="2">
        <f>$M70*input!B68</f>
        <v>0</v>
      </c>
      <c r="C70" s="2">
        <f>$M70*input!C68</f>
        <v>0</v>
      </c>
      <c r="D70" s="2">
        <f>$M70*input!D68</f>
        <v>17289.349999999999</v>
      </c>
      <c r="E70" s="2">
        <f>$M70*input!E68</f>
        <v>21476.190999999999</v>
      </c>
      <c r="F70" s="2">
        <f>$M70*input!F68</f>
        <v>21275.683000000001</v>
      </c>
      <c r="G70" s="2">
        <f>$M70*input!G68</f>
        <v>1476.2190000000001</v>
      </c>
      <c r="H70" s="2">
        <f>$M70*input!H68</f>
        <v>1476.2190000000001</v>
      </c>
      <c r="I70" s="2">
        <f>$M70*input!I68</f>
        <v>1476.2190000000001</v>
      </c>
      <c r="J70" s="2">
        <f>$M70*input!J68</f>
        <v>0</v>
      </c>
      <c r="K70" s="2">
        <f>$M70*input!K68</f>
        <v>0</v>
      </c>
      <c r="M70" s="1">
        <v>1</v>
      </c>
      <c r="N70" s="1" t="s">
        <v>261</v>
      </c>
    </row>
    <row r="71" spans="1:14" x14ac:dyDescent="0.15">
      <c r="A71" s="12" t="str">
        <f>input!A69</f>
        <v>C.II.5.ter. Cred. per imposte anticipate entro</v>
      </c>
      <c r="B71" s="2">
        <f>$M71*input!B69</f>
        <v>0</v>
      </c>
      <c r="C71" s="2">
        <f>$M71*input!C69</f>
        <v>0</v>
      </c>
      <c r="D71" s="2">
        <f>$M71*input!D69</f>
        <v>18985.47</v>
      </c>
      <c r="E71" s="2">
        <f>$M71*input!E69</f>
        <v>14440.609</v>
      </c>
      <c r="F71" s="2">
        <f>$M71*input!F69</f>
        <v>16501.79</v>
      </c>
      <c r="G71" s="2">
        <f>$M71*input!G69</f>
        <v>16381.2</v>
      </c>
      <c r="H71" s="2">
        <f>$M71*input!H69</f>
        <v>14957.316000000001</v>
      </c>
      <c r="I71" s="2">
        <f>$M71*input!I69</f>
        <v>13699.206</v>
      </c>
      <c r="J71" s="2">
        <f>$M71*input!J69</f>
        <v>9127.07</v>
      </c>
      <c r="K71" s="2">
        <f>$M71*input!K69</f>
        <v>929.00900000000001</v>
      </c>
      <c r="M71" s="1">
        <v>1</v>
      </c>
      <c r="N71" s="1" t="s">
        <v>262</v>
      </c>
    </row>
    <row r="72" spans="1:14" x14ac:dyDescent="0.15">
      <c r="A72" s="12" t="str">
        <f>input!A70</f>
        <v>C.II.5.ter. Cred. per imposte anticipate oltre</v>
      </c>
      <c r="B72" s="2">
        <f>$M72*input!B70</f>
        <v>37784</v>
      </c>
      <c r="C72" s="2">
        <f>$M72*input!C70</f>
        <v>23126</v>
      </c>
      <c r="D72" s="2">
        <f>$M72*input!D70</f>
        <v>0</v>
      </c>
      <c r="E72" s="2">
        <f>$M72*input!E70</f>
        <v>0</v>
      </c>
      <c r="F72" s="2">
        <f>$M72*input!F70</f>
        <v>0</v>
      </c>
      <c r="G72" s="2">
        <f>$M72*input!G70</f>
        <v>0</v>
      </c>
      <c r="H72" s="2">
        <f>$M72*input!H70</f>
        <v>0</v>
      </c>
      <c r="I72" s="2">
        <f>$M72*input!I70</f>
        <v>0</v>
      </c>
      <c r="J72" s="2">
        <f>$M72*input!J70</f>
        <v>0</v>
      </c>
      <c r="K72" s="2">
        <f>$M72*input!K70</f>
        <v>6050.1090000000004</v>
      </c>
      <c r="M72" s="1">
        <v>1</v>
      </c>
      <c r="N72" s="1" t="s">
        <v>262</v>
      </c>
    </row>
    <row r="73" spans="1:14" x14ac:dyDescent="0.15">
      <c r="A73" s="12" t="str">
        <f>input!A71</f>
        <v>C.II.5.quater. Cred. verso altri entro</v>
      </c>
      <c r="B73" s="2">
        <f>$M73*input!B71</f>
        <v>308127</v>
      </c>
      <c r="C73" s="2">
        <f>$M73*input!C71</f>
        <v>250751</v>
      </c>
      <c r="D73" s="2">
        <f>$M73*input!D71</f>
        <v>13760.305</v>
      </c>
      <c r="E73" s="2">
        <f>$M73*input!E71</f>
        <v>16077.16</v>
      </c>
      <c r="F73" s="2">
        <f>$M73*input!F71</f>
        <v>5946.8969999999999</v>
      </c>
      <c r="G73" s="2">
        <f>$M73*input!G71</f>
        <v>1056.8779999999999</v>
      </c>
      <c r="H73" s="2">
        <f>$M73*input!H71</f>
        <v>3782.9609999999998</v>
      </c>
      <c r="I73" s="2">
        <f>$M73*input!I71</f>
        <v>3041.7890000000002</v>
      </c>
      <c r="J73" s="2">
        <f>$M73*input!J71</f>
        <v>1768.0609999999999</v>
      </c>
      <c r="K73" s="2">
        <f>$M73*input!K71</f>
        <v>8513.4590000000007</v>
      </c>
      <c r="M73" s="1">
        <v>1</v>
      </c>
      <c r="N73" s="1" t="s">
        <v>259</v>
      </c>
    </row>
    <row r="74" spans="1:14" x14ac:dyDescent="0.15">
      <c r="A74" s="12" t="str">
        <f>input!A72</f>
        <v>C.II.5.quater. Cred. verso altri oltre</v>
      </c>
      <c r="B74" s="2">
        <f>$M74*input!B72</f>
        <v>8314</v>
      </c>
      <c r="C74" s="2">
        <f>$M74*input!C72</f>
        <v>13104</v>
      </c>
      <c r="D74" s="2">
        <f>$M74*input!D72</f>
        <v>40.953000000000003</v>
      </c>
      <c r="E74" s="2">
        <f>$M74*input!E72</f>
        <v>81.906000000000006</v>
      </c>
      <c r="F74" s="2">
        <f>$M74*input!F72</f>
        <v>139.577</v>
      </c>
      <c r="G74" s="2">
        <f>$M74*input!G72</f>
        <v>1.103</v>
      </c>
      <c r="H74" s="2">
        <f>$M74*input!H72</f>
        <v>50.155999999999999</v>
      </c>
      <c r="I74" s="2">
        <f>$M74*input!I72</f>
        <v>96.893000000000001</v>
      </c>
      <c r="J74" s="2">
        <f>$M74*input!J72</f>
        <v>167.946</v>
      </c>
      <c r="K74" s="2">
        <f>$M74*input!K72</f>
        <v>105.532</v>
      </c>
      <c r="M74" s="1">
        <v>1</v>
      </c>
      <c r="N74" s="1" t="s">
        <v>259</v>
      </c>
    </row>
    <row r="75" spans="1:14" x14ac:dyDescent="0.15">
      <c r="A75" s="12" t="str">
        <f>input!A73</f>
        <v>C.II. Crediti a breve</v>
      </c>
      <c r="B75" s="2">
        <f>$M75*input!B73</f>
        <v>420418</v>
      </c>
      <c r="C75" s="2">
        <f>$M75*input!C73</f>
        <v>349516</v>
      </c>
      <c r="D75" s="2">
        <f>$M75*input!D73</f>
        <v>184499.465</v>
      </c>
      <c r="E75" s="2">
        <f>$M75*input!E73</f>
        <v>151100.59299999999</v>
      </c>
      <c r="F75" s="2">
        <f>$M75*input!F73</f>
        <v>119707.289</v>
      </c>
      <c r="G75" s="2">
        <f>$M75*input!G73</f>
        <v>133524.79300000001</v>
      </c>
      <c r="H75" s="2">
        <f>$M75*input!H73</f>
        <v>209345.685</v>
      </c>
      <c r="I75" s="2">
        <f>$M75*input!I73</f>
        <v>182974.4</v>
      </c>
      <c r="J75" s="2">
        <f>$M75*input!J73</f>
        <v>191438.55300000001</v>
      </c>
      <c r="K75" s="2">
        <f>$M75*input!K73</f>
        <v>211653.72399999999</v>
      </c>
      <c r="M75" s="1">
        <v>1</v>
      </c>
    </row>
    <row r="76" spans="1:14" x14ac:dyDescent="0.15">
      <c r="A76" s="12" t="str">
        <f>input!A74</f>
        <v>Crediti per imposte anticipate</v>
      </c>
      <c r="B76" s="2">
        <f>$M76*input!B74</f>
        <v>0</v>
      </c>
      <c r="C76" s="2">
        <f>$M76*input!C74</f>
        <v>0</v>
      </c>
      <c r="D76" s="2">
        <f>$M76*input!D74</f>
        <v>0</v>
      </c>
      <c r="E76" s="2">
        <f>$M76*input!E74</f>
        <v>0</v>
      </c>
      <c r="F76" s="2">
        <f>$M76*input!F74</f>
        <v>0</v>
      </c>
      <c r="G76" s="2">
        <f>$M76*input!G74</f>
        <v>0</v>
      </c>
      <c r="H76" s="2">
        <f>$M76*input!H74</f>
        <v>0</v>
      </c>
      <c r="I76" s="2">
        <f>$M76*input!I74</f>
        <v>0</v>
      </c>
      <c r="J76" s="2">
        <f>$M76*input!J74</f>
        <v>0</v>
      </c>
      <c r="K76" s="2">
        <f>$M76*input!K74</f>
        <v>0</v>
      </c>
      <c r="M76" s="1">
        <v>1</v>
      </c>
    </row>
    <row r="77" spans="1:14" x14ac:dyDescent="0.15">
      <c r="A77" s="12" t="str">
        <f>input!A75</f>
        <v>C.II. Crediti a oltre</v>
      </c>
      <c r="B77" s="2">
        <f>$M77*input!B75</f>
        <v>46098</v>
      </c>
      <c r="C77" s="2">
        <f>$M77*input!C75</f>
        <v>36230</v>
      </c>
      <c r="D77" s="2">
        <f>$M77*input!D75</f>
        <v>17330.303</v>
      </c>
      <c r="E77" s="2">
        <f>$M77*input!E75</f>
        <v>21558.097000000002</v>
      </c>
      <c r="F77" s="2">
        <f>$M77*input!F75</f>
        <v>21415.26</v>
      </c>
      <c r="G77" s="2">
        <f>$M77*input!G75</f>
        <v>1477.3219999999999</v>
      </c>
      <c r="H77" s="2">
        <f>$M77*input!H75</f>
        <v>1526.375</v>
      </c>
      <c r="I77" s="2">
        <f>$M77*input!I75</f>
        <v>1573.1120000000001</v>
      </c>
      <c r="J77" s="2">
        <f>$M77*input!J75</f>
        <v>3531.9050000000002</v>
      </c>
      <c r="K77" s="2">
        <f>$M77*input!K75</f>
        <v>9519.6</v>
      </c>
      <c r="M77" s="1">
        <v>1</v>
      </c>
    </row>
    <row r="78" spans="1:14" x14ac:dyDescent="0.15">
      <c r="A78" s="11" t="str">
        <f>input!A76</f>
        <v>C.III. TOTALE ATTIVITA' FINANZIARIE</v>
      </c>
      <c r="B78" s="2">
        <f>$M78*input!B76</f>
        <v>179600</v>
      </c>
      <c r="C78" s="2">
        <f>$M78*input!C76</f>
        <v>78779</v>
      </c>
      <c r="D78" s="2">
        <f>$M78*input!D76</f>
        <v>24977.574000000001</v>
      </c>
      <c r="E78" s="2">
        <f>$M78*input!E76</f>
        <v>7277.777</v>
      </c>
      <c r="F78" s="2">
        <f>$M78*input!F76</f>
        <v>3815.0030000000002</v>
      </c>
      <c r="G78" s="2">
        <f>$M78*input!G76</f>
        <v>5346.81</v>
      </c>
      <c r="H78" s="2">
        <f>$M78*input!H76</f>
        <v>10708.029</v>
      </c>
      <c r="I78" s="2">
        <f>$M78*input!I76</f>
        <v>38218.805</v>
      </c>
      <c r="J78" s="2">
        <f>$M78*input!J76</f>
        <v>22895.52</v>
      </c>
      <c r="K78" s="2">
        <f>$M78*input!K76</f>
        <v>0</v>
      </c>
      <c r="M78" s="1">
        <v>1</v>
      </c>
    </row>
    <row r="79" spans="1:14" x14ac:dyDescent="0.15">
      <c r="A79" s="12" t="str">
        <f>input!A77</f>
        <v>C.III.1. Partec.ni in Controllate</v>
      </c>
      <c r="B79" s="2">
        <f>$M79*input!B77</f>
        <v>0</v>
      </c>
      <c r="C79" s="2">
        <f>$M79*input!C77</f>
        <v>0</v>
      </c>
      <c r="D79" s="2">
        <f>$M79*input!D77</f>
        <v>0</v>
      </c>
      <c r="E79" s="2">
        <f>$M79*input!E77</f>
        <v>0</v>
      </c>
      <c r="F79" s="2">
        <f>$M79*input!F77</f>
        <v>0</v>
      </c>
      <c r="G79" s="2">
        <f>$M79*input!G77</f>
        <v>0</v>
      </c>
      <c r="H79" s="2">
        <f>$M79*input!H77</f>
        <v>0</v>
      </c>
      <c r="I79" s="2">
        <f>$M79*input!I77</f>
        <v>0</v>
      </c>
      <c r="J79" s="2">
        <f>$M79*input!J77</f>
        <v>0</v>
      </c>
      <c r="K79" s="2">
        <f>$M79*input!K77</f>
        <v>0</v>
      </c>
      <c r="M79" s="1">
        <v>1</v>
      </c>
      <c r="N79" s="1" t="s">
        <v>254</v>
      </c>
    </row>
    <row r="80" spans="1:14" x14ac:dyDescent="0.15">
      <c r="A80" s="12" t="str">
        <f>input!A78</f>
        <v>C.III.2. Partec.ni in Collegate</v>
      </c>
      <c r="B80" s="2">
        <f>$M80*input!B78</f>
        <v>0</v>
      </c>
      <c r="C80" s="2">
        <f>$M80*input!C78</f>
        <v>0</v>
      </c>
      <c r="D80" s="2">
        <f>$M80*input!D78</f>
        <v>0</v>
      </c>
      <c r="E80" s="2">
        <f>$M80*input!E78</f>
        <v>0</v>
      </c>
      <c r="F80" s="2">
        <f>$M80*input!F78</f>
        <v>0</v>
      </c>
      <c r="G80" s="2">
        <f>$M80*input!G78</f>
        <v>0</v>
      </c>
      <c r="H80" s="2">
        <f>$M80*input!H78</f>
        <v>0</v>
      </c>
      <c r="I80" s="2">
        <f>$M80*input!I78</f>
        <v>0</v>
      </c>
      <c r="J80" s="2">
        <f>$M80*input!J78</f>
        <v>0</v>
      </c>
      <c r="K80" s="2">
        <f>$M80*input!K78</f>
        <v>0</v>
      </c>
      <c r="M80" s="1">
        <v>1</v>
      </c>
      <c r="N80" s="1" t="s">
        <v>254</v>
      </c>
    </row>
    <row r="81" spans="1:14" x14ac:dyDescent="0.15">
      <c r="A81" s="12" t="str">
        <f>input!A79</f>
        <v>C.III.3. Partec.ni in Controllanti</v>
      </c>
      <c r="B81" s="2">
        <f>$M81*input!B79</f>
        <v>0</v>
      </c>
      <c r="C81" s="2">
        <f>$M81*input!C79</f>
        <v>0</v>
      </c>
      <c r="D81" s="2">
        <f>$M81*input!D79</f>
        <v>0</v>
      </c>
      <c r="E81" s="2">
        <f>$M81*input!E79</f>
        <v>0</v>
      </c>
      <c r="F81" s="2">
        <f>$M81*input!F79</f>
        <v>0</v>
      </c>
      <c r="G81" s="2">
        <f>$M81*input!G79</f>
        <v>0</v>
      </c>
      <c r="H81" s="2">
        <f>$M81*input!H79</f>
        <v>0</v>
      </c>
      <c r="I81" s="2">
        <f>$M81*input!I79</f>
        <v>0</v>
      </c>
      <c r="J81" s="2">
        <f>$M81*input!J79</f>
        <v>0</v>
      </c>
      <c r="K81" s="2">
        <f>$M81*input!K79</f>
        <v>0</v>
      </c>
      <c r="M81" s="1">
        <v>-1</v>
      </c>
      <c r="N81" s="1" t="s">
        <v>255</v>
      </c>
    </row>
    <row r="82" spans="1:14" x14ac:dyDescent="0.15">
      <c r="A82" s="12" t="str">
        <f>input!A80</f>
        <v>C.III.3.bis. Partec.ni in imprese sottoposte al controllo delle controllanti</v>
      </c>
      <c r="B82" s="2">
        <f>$M82*input!B80</f>
        <v>0</v>
      </c>
      <c r="C82" s="2">
        <f>$M82*input!C80</f>
        <v>0</v>
      </c>
      <c r="D82" s="2">
        <f>$M82*input!D80</f>
        <v>0</v>
      </c>
      <c r="E82" s="2">
        <f>$M82*input!E80</f>
        <v>0</v>
      </c>
      <c r="F82" s="2">
        <f>$M82*input!F80</f>
        <v>0</v>
      </c>
      <c r="G82" s="2">
        <f>$M82*input!G80</f>
        <v>0</v>
      </c>
      <c r="H82" s="2">
        <f>$M82*input!H80</f>
        <v>0</v>
      </c>
      <c r="I82" s="2">
        <f>$M82*input!I80</f>
        <v>0</v>
      </c>
      <c r="J82" s="2">
        <f>$M82*input!J80</f>
        <v>0</v>
      </c>
      <c r="K82" s="2">
        <f>$M82*input!K80</f>
        <v>0</v>
      </c>
      <c r="M82" s="1">
        <v>-1</v>
      </c>
      <c r="N82" s="1" t="s">
        <v>255</v>
      </c>
    </row>
    <row r="83" spans="1:14" x14ac:dyDescent="0.15">
      <c r="A83" s="12" t="str">
        <f>input!A81</f>
        <v>C.III.4. Altre Partec.ni</v>
      </c>
      <c r="B83" s="2">
        <f>$M83*input!B81</f>
        <v>0</v>
      </c>
      <c r="C83" s="2">
        <f>$M83*input!C81</f>
        <v>0</v>
      </c>
      <c r="D83" s="2">
        <f>$M83*input!D81</f>
        <v>0</v>
      </c>
      <c r="E83" s="2">
        <f>$M83*input!E81</f>
        <v>0</v>
      </c>
      <c r="F83" s="2">
        <f>$M83*input!F81</f>
        <v>0</v>
      </c>
      <c r="G83" s="2">
        <f>$M83*input!G81</f>
        <v>0</v>
      </c>
      <c r="H83" s="2">
        <f>$M83*input!H81</f>
        <v>0</v>
      </c>
      <c r="I83" s="2">
        <f>$M83*input!I81</f>
        <v>0</v>
      </c>
      <c r="J83" s="2">
        <f>$M83*input!J81</f>
        <v>0</v>
      </c>
      <c r="K83" s="2">
        <f>$M83*input!K81</f>
        <v>0</v>
      </c>
      <c r="M83" s="1">
        <v>1</v>
      </c>
      <c r="N83" s="1" t="s">
        <v>254</v>
      </c>
    </row>
    <row r="84" spans="1:14" x14ac:dyDescent="0.15">
      <c r="A84" s="12" t="str">
        <f>input!A82</f>
        <v>C.III.4.bis. Azioni proprie</v>
      </c>
      <c r="B84" s="2">
        <f>$M84*input!B82</f>
        <v>0</v>
      </c>
      <c r="C84" s="2">
        <f>$M84*input!C82</f>
        <v>0</v>
      </c>
      <c r="D84" s="2">
        <f>$M84*input!D82</f>
        <v>0</v>
      </c>
      <c r="E84" s="2">
        <f>$M84*input!E82</f>
        <v>0</v>
      </c>
      <c r="F84" s="2">
        <f>$M84*input!F82</f>
        <v>0</v>
      </c>
      <c r="G84" s="2">
        <f>$M84*input!G82</f>
        <v>0</v>
      </c>
      <c r="H84" s="2">
        <f>$M84*input!H82</f>
        <v>0</v>
      </c>
      <c r="I84" s="2">
        <f>$M84*input!I82</f>
        <v>0</v>
      </c>
      <c r="J84" s="2">
        <f>$M84*input!J82</f>
        <v>0</v>
      </c>
      <c r="K84" s="2">
        <f>$M84*input!K82</f>
        <v>0</v>
      </c>
      <c r="M84" s="1">
        <v>-1</v>
      </c>
      <c r="N84" s="1" t="s">
        <v>255</v>
      </c>
    </row>
    <row r="85" spans="1:14" x14ac:dyDescent="0.15">
      <c r="A85" s="12" t="str">
        <f>input!A83</f>
        <v>Azioni proprie DI CUI: Val nominale</v>
      </c>
      <c r="B85" s="2">
        <f>$M85*input!B83</f>
        <v>0</v>
      </c>
      <c r="C85" s="2">
        <f>$M85*input!C83</f>
        <v>0</v>
      </c>
      <c r="D85" s="2">
        <f>$M85*input!D83</f>
        <v>0</v>
      </c>
      <c r="E85" s="2">
        <f>$M85*input!E83</f>
        <v>0</v>
      </c>
      <c r="F85" s="2">
        <f>$M85*input!F83</f>
        <v>0</v>
      </c>
      <c r="G85" s="2">
        <f>$M85*input!G83</f>
        <v>0</v>
      </c>
      <c r="H85" s="2">
        <f>$M85*input!H83</f>
        <v>0</v>
      </c>
      <c r="I85" s="2">
        <f>$M85*input!I83</f>
        <v>0</v>
      </c>
      <c r="J85" s="2">
        <f>$M85*input!J83</f>
        <v>0</v>
      </c>
      <c r="K85" s="2">
        <f>$M85*input!K83</f>
        <v>0</v>
      </c>
      <c r="M85" s="1">
        <v>1</v>
      </c>
    </row>
    <row r="86" spans="1:14" x14ac:dyDescent="0.15">
      <c r="A86" s="12" t="str">
        <f>input!A84</f>
        <v>C.III.5. Strumenti finanziari derivati attivi</v>
      </c>
      <c r="B86" s="2">
        <f>$M86*input!B84</f>
        <v>6904</v>
      </c>
      <c r="C86" s="2">
        <f>$M86*input!C84</f>
        <v>0</v>
      </c>
      <c r="D86" s="2">
        <f>$M86*input!D84</f>
        <v>1696.644</v>
      </c>
      <c r="E86" s="2">
        <f>$M86*input!E84</f>
        <v>5609.9369999999999</v>
      </c>
      <c r="F86" s="2">
        <f>$M86*input!F84</f>
        <v>623.72</v>
      </c>
      <c r="G86" s="2">
        <f>$M86*input!G84</f>
        <v>68.100999999999999</v>
      </c>
      <c r="H86" s="2">
        <f>$M86*input!H84</f>
        <v>347.47699999999998</v>
      </c>
      <c r="I86" s="2">
        <f>$M86*input!I84</f>
        <v>30.891999999999999</v>
      </c>
      <c r="J86" s="2">
        <f>$M86*input!J84</f>
        <v>1597.0170000000001</v>
      </c>
      <c r="K86" s="2">
        <f>$M86*input!K84</f>
        <v>0</v>
      </c>
      <c r="M86" s="1">
        <v>1</v>
      </c>
      <c r="N86" s="1" t="s">
        <v>263</v>
      </c>
    </row>
    <row r="87" spans="1:14" x14ac:dyDescent="0.15">
      <c r="A87" s="12" t="str">
        <f>input!A85</f>
        <v>C.III.6. Altri titoli</v>
      </c>
      <c r="B87" s="2">
        <f>$M87*input!B85</f>
        <v>0</v>
      </c>
      <c r="C87" s="2">
        <f>$M87*input!C85</f>
        <v>0</v>
      </c>
      <c r="D87" s="2">
        <f>$M87*input!D85</f>
        <v>0</v>
      </c>
      <c r="E87" s="2">
        <f>$M87*input!E85</f>
        <v>0</v>
      </c>
      <c r="F87" s="2">
        <f>$M87*input!F85</f>
        <v>0</v>
      </c>
      <c r="G87" s="2">
        <f>$M87*input!G85</f>
        <v>0</v>
      </c>
      <c r="H87" s="2">
        <f>$M87*input!H85</f>
        <v>0</v>
      </c>
      <c r="I87" s="2">
        <f>$M87*input!I85</f>
        <v>0</v>
      </c>
      <c r="J87" s="2">
        <f>$M87*input!J85</f>
        <v>0</v>
      </c>
      <c r="K87" s="2">
        <f>$M87*input!K85</f>
        <v>0</v>
      </c>
      <c r="M87" s="1">
        <v>1</v>
      </c>
      <c r="N87" s="1" t="s">
        <v>377</v>
      </c>
    </row>
    <row r="88" spans="1:14" x14ac:dyDescent="0.15">
      <c r="A88" s="12" t="str">
        <f>input!A86</f>
        <v>C.III.7. Attività finanziarie per la gestione accentrata della tesoreria</v>
      </c>
      <c r="B88" s="2">
        <f>$M88*input!B86</f>
        <v>172696</v>
      </c>
      <c r="C88" s="2">
        <f>$M88*input!C86</f>
        <v>78779</v>
      </c>
      <c r="D88" s="2">
        <f>$M88*input!D86</f>
        <v>23280.93</v>
      </c>
      <c r="E88" s="2">
        <f>$M88*input!E86</f>
        <v>1667.84</v>
      </c>
      <c r="F88" s="2">
        <f>$M88*input!F86</f>
        <v>3191.2829999999999</v>
      </c>
      <c r="G88" s="2">
        <f>$M88*input!G86</f>
        <v>5278.7089999999998</v>
      </c>
      <c r="H88" s="2">
        <f>$M88*input!H86</f>
        <v>10360.552</v>
      </c>
      <c r="I88" s="2">
        <f>$M88*input!I86</f>
        <v>38187.913</v>
      </c>
      <c r="J88" s="2">
        <f>$M88*input!J86</f>
        <v>21298.503000000001</v>
      </c>
      <c r="K88" s="2">
        <f>$M88*input!K86</f>
        <v>0</v>
      </c>
      <c r="M88" s="1">
        <v>1</v>
      </c>
      <c r="N88" s="1" t="s">
        <v>264</v>
      </c>
    </row>
    <row r="89" spans="1:14" x14ac:dyDescent="0.15">
      <c r="A89" s="11" t="str">
        <f>input!A87</f>
        <v>C.IV. TOT. DISPON. LIQUIDE</v>
      </c>
      <c r="B89" s="2">
        <f>$M89*input!B87</f>
        <v>151710</v>
      </c>
      <c r="C89" s="2">
        <f>$M89*input!C87</f>
        <v>217986</v>
      </c>
      <c r="D89" s="2">
        <f>$M89*input!D87</f>
        <v>84396.581000000006</v>
      </c>
      <c r="E89" s="2">
        <f>$M89*input!E87</f>
        <v>99884.145999999993</v>
      </c>
      <c r="F89" s="2">
        <f>$M89*input!F87</f>
        <v>134782.76</v>
      </c>
      <c r="G89" s="2">
        <f>$M89*input!G87</f>
        <v>102706.058</v>
      </c>
      <c r="H89" s="2">
        <f>$M89*input!H87</f>
        <v>9543.1479999999992</v>
      </c>
      <c r="I89" s="2">
        <f>$M89*input!I87</f>
        <v>11525.562</v>
      </c>
      <c r="J89" s="2">
        <f>$M89*input!J87</f>
        <v>6768.4669999999996</v>
      </c>
      <c r="K89" s="2">
        <f>$M89*input!K87</f>
        <v>8542.9509999999991</v>
      </c>
      <c r="M89" s="1">
        <v>1</v>
      </c>
    </row>
    <row r="90" spans="1:14" x14ac:dyDescent="0.15">
      <c r="A90" s="12" t="str">
        <f>input!A88</f>
        <v>C.IV.1. Depositi bancari</v>
      </c>
      <c r="B90" s="2">
        <f>$M90*input!B88</f>
        <v>151686</v>
      </c>
      <c r="C90" s="2">
        <f>$M90*input!C88</f>
        <v>217926</v>
      </c>
      <c r="D90" s="2">
        <f>$M90*input!D88</f>
        <v>84346.945000000007</v>
      </c>
      <c r="E90" s="2">
        <f>$M90*input!E88</f>
        <v>99824.346000000005</v>
      </c>
      <c r="F90" s="2">
        <f>$M90*input!F88</f>
        <v>134694.236</v>
      </c>
      <c r="G90" s="2">
        <f>$M90*input!G88</f>
        <v>102618.291</v>
      </c>
      <c r="H90" s="2">
        <f>$M90*input!H88</f>
        <v>9451.3760000000002</v>
      </c>
      <c r="I90" s="2">
        <f>$M90*input!I88</f>
        <v>11392.255999999999</v>
      </c>
      <c r="J90" s="2">
        <f>$M90*input!J88</f>
        <v>6666.86</v>
      </c>
      <c r="K90" s="2">
        <f>$M90*input!K88</f>
        <v>8449.1939999999995</v>
      </c>
      <c r="M90" s="1">
        <v>1</v>
      </c>
      <c r="N90" s="1" t="s">
        <v>264</v>
      </c>
    </row>
    <row r="91" spans="1:14" x14ac:dyDescent="0.15">
      <c r="A91" s="12" t="str">
        <f>input!A89</f>
        <v>C.IV.2. Assegni</v>
      </c>
      <c r="B91" s="2">
        <f>$M91*input!B89</f>
        <v>0</v>
      </c>
      <c r="C91" s="2">
        <f>$M91*input!C89</f>
        <v>0</v>
      </c>
      <c r="D91" s="2">
        <f>$M91*input!D89</f>
        <v>0</v>
      </c>
      <c r="E91" s="2">
        <f>$M91*input!E89</f>
        <v>1.2549999999999999</v>
      </c>
      <c r="F91" s="2">
        <f>$M91*input!F89</f>
        <v>30.016999999999999</v>
      </c>
      <c r="G91" s="2">
        <f>$M91*input!G89</f>
        <v>0</v>
      </c>
      <c r="H91" s="2">
        <f>$M91*input!H89</f>
        <v>0</v>
      </c>
      <c r="I91" s="2">
        <f>$M91*input!I89</f>
        <v>1.639</v>
      </c>
      <c r="J91" s="2">
        <f>$M91*input!J89</f>
        <v>0</v>
      </c>
      <c r="K91" s="2">
        <f>$M91*input!K89</f>
        <v>0</v>
      </c>
      <c r="M91" s="1">
        <v>1</v>
      </c>
      <c r="N91" s="1" t="s">
        <v>264</v>
      </c>
    </row>
    <row r="92" spans="1:14" x14ac:dyDescent="0.15">
      <c r="A92" s="12" t="str">
        <f>input!A90</f>
        <v>C.IV.3. Denaro in cassa</v>
      </c>
      <c r="B92" s="2">
        <f>$M92*input!B90</f>
        <v>24</v>
      </c>
      <c r="C92" s="2">
        <f>$M92*input!C90</f>
        <v>60</v>
      </c>
      <c r="D92" s="2">
        <f>$M92*input!D90</f>
        <v>49.636000000000003</v>
      </c>
      <c r="E92" s="2">
        <f>$M92*input!E90</f>
        <v>58.545000000000002</v>
      </c>
      <c r="F92" s="2">
        <f>$M92*input!F90</f>
        <v>58.506999999999998</v>
      </c>
      <c r="G92" s="2">
        <f>$M92*input!G90</f>
        <v>87.766999999999996</v>
      </c>
      <c r="H92" s="2">
        <f>$M92*input!H90</f>
        <v>91.772000000000006</v>
      </c>
      <c r="I92" s="2">
        <f>$M92*input!I90</f>
        <v>131.667</v>
      </c>
      <c r="J92" s="2">
        <f>$M92*input!J90</f>
        <v>101.607</v>
      </c>
      <c r="K92" s="2">
        <f>$M92*input!K90</f>
        <v>93.757000000000005</v>
      </c>
      <c r="M92" s="1">
        <v>1</v>
      </c>
      <c r="N92" s="1" t="s">
        <v>264</v>
      </c>
    </row>
    <row r="93" spans="1:14" s="10" customFormat="1" ht="14" x14ac:dyDescent="0.15">
      <c r="A93" s="35" t="str">
        <f>input!A91</f>
        <v>D. RATEI E RISCONTI</v>
      </c>
      <c r="B93" s="36">
        <f>$M93*input!B91</f>
        <v>5495</v>
      </c>
      <c r="C93" s="36">
        <f>$M93*input!C91</f>
        <v>3920</v>
      </c>
      <c r="D93" s="36">
        <f>$M93*input!D91</f>
        <v>3803.0079999999998</v>
      </c>
      <c r="E93" s="36">
        <f>$M93*input!E91</f>
        <v>2622.9960000000001</v>
      </c>
      <c r="F93" s="36">
        <f>$M93*input!F91</f>
        <v>2341.9830000000002</v>
      </c>
      <c r="G93" s="36">
        <f>$M93*input!G91</f>
        <v>1486.9680000000001</v>
      </c>
      <c r="H93" s="36">
        <f>$M93*input!H91</f>
        <v>879.80799999999999</v>
      </c>
      <c r="I93" s="36">
        <f>$M93*input!I91</f>
        <v>874.59100000000001</v>
      </c>
      <c r="J93" s="36">
        <f>$M93*input!J91</f>
        <v>1037.3389999999999</v>
      </c>
      <c r="K93" s="36">
        <f>$M93*input!K91</f>
        <v>1262.259</v>
      </c>
      <c r="M93" s="10">
        <v>1</v>
      </c>
      <c r="N93" s="10" t="s">
        <v>259</v>
      </c>
    </row>
    <row r="94" spans="1:14" x14ac:dyDescent="0.15">
      <c r="A94" s="11" t="str">
        <f>input!A92</f>
        <v>Disaggio su prestiti</v>
      </c>
      <c r="B94" s="2">
        <f>$M94*input!B92</f>
        <v>0</v>
      </c>
      <c r="C94" s="2">
        <f>$M94*input!C92</f>
        <v>0</v>
      </c>
      <c r="D94" s="2">
        <f>$M94*input!D92</f>
        <v>0</v>
      </c>
      <c r="E94" s="2">
        <f>$M94*input!E92</f>
        <v>0</v>
      </c>
      <c r="F94" s="2">
        <f>$M94*input!F92</f>
        <v>0</v>
      </c>
      <c r="G94" s="2">
        <f>$M94*input!G92</f>
        <v>0</v>
      </c>
      <c r="H94" s="2">
        <f>$M94*input!H92</f>
        <v>0</v>
      </c>
      <c r="I94" s="2">
        <f>$M94*input!I92</f>
        <v>0</v>
      </c>
      <c r="J94" s="2">
        <f>$M94*input!J92</f>
        <v>0</v>
      </c>
      <c r="K94" s="2">
        <f>$M94*input!K92</f>
        <v>0</v>
      </c>
      <c r="M94" s="1">
        <v>1</v>
      </c>
    </row>
    <row r="95" spans="1:14" s="9" customFormat="1" ht="14" x14ac:dyDescent="0.15">
      <c r="A95" s="38" t="str">
        <f>input!A93</f>
        <v>TOTALE ATTIVO</v>
      </c>
      <c r="B95" s="39">
        <f>$M95*input!B93</f>
        <v>3790320</v>
      </c>
      <c r="C95" s="39">
        <f>$M95*input!C93</f>
        <v>1675063</v>
      </c>
      <c r="D95" s="39">
        <f>$M95*input!D93</f>
        <v>1536536.983</v>
      </c>
      <c r="E95" s="39">
        <f>$M95*input!E93</f>
        <v>1308756.7039999999</v>
      </c>
      <c r="F95" s="39">
        <f>$M95*input!F93</f>
        <v>1311132.3030000001</v>
      </c>
      <c r="G95" s="39">
        <f>$M95*input!G93</f>
        <v>741974.82499999995</v>
      </c>
      <c r="H95" s="39">
        <f>$M95*input!H93</f>
        <v>792683.74399999995</v>
      </c>
      <c r="I95" s="39">
        <f>$M95*input!I93</f>
        <v>788836.85400000005</v>
      </c>
      <c r="J95" s="39">
        <f>$M95*input!J93</f>
        <v>778185.56599999999</v>
      </c>
      <c r="K95" s="39">
        <f>$M95*input!K93</f>
        <v>780383.29399999999</v>
      </c>
      <c r="L95" s="10"/>
      <c r="M95" s="10">
        <v>1</v>
      </c>
    </row>
    <row r="96" spans="1:14" x14ac:dyDescent="0.15">
      <c r="A96" s="1"/>
    </row>
    <row r="97" spans="1:14" ht="18" x14ac:dyDescent="0.15">
      <c r="A97" s="37" t="str">
        <f>input!A94</f>
        <v>Passivo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8"/>
      <c r="M97" s="8"/>
    </row>
    <row r="98" spans="1:14" s="10" customFormat="1" ht="14" x14ac:dyDescent="0.15">
      <c r="A98" s="35" t="str">
        <f>input!A95</f>
        <v>PATRIMONIO NETTO</v>
      </c>
      <c r="B98" s="36">
        <f>$M98*input!B95</f>
        <v>0</v>
      </c>
      <c r="C98" s="36">
        <f>$M98*input!C95</f>
        <v>0</v>
      </c>
      <c r="D98" s="36">
        <f>$M98*input!D95</f>
        <v>0</v>
      </c>
      <c r="E98" s="36">
        <f>$M98*input!E95</f>
        <v>0</v>
      </c>
      <c r="F98" s="36">
        <f>$M98*input!F95</f>
        <v>0</v>
      </c>
      <c r="G98" s="36">
        <f>$M98*input!G95</f>
        <v>0</v>
      </c>
      <c r="H98" s="36">
        <f>$M98*input!H95</f>
        <v>0</v>
      </c>
      <c r="I98" s="36">
        <f>$M98*input!I95</f>
        <v>0</v>
      </c>
      <c r="J98" s="36">
        <f>$M98*input!J95</f>
        <v>0</v>
      </c>
      <c r="K98" s="36">
        <f>$M98*input!K95</f>
        <v>0</v>
      </c>
      <c r="M98" s="10">
        <v>1</v>
      </c>
    </row>
    <row r="99" spans="1:14" x14ac:dyDescent="0.15">
      <c r="A99" s="4" t="str">
        <f>input!A96</f>
        <v>A. TOTALE PATRIMONIO NETTO</v>
      </c>
      <c r="B99" s="2">
        <f>$M99*input!B96</f>
        <v>852247</v>
      </c>
      <c r="C99" s="2">
        <f>$M99*input!C96</f>
        <v>88219</v>
      </c>
      <c r="D99" s="2">
        <f>$M99*input!D96</f>
        <v>136548.72099999999</v>
      </c>
      <c r="E99" s="2">
        <f>$M99*input!E96</f>
        <v>117108.52099999999</v>
      </c>
      <c r="F99" s="2">
        <f>$M99*input!F96</f>
        <v>124862.24099999999</v>
      </c>
      <c r="G99" s="2">
        <f>$M99*input!G96</f>
        <v>344954.712</v>
      </c>
      <c r="H99" s="2">
        <f>$M99*input!H96</f>
        <v>348518.46299999999</v>
      </c>
      <c r="I99" s="2">
        <f>$M99*input!I96</f>
        <v>370611.08799999999</v>
      </c>
      <c r="J99" s="2">
        <f>$M99*input!J96</f>
        <v>351645.83</v>
      </c>
      <c r="K99" s="2">
        <f>$M99*input!K96</f>
        <v>318992.28200000001</v>
      </c>
      <c r="M99" s="1">
        <v>1</v>
      </c>
    </row>
    <row r="100" spans="1:14" x14ac:dyDescent="0.15">
      <c r="A100" s="11" t="str">
        <f>input!A97</f>
        <v>A.I. Capitale sociale</v>
      </c>
      <c r="B100" s="2">
        <f>$M100*input!B97</f>
        <v>40000</v>
      </c>
      <c r="C100" s="2">
        <f>$M100*input!C97</f>
        <v>40000</v>
      </c>
      <c r="D100" s="2">
        <f>$M100*input!D97</f>
        <v>40000.22</v>
      </c>
      <c r="E100" s="2">
        <f>$M100*input!E97</f>
        <v>40000.22</v>
      </c>
      <c r="F100" s="2">
        <f>$M100*input!F97</f>
        <v>40000.22</v>
      </c>
      <c r="G100" s="2">
        <f>$M100*input!G97</f>
        <v>40000.22</v>
      </c>
      <c r="H100" s="2">
        <f>$M100*input!H97</f>
        <v>40000.22</v>
      </c>
      <c r="I100" s="2">
        <f>$M100*input!I97</f>
        <v>40000.22</v>
      </c>
      <c r="J100" s="2">
        <f>$M100*input!J97</f>
        <v>40000.22</v>
      </c>
      <c r="K100" s="2">
        <f>$M100*input!K97</f>
        <v>40000.22</v>
      </c>
      <c r="M100" s="1">
        <v>1</v>
      </c>
      <c r="N100" s="1" t="s">
        <v>265</v>
      </c>
    </row>
    <row r="101" spans="1:14" x14ac:dyDescent="0.15">
      <c r="A101" s="12" t="str">
        <f>input!A98</f>
        <v>di cui: Versamenti soci in c/capitale</v>
      </c>
      <c r="B101" s="2">
        <f>$M101*input!B98</f>
        <v>0</v>
      </c>
      <c r="C101" s="2">
        <f>$M101*input!C98</f>
        <v>0</v>
      </c>
      <c r="D101" s="2">
        <f>$M101*input!D98</f>
        <v>4500</v>
      </c>
      <c r="E101" s="2">
        <f>$M101*input!E98</f>
        <v>0</v>
      </c>
      <c r="F101" s="2">
        <f>$M101*input!F98</f>
        <v>0</v>
      </c>
      <c r="G101" s="2">
        <f>$M101*input!G98</f>
        <v>9.8000000000000004E-2</v>
      </c>
      <c r="H101" s="2">
        <f>$M101*input!H98</f>
        <v>9.8000000000000004E-2</v>
      </c>
      <c r="I101" s="2">
        <f>$M101*input!I98</f>
        <v>9.8000000000000004E-2</v>
      </c>
      <c r="J101" s="2">
        <f>$M101*input!J98</f>
        <v>9.8000000000000004E-2</v>
      </c>
      <c r="K101" s="2">
        <f>$M101*input!K98</f>
        <v>9.8000000000000004E-2</v>
      </c>
      <c r="M101" s="1">
        <v>1</v>
      </c>
    </row>
    <row r="102" spans="1:14" x14ac:dyDescent="0.15">
      <c r="A102" s="12" t="str">
        <f>input!A99</f>
        <v>di cui: Versamenti in c/futuro aumento di capitale</v>
      </c>
      <c r="B102" s="2">
        <f>$M102*input!B99</f>
        <v>0</v>
      </c>
      <c r="C102" s="2">
        <f>$M102*input!C99</f>
        <v>0</v>
      </c>
      <c r="D102" s="2">
        <f>$M102*input!D99</f>
        <v>0</v>
      </c>
      <c r="E102" s="2">
        <f>$M102*input!E99</f>
        <v>0</v>
      </c>
      <c r="F102" s="2">
        <f>$M102*input!F99</f>
        <v>0</v>
      </c>
      <c r="G102" s="2">
        <f>$M102*input!G99</f>
        <v>0</v>
      </c>
      <c r="H102" s="2">
        <f>$M102*input!H99</f>
        <v>0</v>
      </c>
      <c r="I102" s="2">
        <f>$M102*input!I99</f>
        <v>0</v>
      </c>
      <c r="J102" s="2">
        <f>$M102*input!J99</f>
        <v>0</v>
      </c>
      <c r="K102" s="2">
        <f>$M102*input!K99</f>
        <v>0</v>
      </c>
      <c r="M102" s="1">
        <v>1</v>
      </c>
    </row>
    <row r="103" spans="1:14" x14ac:dyDescent="0.15">
      <c r="A103" s="12" t="str">
        <f>input!A100</f>
        <v>di cui: Versamenti in c/capitale</v>
      </c>
      <c r="B103" s="2">
        <f>$M103*input!B100</f>
        <v>0</v>
      </c>
      <c r="C103" s="2">
        <f>$M103*input!C100</f>
        <v>0</v>
      </c>
      <c r="D103" s="2">
        <f>$M103*input!D100</f>
        <v>0</v>
      </c>
      <c r="E103" s="2">
        <f>$M103*input!E100</f>
        <v>0</v>
      </c>
      <c r="F103" s="2">
        <f>$M103*input!F100</f>
        <v>0</v>
      </c>
      <c r="G103" s="2">
        <f>$M103*input!G100</f>
        <v>0</v>
      </c>
      <c r="H103" s="2">
        <f>$M103*input!H100</f>
        <v>0</v>
      </c>
      <c r="I103" s="2">
        <f>$M103*input!I100</f>
        <v>0</v>
      </c>
      <c r="J103" s="2">
        <f>$M103*input!J100</f>
        <v>0</v>
      </c>
      <c r="K103" s="2">
        <f>$M103*input!K100</f>
        <v>0</v>
      </c>
      <c r="M103" s="1">
        <v>1</v>
      </c>
    </row>
    <row r="104" spans="1:14" x14ac:dyDescent="0.15">
      <c r="A104" s="12" t="str">
        <f>input!A101</f>
        <v>di cui: Versamenti a copertura perdite</v>
      </c>
      <c r="B104" s="2">
        <f>$M104*input!B101</f>
        <v>0</v>
      </c>
      <c r="C104" s="2">
        <f>$M104*input!C101</f>
        <v>0</v>
      </c>
      <c r="D104" s="2">
        <f>$M104*input!D101</f>
        <v>0</v>
      </c>
      <c r="E104" s="2">
        <f>$M104*input!E101</f>
        <v>0</v>
      </c>
      <c r="F104" s="2">
        <f>$M104*input!F101</f>
        <v>0</v>
      </c>
      <c r="G104" s="2">
        <f>$M104*input!G101</f>
        <v>0</v>
      </c>
      <c r="H104" s="2">
        <f>$M104*input!H101</f>
        <v>0</v>
      </c>
      <c r="I104" s="2">
        <f>$M104*input!I101</f>
        <v>0</v>
      </c>
      <c r="J104" s="2">
        <f>$M104*input!J101</f>
        <v>0</v>
      </c>
      <c r="K104" s="2">
        <f>$M104*input!K101</f>
        <v>0</v>
      </c>
      <c r="M104" s="1">
        <v>1</v>
      </c>
    </row>
    <row r="105" spans="1:14" x14ac:dyDescent="0.15">
      <c r="A105" s="11" t="str">
        <f>input!A102</f>
        <v>A.II. Riserva da sovrapprezzo</v>
      </c>
      <c r="B105" s="2">
        <f>$M105*input!B102</f>
        <v>60241</v>
      </c>
      <c r="C105" s="2">
        <f>$M105*input!C102</f>
        <v>60241</v>
      </c>
      <c r="D105" s="2">
        <f>$M105*input!D102</f>
        <v>60241.453999999998</v>
      </c>
      <c r="E105" s="2">
        <f>$M105*input!E102</f>
        <v>60241.453999999998</v>
      </c>
      <c r="F105" s="2">
        <f>$M105*input!F102</f>
        <v>60241.453999999998</v>
      </c>
      <c r="G105" s="2">
        <f>$M105*input!G102</f>
        <v>51829.137999999999</v>
      </c>
      <c r="H105" s="2">
        <f>$M105*input!H102</f>
        <v>51829.137999999999</v>
      </c>
      <c r="I105" s="2">
        <f>$M105*input!I102</f>
        <v>51829.137999999999</v>
      </c>
      <c r="J105" s="2">
        <f>$M105*input!J102</f>
        <v>51829.137999999999</v>
      </c>
      <c r="K105" s="2">
        <f>$M105*input!K102</f>
        <v>51829.137999999999</v>
      </c>
      <c r="M105" s="1">
        <v>1</v>
      </c>
      <c r="N105" s="1" t="s">
        <v>265</v>
      </c>
    </row>
    <row r="106" spans="1:14" x14ac:dyDescent="0.15">
      <c r="A106" s="11" t="str">
        <f>input!A103</f>
        <v>A.III. Riserva di rivalutazione</v>
      </c>
      <c r="B106" s="2">
        <f>$M106*input!B103</f>
        <v>0</v>
      </c>
      <c r="C106" s="2">
        <f>$M106*input!C103</f>
        <v>0</v>
      </c>
      <c r="D106" s="2">
        <f>$M106*input!D103</f>
        <v>15471.903</v>
      </c>
      <c r="E106" s="2">
        <f>$M106*input!E103</f>
        <v>15471.903</v>
      </c>
      <c r="F106" s="2">
        <f>$M106*input!F103</f>
        <v>15471.903</v>
      </c>
      <c r="G106" s="2">
        <f>$M106*input!G103</f>
        <v>15471.903</v>
      </c>
      <c r="H106" s="2">
        <f>$M106*input!H103</f>
        <v>15471.903</v>
      </c>
      <c r="I106" s="2">
        <f>$M106*input!I103</f>
        <v>15471.903</v>
      </c>
      <c r="J106" s="2">
        <f>$M106*input!J103</f>
        <v>15471.903</v>
      </c>
      <c r="K106" s="2">
        <f>$M106*input!K103</f>
        <v>15471.903</v>
      </c>
      <c r="M106" s="1">
        <v>1</v>
      </c>
      <c r="N106" s="1" t="s">
        <v>266</v>
      </c>
    </row>
    <row r="107" spans="1:14" x14ac:dyDescent="0.15">
      <c r="A107" s="11" t="str">
        <f>input!A104</f>
        <v>A.IV. Riserva legale</v>
      </c>
      <c r="B107" s="2">
        <f>$M107*input!B104</f>
        <v>8000</v>
      </c>
      <c r="C107" s="2">
        <f>$M107*input!C104</f>
        <v>8000</v>
      </c>
      <c r="D107" s="2">
        <f>$M107*input!D104</f>
        <v>8000.0439999999999</v>
      </c>
      <c r="E107" s="2">
        <f>$M107*input!E104</f>
        <v>8000.0439999999999</v>
      </c>
      <c r="F107" s="2">
        <f>$M107*input!F104</f>
        <v>8000.0439999999999</v>
      </c>
      <c r="G107" s="2">
        <f>$M107*input!G104</f>
        <v>8000.0439999999999</v>
      </c>
      <c r="H107" s="2">
        <f>$M107*input!H104</f>
        <v>8000.0439999999999</v>
      </c>
      <c r="I107" s="2">
        <f>$M107*input!I104</f>
        <v>8000.0439999999999</v>
      </c>
      <c r="J107" s="2">
        <f>$M107*input!J104</f>
        <v>8000.0439999999999</v>
      </c>
      <c r="K107" s="2">
        <f>$M107*input!K104</f>
        <v>8000.0439999999999</v>
      </c>
      <c r="M107" s="1">
        <v>1</v>
      </c>
      <c r="N107" s="1" t="s">
        <v>267</v>
      </c>
    </row>
    <row r="108" spans="1:14" x14ac:dyDescent="0.15">
      <c r="A108" s="11" t="str">
        <f>input!A105</f>
        <v>A.V. Riserva statutaria</v>
      </c>
      <c r="B108" s="2">
        <f>$M108*input!B105</f>
        <v>0</v>
      </c>
      <c r="C108" s="2">
        <f>$M108*input!C105</f>
        <v>0</v>
      </c>
      <c r="D108" s="2">
        <f>$M108*input!D105</f>
        <v>0</v>
      </c>
      <c r="E108" s="2">
        <f>$M108*input!E105</f>
        <v>0</v>
      </c>
      <c r="F108" s="2">
        <f>$M108*input!F105</f>
        <v>0</v>
      </c>
      <c r="G108" s="2">
        <f>$M108*input!G105</f>
        <v>0</v>
      </c>
      <c r="H108" s="2">
        <f>$M108*input!H105</f>
        <v>0</v>
      </c>
      <c r="I108" s="2">
        <f>$M108*input!I105</f>
        <v>0</v>
      </c>
      <c r="J108" s="2">
        <f>$M108*input!J105</f>
        <v>0</v>
      </c>
      <c r="K108" s="2">
        <f>$M108*input!K105</f>
        <v>0</v>
      </c>
      <c r="M108" s="1">
        <v>1</v>
      </c>
      <c r="N108" s="1" t="s">
        <v>267</v>
      </c>
    </row>
    <row r="109" spans="1:14" x14ac:dyDescent="0.15">
      <c r="A109" s="12" t="str">
        <f>input!A106</f>
        <v>Riserva azioni proprie</v>
      </c>
      <c r="B109" s="2">
        <f>$M109*input!B106</f>
        <v>0</v>
      </c>
      <c r="C109" s="2">
        <f>$M109*input!C106</f>
        <v>0</v>
      </c>
      <c r="D109" s="2">
        <f>$M109*input!D106</f>
        <v>0</v>
      </c>
      <c r="E109" s="2">
        <f>$M109*input!E106</f>
        <v>0</v>
      </c>
      <c r="F109" s="2">
        <f>$M109*input!F106</f>
        <v>0</v>
      </c>
      <c r="G109" s="2">
        <f>$M109*input!G106</f>
        <v>0</v>
      </c>
      <c r="H109" s="2">
        <f>$M109*input!H106</f>
        <v>0</v>
      </c>
      <c r="I109" s="2">
        <f>$M109*input!I106</f>
        <v>0</v>
      </c>
      <c r="J109" s="2">
        <f>$M109*input!J106</f>
        <v>0</v>
      </c>
      <c r="K109" s="2">
        <f>$M109*input!K106</f>
        <v>0</v>
      </c>
      <c r="M109" s="1">
        <v>1</v>
      </c>
      <c r="N109" s="1" t="s">
        <v>255</v>
      </c>
    </row>
    <row r="110" spans="1:14" x14ac:dyDescent="0.15">
      <c r="A110" s="11" t="str">
        <f>input!A107</f>
        <v>A.VI. Altre riserve</v>
      </c>
      <c r="B110" s="2">
        <f>$M110*input!B107</f>
        <v>1178691</v>
      </c>
      <c r="C110" s="2">
        <f>$M110*input!C107</f>
        <v>96414</v>
      </c>
      <c r="D110" s="2">
        <f>$M110*input!D107</f>
        <v>62110.595000000001</v>
      </c>
      <c r="E110" s="2">
        <f>$M110*input!E107</f>
        <v>57610.595000000001</v>
      </c>
      <c r="F110" s="2">
        <f>$M110*input!F107</f>
        <v>57610.595000000001</v>
      </c>
      <c r="G110" s="2">
        <f>$M110*input!G107</f>
        <v>229217.15599999999</v>
      </c>
      <c r="H110" s="2">
        <f>$M110*input!H107</f>
        <v>227309.62899999999</v>
      </c>
      <c r="I110" s="2">
        <f>$M110*input!I107</f>
        <v>206344.36</v>
      </c>
      <c r="J110" s="2">
        <f>$M110*input!J107</f>
        <v>181690.85500000001</v>
      </c>
      <c r="K110" s="2">
        <f>$M110*input!K107</f>
        <v>164816.54699999999</v>
      </c>
      <c r="M110" s="1">
        <v>1</v>
      </c>
      <c r="N110" s="1" t="s">
        <v>267</v>
      </c>
    </row>
    <row r="111" spans="1:14" x14ac:dyDescent="0.15">
      <c r="A111" s="12" t="str">
        <f>input!A108</f>
        <v>Riserva da cons. del Gruppo</v>
      </c>
      <c r="B111" s="2">
        <f>$M111*input!B108</f>
        <v>0</v>
      </c>
      <c r="C111" s="2">
        <f>$M111*input!C108</f>
        <v>0</v>
      </c>
      <c r="D111" s="2">
        <f>$M111*input!D108</f>
        <v>0</v>
      </c>
      <c r="E111" s="2">
        <f>$M111*input!E108</f>
        <v>0</v>
      </c>
      <c r="F111" s="2">
        <f>$M111*input!F108</f>
        <v>0</v>
      </c>
      <c r="G111" s="2">
        <f>$M111*input!G108</f>
        <v>0</v>
      </c>
      <c r="H111" s="2">
        <f>$M111*input!H108</f>
        <v>0</v>
      </c>
      <c r="I111" s="2">
        <f>$M111*input!I108</f>
        <v>0</v>
      </c>
      <c r="J111" s="2">
        <f>$M111*input!J108</f>
        <v>0</v>
      </c>
      <c r="K111" s="2">
        <f>$M111*input!K108</f>
        <v>0</v>
      </c>
      <c r="M111" s="1">
        <v>1</v>
      </c>
    </row>
    <row r="112" spans="1:14" x14ac:dyDescent="0.15">
      <c r="A112" s="11" t="str">
        <f>input!A109</f>
        <v>A.VII. Riserva per operazioni di copertura dei flussi finanziari attesi</v>
      </c>
      <c r="B112" s="2">
        <f>$M112*input!B109</f>
        <v>0</v>
      </c>
      <c r="C112" s="2">
        <f>$M112*input!C109</f>
        <v>0</v>
      </c>
      <c r="D112" s="2">
        <f>$M112*input!D109</f>
        <v>-262.94200000000001</v>
      </c>
      <c r="E112" s="2">
        <f>$M112*input!E109</f>
        <v>2549.3290000000002</v>
      </c>
      <c r="F112" s="2">
        <f>$M112*input!F109</f>
        <v>-1033.3230000000001</v>
      </c>
      <c r="G112" s="2">
        <f>$M112*input!G109</f>
        <v>0</v>
      </c>
      <c r="H112" s="2">
        <f>$M112*input!H109</f>
        <v>0</v>
      </c>
      <c r="I112" s="2">
        <f>$M112*input!I109</f>
        <v>0</v>
      </c>
      <c r="J112" s="2">
        <f>$M112*input!J109</f>
        <v>0</v>
      </c>
      <c r="K112" s="2">
        <f>$M112*input!K109</f>
        <v>0</v>
      </c>
      <c r="M112" s="1">
        <v>1</v>
      </c>
      <c r="N112" s="1" t="s">
        <v>266</v>
      </c>
    </row>
    <row r="113" spans="1:14" x14ac:dyDescent="0.15">
      <c r="A113" s="11" t="str">
        <f>input!A110</f>
        <v>A.VIII. Utile/perdita a nuovo</v>
      </c>
      <c r="B113" s="2">
        <f>$M113*input!B110</f>
        <v>-109768</v>
      </c>
      <c r="C113" s="2">
        <f>$M113*input!C110</f>
        <v>-52144</v>
      </c>
      <c r="D113" s="2">
        <f>$M113*input!D110</f>
        <v>-66765.024000000005</v>
      </c>
      <c r="E113" s="2">
        <f>$M113*input!E110</f>
        <v>-55428.652000000002</v>
      </c>
      <c r="F113" s="2">
        <f>$M113*input!F110</f>
        <v>0</v>
      </c>
      <c r="G113" s="2">
        <f>$M113*input!G110</f>
        <v>0</v>
      </c>
      <c r="H113" s="2">
        <f>$M113*input!H110</f>
        <v>0</v>
      </c>
      <c r="I113" s="2">
        <f>$M113*input!I110</f>
        <v>0</v>
      </c>
      <c r="J113" s="2">
        <f>$M113*input!J110</f>
        <v>0</v>
      </c>
      <c r="K113" s="2">
        <f>$M113*input!K110</f>
        <v>0</v>
      </c>
      <c r="M113" s="1">
        <v>1</v>
      </c>
      <c r="N113" s="1" t="s">
        <v>267</v>
      </c>
    </row>
    <row r="114" spans="1:14" x14ac:dyDescent="0.15">
      <c r="A114" s="11" t="str">
        <f>input!A111</f>
        <v>A.IX. Utile/perdita di esercizio</v>
      </c>
      <c r="B114" s="2">
        <f>$M114*input!B111</f>
        <v>-324917</v>
      </c>
      <c r="C114" s="2">
        <f>$M114*input!C111</f>
        <v>-64292</v>
      </c>
      <c r="D114" s="2">
        <f>$M114*input!D111</f>
        <v>17752.471000000001</v>
      </c>
      <c r="E114" s="2">
        <f>$M114*input!E111</f>
        <v>-11336.371999999999</v>
      </c>
      <c r="F114" s="2">
        <f>$M114*input!F111</f>
        <v>-55428.652000000002</v>
      </c>
      <c r="G114" s="2">
        <f>$M114*input!G111</f>
        <v>436.25099999999998</v>
      </c>
      <c r="H114" s="2">
        <f>$M114*input!H111</f>
        <v>5907.5290000000005</v>
      </c>
      <c r="I114" s="2">
        <f>$M114*input!I111</f>
        <v>48965.423000000003</v>
      </c>
      <c r="J114" s="2">
        <f>$M114*input!J111</f>
        <v>54653.67</v>
      </c>
      <c r="K114" s="2">
        <f>$M114*input!K111</f>
        <v>38874.43</v>
      </c>
      <c r="M114" s="1">
        <v>1</v>
      </c>
      <c r="N114" s="1" t="s">
        <v>268</v>
      </c>
    </row>
    <row r="115" spans="1:14" x14ac:dyDescent="0.15">
      <c r="A115" s="12" t="str">
        <f>input!A112</f>
        <v>Acconto dividendi</v>
      </c>
      <c r="B115" s="2">
        <f>$M115*input!B112</f>
        <v>0</v>
      </c>
      <c r="C115" s="2">
        <f>$M115*input!C112</f>
        <v>0</v>
      </c>
      <c r="D115" s="2">
        <f>$M115*input!D112</f>
        <v>0</v>
      </c>
      <c r="E115" s="2">
        <f>$M115*input!E112</f>
        <v>0</v>
      </c>
      <c r="F115" s="2">
        <f>$M115*input!F112</f>
        <v>0</v>
      </c>
      <c r="G115" s="2">
        <f>$M115*input!G112</f>
        <v>0</v>
      </c>
      <c r="H115" s="2">
        <f>$M115*input!H112</f>
        <v>0</v>
      </c>
      <c r="I115" s="2">
        <f>$M115*input!I112</f>
        <v>0</v>
      </c>
      <c r="J115" s="2">
        <f>$M115*input!J112</f>
        <v>0</v>
      </c>
      <c r="K115" s="2">
        <f>$M115*input!K112</f>
        <v>0</v>
      </c>
      <c r="M115" s="1">
        <v>1</v>
      </c>
    </row>
    <row r="116" spans="1:14" x14ac:dyDescent="0.15">
      <c r="A116" s="12" t="str">
        <f>input!A113</f>
        <v>Copertura parziale perdita di esercizio</v>
      </c>
      <c r="B116" s="2">
        <f>$M116*input!B113</f>
        <v>0</v>
      </c>
      <c r="C116" s="2">
        <f>$M116*input!C113</f>
        <v>0</v>
      </c>
      <c r="D116" s="2">
        <f>$M116*input!D113</f>
        <v>0</v>
      </c>
      <c r="E116" s="2">
        <f>$M116*input!E113</f>
        <v>0</v>
      </c>
      <c r="F116" s="2">
        <f>$M116*input!F113</f>
        <v>0</v>
      </c>
      <c r="G116" s="2">
        <f>$M116*input!G113</f>
        <v>0</v>
      </c>
      <c r="H116" s="2">
        <f>$M116*input!H113</f>
        <v>0</v>
      </c>
      <c r="I116" s="2">
        <f>$M116*input!I113</f>
        <v>0</v>
      </c>
      <c r="J116" s="2">
        <f>$M116*input!J113</f>
        <v>0</v>
      </c>
      <c r="K116" s="2">
        <f>$M116*input!K113</f>
        <v>0</v>
      </c>
      <c r="M116" s="1">
        <v>1</v>
      </c>
    </row>
    <row r="117" spans="1:14" x14ac:dyDescent="0.15">
      <c r="A117" s="11" t="str">
        <f>input!A114</f>
        <v>A.X. Riserva negativa per azioni proprie in portafoglio (+/-)</v>
      </c>
      <c r="B117" s="2">
        <f>$M117*input!B114</f>
        <v>0</v>
      </c>
      <c r="C117" s="2">
        <f>$M117*input!C114</f>
        <v>0</v>
      </c>
      <c r="D117" s="2">
        <f>$M117*input!D114</f>
        <v>0</v>
      </c>
      <c r="E117" s="2">
        <f>$M117*input!E114</f>
        <v>0</v>
      </c>
      <c r="F117" s="2">
        <f>$M117*input!F114</f>
        <v>0</v>
      </c>
      <c r="G117" s="2">
        <f>$M117*input!G114</f>
        <v>0</v>
      </c>
      <c r="H117" s="2">
        <f>$M117*input!H114</f>
        <v>0</v>
      </c>
      <c r="I117" s="2">
        <f>$M117*input!I114</f>
        <v>0</v>
      </c>
      <c r="J117" s="2">
        <f>$M117*input!J114</f>
        <v>0</v>
      </c>
      <c r="K117" s="2">
        <f>$M117*input!K114</f>
        <v>0</v>
      </c>
      <c r="M117" s="1">
        <v>1</v>
      </c>
      <c r="N117" s="1" t="s">
        <v>255</v>
      </c>
    </row>
    <row r="118" spans="1:14" x14ac:dyDescent="0.15">
      <c r="A118" s="4" t="str">
        <f>input!A115</f>
        <v>TOTALE PATRIMONIO DEL GRUPPO</v>
      </c>
      <c r="B118" s="2">
        <f>$M118*input!B115</f>
        <v>0</v>
      </c>
      <c r="C118" s="2">
        <f>$M118*input!C115</f>
        <v>0</v>
      </c>
      <c r="D118" s="2">
        <f>$M118*input!D115</f>
        <v>0</v>
      </c>
      <c r="E118" s="2">
        <f>$M118*input!E115</f>
        <v>0</v>
      </c>
      <c r="F118" s="2">
        <f>$M118*input!F115</f>
        <v>0</v>
      </c>
      <c r="G118" s="2">
        <f>$M118*input!G115</f>
        <v>0</v>
      </c>
      <c r="H118" s="2">
        <f>$M118*input!H115</f>
        <v>0</v>
      </c>
      <c r="I118" s="2">
        <f>$M118*input!I115</f>
        <v>0</v>
      </c>
      <c r="J118" s="2">
        <f>$M118*input!J115</f>
        <v>0</v>
      </c>
      <c r="K118" s="2">
        <f>$M118*input!K115</f>
        <v>0</v>
      </c>
      <c r="M118" s="1">
        <v>1</v>
      </c>
    </row>
    <row r="119" spans="1:14" x14ac:dyDescent="0.15">
      <c r="A119" s="4" t="str">
        <f>input!A116</f>
        <v>Capitale e riserve di pertinenza di TERZI</v>
      </c>
      <c r="B119" s="2">
        <f>$M119*input!B116</f>
        <v>0</v>
      </c>
      <c r="C119" s="2">
        <f>$M119*input!C116</f>
        <v>0</v>
      </c>
      <c r="D119" s="2">
        <f>$M119*input!D116</f>
        <v>0</v>
      </c>
      <c r="E119" s="2">
        <f>$M119*input!E116</f>
        <v>0</v>
      </c>
      <c r="F119" s="2">
        <f>$M119*input!F116</f>
        <v>0</v>
      </c>
      <c r="G119" s="2">
        <f>$M119*input!G116</f>
        <v>0</v>
      </c>
      <c r="H119" s="2">
        <f>$M119*input!H116</f>
        <v>0</v>
      </c>
      <c r="I119" s="2">
        <f>$M119*input!I116</f>
        <v>0</v>
      </c>
      <c r="J119" s="2">
        <f>$M119*input!J116</f>
        <v>0</v>
      </c>
      <c r="K119" s="2">
        <f>$M119*input!K116</f>
        <v>0</v>
      </c>
      <c r="M119" s="1">
        <v>1</v>
      </c>
    </row>
    <row r="120" spans="1:14" x14ac:dyDescent="0.15">
      <c r="A120" s="4" t="str">
        <f>input!A117</f>
        <v>di cui: per imposte differite</v>
      </c>
      <c r="B120" s="2">
        <f>$M120*input!B117</f>
        <v>80578</v>
      </c>
      <c r="C120" s="2">
        <f>$M120*input!C117</f>
        <v>24669</v>
      </c>
      <c r="D120" s="2">
        <f>$M120*input!D117</f>
        <v>0</v>
      </c>
      <c r="E120" s="2">
        <f>$M120*input!E117</f>
        <v>0</v>
      </c>
      <c r="F120" s="2">
        <f>$M120*input!F117</f>
        <v>0</v>
      </c>
      <c r="G120" s="2">
        <f>$M120*input!G117</f>
        <v>0</v>
      </c>
      <c r="H120" s="2">
        <f>$M120*input!H117</f>
        <v>0</v>
      </c>
      <c r="I120" s="2">
        <f>$M120*input!I117</f>
        <v>0</v>
      </c>
      <c r="J120" s="2">
        <f>$M120*input!J117</f>
        <v>0</v>
      </c>
      <c r="K120" s="2">
        <f>$M120*input!K117</f>
        <v>0</v>
      </c>
      <c r="M120" s="1">
        <v>1</v>
      </c>
    </row>
    <row r="121" spans="1:14" x14ac:dyDescent="0.15">
      <c r="A121" s="4" t="str">
        <f>input!A118</f>
        <v>Utile/perdita di es. di pertinenza di TERZI</v>
      </c>
      <c r="B121" s="2">
        <f>$M121*input!B118</f>
        <v>0</v>
      </c>
      <c r="C121" s="2">
        <f>$M121*input!C118</f>
        <v>0</v>
      </c>
      <c r="D121" s="2">
        <f>$M121*input!D118</f>
        <v>0</v>
      </c>
      <c r="E121" s="2">
        <f>$M121*input!E118</f>
        <v>0</v>
      </c>
      <c r="F121" s="2">
        <f>$M121*input!F118</f>
        <v>0</v>
      </c>
      <c r="G121" s="2">
        <f>$M121*input!G118</f>
        <v>0</v>
      </c>
      <c r="H121" s="2">
        <f>$M121*input!H118</f>
        <v>0</v>
      </c>
      <c r="I121" s="2">
        <f>$M121*input!I118</f>
        <v>0</v>
      </c>
      <c r="J121" s="2">
        <f>$M121*input!J118</f>
        <v>0</v>
      </c>
      <c r="K121" s="2">
        <f>$M121*input!K118</f>
        <v>0</v>
      </c>
      <c r="M121" s="1">
        <v>1</v>
      </c>
    </row>
    <row r="122" spans="1:14" x14ac:dyDescent="0.15">
      <c r="A122" s="4" t="str">
        <f>input!A119</f>
        <v>TOTALE PATRIMONIO DI TERZI</v>
      </c>
      <c r="B122" s="2">
        <f>$M122*input!B119</f>
        <v>0</v>
      </c>
      <c r="C122" s="2">
        <f>$M122*input!C119</f>
        <v>0</v>
      </c>
      <c r="D122" s="2">
        <f>$M122*input!D119</f>
        <v>0</v>
      </c>
      <c r="E122" s="2">
        <f>$M122*input!E119</f>
        <v>0</v>
      </c>
      <c r="F122" s="2">
        <f>$M122*input!F119</f>
        <v>0</v>
      </c>
      <c r="G122" s="2">
        <f>$M122*input!G119</f>
        <v>0</v>
      </c>
      <c r="H122" s="2">
        <f>$M122*input!H119</f>
        <v>0</v>
      </c>
      <c r="I122" s="2">
        <f>$M122*input!I119</f>
        <v>0</v>
      </c>
      <c r="J122" s="2">
        <f>$M122*input!J119</f>
        <v>0</v>
      </c>
      <c r="K122" s="2">
        <f>$M122*input!K119</f>
        <v>0</v>
      </c>
      <c r="M122" s="1">
        <v>1</v>
      </c>
      <c r="N122" s="1" t="s">
        <v>269</v>
      </c>
    </row>
    <row r="123" spans="1:14" s="10" customFormat="1" ht="14" x14ac:dyDescent="0.15">
      <c r="A123" s="35" t="str">
        <f>input!A120</f>
        <v>B. TOTALE FONDI RISCHI</v>
      </c>
      <c r="B123" s="36">
        <f>$M123*input!B120</f>
        <v>135061</v>
      </c>
      <c r="C123" s="36">
        <f>$M123*input!C120</f>
        <v>57173</v>
      </c>
      <c r="D123" s="36">
        <f>$M123*input!D120</f>
        <v>62323.983999999997</v>
      </c>
      <c r="E123" s="36">
        <f>$M123*input!E120</f>
        <v>44749.963000000003</v>
      </c>
      <c r="F123" s="36">
        <f>$M123*input!F120</f>
        <v>48860.097999999998</v>
      </c>
      <c r="G123" s="36">
        <f>$M123*input!G120</f>
        <v>35195.697999999997</v>
      </c>
      <c r="H123" s="36">
        <f>$M123*input!H120</f>
        <v>32083.278999999999</v>
      </c>
      <c r="I123" s="36">
        <f>$M123*input!I120</f>
        <v>26576.013999999999</v>
      </c>
      <c r="J123" s="36">
        <f>$M123*input!J120</f>
        <v>17047.620999999999</v>
      </c>
      <c r="K123" s="36">
        <f>$M123*input!K120</f>
        <v>9555.9650000000001</v>
      </c>
      <c r="M123" s="10">
        <v>1</v>
      </c>
    </row>
    <row r="124" spans="1:14" x14ac:dyDescent="0.15">
      <c r="A124" s="11" t="str">
        <f>input!A121</f>
        <v>B.1. Fondo di Quiescenza</v>
      </c>
      <c r="B124" s="2">
        <f>$M124*input!B121</f>
        <v>0</v>
      </c>
      <c r="C124" s="2">
        <f>$M124*input!C121</f>
        <v>0</v>
      </c>
      <c r="D124" s="2">
        <f>$M124*input!D121</f>
        <v>3147.9960000000001</v>
      </c>
      <c r="E124" s="2">
        <f>$M124*input!E121</f>
        <v>3285.884</v>
      </c>
      <c r="F124" s="2">
        <f>$M124*input!F121</f>
        <v>3469.663</v>
      </c>
      <c r="G124" s="2">
        <f>$M124*input!G121</f>
        <v>3697.5169999999998</v>
      </c>
      <c r="H124" s="2">
        <f>$M124*input!H121</f>
        <v>3452.0909999999999</v>
      </c>
      <c r="I124" s="2">
        <f>$M124*input!I121</f>
        <v>3309.4319999999998</v>
      </c>
      <c r="J124" s="2">
        <f>$M124*input!J121</f>
        <v>2693.3980000000001</v>
      </c>
      <c r="K124" s="2">
        <f>$M124*input!K121</f>
        <v>2418.9299999999998</v>
      </c>
      <c r="M124" s="1">
        <v>1</v>
      </c>
      <c r="N124" s="1" t="s">
        <v>270</v>
      </c>
    </row>
    <row r="125" spans="1:14" x14ac:dyDescent="0.15">
      <c r="A125" s="11" t="str">
        <f>input!A122</f>
        <v>B.2. Fondo Imposte anche differite</v>
      </c>
      <c r="B125" s="2">
        <f>$M125*input!B122</f>
        <v>80578</v>
      </c>
      <c r="C125" s="2">
        <f>$M125*input!C122</f>
        <v>24669</v>
      </c>
      <c r="D125" s="2">
        <f>$M125*input!D122</f>
        <v>17588.982</v>
      </c>
      <c r="E125" s="2">
        <f>$M125*input!E122</f>
        <v>16566.298999999999</v>
      </c>
      <c r="F125" s="2">
        <f>$M125*input!F122</f>
        <v>16422.796999999999</v>
      </c>
      <c r="G125" s="2">
        <f>$M125*input!G122</f>
        <v>0</v>
      </c>
      <c r="H125" s="2">
        <f>$M125*input!H122</f>
        <v>0</v>
      </c>
      <c r="I125" s="2">
        <f>$M125*input!I122</f>
        <v>0</v>
      </c>
      <c r="J125" s="2">
        <f>$M125*input!J122</f>
        <v>0</v>
      </c>
      <c r="K125" s="2">
        <f>$M125*input!K122</f>
        <v>0</v>
      </c>
      <c r="M125" s="1">
        <v>1</v>
      </c>
      <c r="N125" s="1" t="s">
        <v>271</v>
      </c>
    </row>
    <row r="126" spans="1:14" x14ac:dyDescent="0.15">
      <c r="A126" s="11" t="str">
        <f>input!A123</f>
        <v>B.3. Strumenti finanziari derivati passivi</v>
      </c>
      <c r="B126" s="2">
        <f>$M126*input!B123</f>
        <v>1959</v>
      </c>
      <c r="C126" s="2">
        <f>$M126*input!C123</f>
        <v>16010</v>
      </c>
      <c r="D126" s="2">
        <f>$M126*input!D123</f>
        <v>14734.732</v>
      </c>
      <c r="E126" s="2">
        <f>$M126*input!E123</f>
        <v>620.45799999999997</v>
      </c>
      <c r="F126" s="2">
        <f>$M126*input!F123</f>
        <v>2147.741</v>
      </c>
      <c r="G126" s="2">
        <f>$M126*input!G123</f>
        <v>136.01300000000001</v>
      </c>
      <c r="H126" s="2">
        <f>$M126*input!H123</f>
        <v>12.057</v>
      </c>
      <c r="I126" s="2">
        <f>$M126*input!I123</f>
        <v>532.53399999999999</v>
      </c>
      <c r="J126" s="2">
        <f>$M126*input!J123</f>
        <v>157.47200000000001</v>
      </c>
      <c r="K126" s="2">
        <f>$M126*input!K123</f>
        <v>0</v>
      </c>
      <c r="M126" s="1">
        <v>1</v>
      </c>
      <c r="N126" s="1" t="s">
        <v>272</v>
      </c>
    </row>
    <row r="127" spans="1:14" x14ac:dyDescent="0.15">
      <c r="A127" s="11" t="str">
        <f>input!A124</f>
        <v>B.4. Altri Fondi</v>
      </c>
      <c r="B127" s="2">
        <f>$M127*input!B124</f>
        <v>52524</v>
      </c>
      <c r="C127" s="2">
        <f>$M127*input!C124</f>
        <v>16494</v>
      </c>
      <c r="D127" s="2">
        <f>$M127*input!D124</f>
        <v>26852.274000000001</v>
      </c>
      <c r="E127" s="2">
        <f>$M127*input!E124</f>
        <v>24277.322</v>
      </c>
      <c r="F127" s="2">
        <f>$M127*input!F124</f>
        <v>26819.897000000001</v>
      </c>
      <c r="G127" s="2">
        <f>$M127*input!G124</f>
        <v>31362.168000000001</v>
      </c>
      <c r="H127" s="2">
        <f>$M127*input!H124</f>
        <v>28619.131000000001</v>
      </c>
      <c r="I127" s="2">
        <f>$M127*input!I124</f>
        <v>22734.047999999999</v>
      </c>
      <c r="J127" s="2">
        <f>$M127*input!J124</f>
        <v>14196.751</v>
      </c>
      <c r="K127" s="2">
        <f>$M127*input!K124</f>
        <v>7137.0349999999999</v>
      </c>
      <c r="M127" s="1">
        <v>1</v>
      </c>
      <c r="N127" s="1" t="s">
        <v>270</v>
      </c>
    </row>
    <row r="128" spans="1:14" x14ac:dyDescent="0.15">
      <c r="A128" s="12" t="str">
        <f>input!A125</f>
        <v>di cui : fondo di consolidamento</v>
      </c>
      <c r="B128" s="2">
        <f>$M128*input!B125</f>
        <v>0</v>
      </c>
      <c r="C128" s="2">
        <f>$M128*input!C125</f>
        <v>0</v>
      </c>
      <c r="D128" s="2">
        <f>$M128*input!D125</f>
        <v>0</v>
      </c>
      <c r="E128" s="2">
        <f>$M128*input!E125</f>
        <v>0</v>
      </c>
      <c r="F128" s="2">
        <f>$M128*input!F125</f>
        <v>0</v>
      </c>
      <c r="G128" s="2">
        <f>$M128*input!G125</f>
        <v>0</v>
      </c>
      <c r="H128" s="2">
        <f>$M128*input!H125</f>
        <v>0</v>
      </c>
      <c r="I128" s="2">
        <f>$M128*input!I125</f>
        <v>0</v>
      </c>
      <c r="J128" s="2">
        <f>$M128*input!J125</f>
        <v>0</v>
      </c>
      <c r="K128" s="2">
        <f>$M128*input!K125</f>
        <v>0</v>
      </c>
      <c r="M128" s="1">
        <v>1</v>
      </c>
    </row>
    <row r="129" spans="1:14" s="10" customFormat="1" ht="14" x14ac:dyDescent="0.15">
      <c r="A129" s="35" t="str">
        <f>input!A126</f>
        <v>C. TRATTAMENTO DI FINE RAPPORTO</v>
      </c>
      <c r="B129" s="36">
        <f>$M129*input!B126</f>
        <v>6126</v>
      </c>
      <c r="C129" s="36">
        <f>$M129*input!C126</f>
        <v>7190</v>
      </c>
      <c r="D129" s="36">
        <f>$M129*input!D126</f>
        <v>9844.1450000000004</v>
      </c>
      <c r="E129" s="36">
        <f>$M129*input!E126</f>
        <v>9804.3629999999994</v>
      </c>
      <c r="F129" s="36">
        <f>$M129*input!F126</f>
        <v>11127.204</v>
      </c>
      <c r="G129" s="36">
        <f>$M129*input!G126</f>
        <v>13315.664000000001</v>
      </c>
      <c r="H129" s="36">
        <f>$M129*input!H126</f>
        <v>14615.308000000001</v>
      </c>
      <c r="I129" s="36">
        <f>$M129*input!I126</f>
        <v>15818.5</v>
      </c>
      <c r="J129" s="36">
        <f>$M129*input!J126</f>
        <v>16934.441999999999</v>
      </c>
      <c r="K129" s="36">
        <f>$M129*input!K126</f>
        <v>17851.923999999999</v>
      </c>
      <c r="M129" s="10">
        <v>1</v>
      </c>
      <c r="N129" s="10" t="s">
        <v>273</v>
      </c>
    </row>
    <row r="130" spans="1:14" x14ac:dyDescent="0.15">
      <c r="A130" s="4" t="str">
        <f>input!A127</f>
        <v>Debiti</v>
      </c>
      <c r="B130" s="2">
        <f>$M130*input!B127</f>
        <v>0</v>
      </c>
      <c r="C130" s="2">
        <f>$M130*input!C127</f>
        <v>0</v>
      </c>
      <c r="D130" s="2">
        <f>$M130*input!D127</f>
        <v>0</v>
      </c>
      <c r="E130" s="2">
        <f>$M130*input!E127</f>
        <v>0</v>
      </c>
      <c r="F130" s="2">
        <f>$M130*input!F127</f>
        <v>0</v>
      </c>
      <c r="G130" s="2">
        <f>$M130*input!G127</f>
        <v>0</v>
      </c>
      <c r="H130" s="2">
        <f>$M130*input!H127</f>
        <v>0</v>
      </c>
      <c r="I130" s="2">
        <f>$M130*input!I127</f>
        <v>0</v>
      </c>
      <c r="J130" s="2">
        <f>$M130*input!J127</f>
        <v>0</v>
      </c>
      <c r="K130" s="2">
        <f>$M130*input!K127</f>
        <v>0</v>
      </c>
      <c r="M130" s="1">
        <v>1</v>
      </c>
    </row>
    <row r="131" spans="1:14" s="10" customFormat="1" ht="14" x14ac:dyDescent="0.15">
      <c r="A131" s="35" t="str">
        <f>input!A128</f>
        <v>D. TOTALE DEBITI</v>
      </c>
      <c r="B131" s="36">
        <f>$M131*input!B128</f>
        <v>2796886</v>
      </c>
      <c r="C131" s="36">
        <f>$M131*input!C128</f>
        <v>1522481</v>
      </c>
      <c r="D131" s="36">
        <f>$M131*input!D128</f>
        <v>1327820.1329999999</v>
      </c>
      <c r="E131" s="36">
        <f>$M131*input!E128</f>
        <v>1136860.6780000001</v>
      </c>
      <c r="F131" s="36">
        <f>$M131*input!F128</f>
        <v>1126282.76</v>
      </c>
      <c r="G131" s="36">
        <f>$M131*input!G128</f>
        <v>348491.18699999998</v>
      </c>
      <c r="H131" s="36">
        <f>$M131*input!H128</f>
        <v>397384.07400000002</v>
      </c>
      <c r="I131" s="36">
        <f>$M131*input!I128</f>
        <v>375606.89899999998</v>
      </c>
      <c r="J131" s="36">
        <f>$M131*input!J128</f>
        <v>392361.15700000001</v>
      </c>
      <c r="K131" s="36">
        <f>$M131*input!K128</f>
        <v>433764.14600000001</v>
      </c>
      <c r="M131" s="10">
        <v>1</v>
      </c>
    </row>
    <row r="132" spans="1:14" x14ac:dyDescent="0.15">
      <c r="A132" s="11" t="str">
        <f>input!A129</f>
        <v>D.1. Obblig.ni entro</v>
      </c>
      <c r="B132" s="2">
        <f>$M132*input!B129</f>
        <v>6783</v>
      </c>
      <c r="C132" s="2">
        <f>$M132*input!C129</f>
        <v>0</v>
      </c>
      <c r="D132" s="2">
        <f>$M132*input!D129</f>
        <v>0</v>
      </c>
      <c r="E132" s="2">
        <f>$M132*input!E129</f>
        <v>0</v>
      </c>
      <c r="F132" s="2">
        <f>$M132*input!F129</f>
        <v>0</v>
      </c>
      <c r="G132" s="2">
        <f>$M132*input!G129</f>
        <v>0</v>
      </c>
      <c r="H132" s="2">
        <f>$M132*input!H129</f>
        <v>0</v>
      </c>
      <c r="I132" s="2">
        <f>$M132*input!I129</f>
        <v>0</v>
      </c>
      <c r="J132" s="2">
        <f>$M132*input!J129</f>
        <v>0</v>
      </c>
      <c r="K132" s="2">
        <f>$M132*input!K129</f>
        <v>0</v>
      </c>
      <c r="M132" s="1">
        <v>1</v>
      </c>
      <c r="N132" s="1" t="s">
        <v>275</v>
      </c>
    </row>
    <row r="133" spans="1:14" x14ac:dyDescent="0.15">
      <c r="A133" s="11" t="str">
        <f>input!A130</f>
        <v>D.1. Obblig.ni oltre</v>
      </c>
      <c r="B133" s="2">
        <f>$M133*input!B130</f>
        <v>1069074</v>
      </c>
      <c r="C133" s="2">
        <f>$M133*input!C130</f>
        <v>0</v>
      </c>
      <c r="D133" s="2">
        <f>$M133*input!D130</f>
        <v>0</v>
      </c>
      <c r="E133" s="2">
        <f>$M133*input!E130</f>
        <v>0</v>
      </c>
      <c r="F133" s="2">
        <f>$M133*input!F130</f>
        <v>0</v>
      </c>
      <c r="G133" s="2">
        <f>$M133*input!G130</f>
        <v>0</v>
      </c>
      <c r="H133" s="2">
        <f>$M133*input!H130</f>
        <v>0</v>
      </c>
      <c r="I133" s="2">
        <f>$M133*input!I130</f>
        <v>0</v>
      </c>
      <c r="J133" s="2">
        <f>$M133*input!J130</f>
        <v>0</v>
      </c>
      <c r="K133" s="2">
        <f>$M133*input!K130</f>
        <v>0</v>
      </c>
      <c r="M133" s="1">
        <v>1</v>
      </c>
      <c r="N133" s="1" t="s">
        <v>275</v>
      </c>
    </row>
    <row r="134" spans="1:14" x14ac:dyDescent="0.15">
      <c r="A134" s="11" t="str">
        <f>input!A131</f>
        <v>D.2. Obblig.ni convert. entro</v>
      </c>
      <c r="B134" s="2">
        <f>$M134*input!B131</f>
        <v>0</v>
      </c>
      <c r="C134" s="2">
        <f>$M134*input!C131</f>
        <v>0</v>
      </c>
      <c r="D134" s="2">
        <f>$M134*input!D131</f>
        <v>0</v>
      </c>
      <c r="E134" s="2">
        <f>$M134*input!E131</f>
        <v>0</v>
      </c>
      <c r="F134" s="2">
        <f>$M134*input!F131</f>
        <v>0</v>
      </c>
      <c r="G134" s="2">
        <f>$M134*input!G131</f>
        <v>0</v>
      </c>
      <c r="H134" s="2">
        <f>$M134*input!H131</f>
        <v>0</v>
      </c>
      <c r="I134" s="2">
        <f>$M134*input!I131</f>
        <v>0</v>
      </c>
      <c r="J134" s="2">
        <f>$M134*input!J131</f>
        <v>0</v>
      </c>
      <c r="K134" s="2">
        <f>$M134*input!K131</f>
        <v>0</v>
      </c>
      <c r="M134" s="1">
        <v>1</v>
      </c>
      <c r="N134" s="1" t="s">
        <v>275</v>
      </c>
    </row>
    <row r="135" spans="1:14" x14ac:dyDescent="0.15">
      <c r="A135" s="11" t="str">
        <f>input!A132</f>
        <v>D.2. Obblig.ni convert. oltre.</v>
      </c>
      <c r="B135" s="2">
        <f>$M135*input!B132</f>
        <v>0</v>
      </c>
      <c r="C135" s="2">
        <f>$M135*input!C132</f>
        <v>0</v>
      </c>
      <c r="D135" s="2">
        <f>$M135*input!D132</f>
        <v>0</v>
      </c>
      <c r="E135" s="2">
        <f>$M135*input!E132</f>
        <v>0</v>
      </c>
      <c r="F135" s="2">
        <f>$M135*input!F132</f>
        <v>0</v>
      </c>
      <c r="G135" s="2">
        <f>$M135*input!G132</f>
        <v>0</v>
      </c>
      <c r="H135" s="2">
        <f>$M135*input!H132</f>
        <v>0</v>
      </c>
      <c r="I135" s="2">
        <f>$M135*input!I132</f>
        <v>0</v>
      </c>
      <c r="J135" s="2">
        <f>$M135*input!J132</f>
        <v>0</v>
      </c>
      <c r="K135" s="2">
        <f>$M135*input!K132</f>
        <v>0</v>
      </c>
      <c r="M135" s="1">
        <v>1</v>
      </c>
      <c r="N135" s="1" t="s">
        <v>275</v>
      </c>
    </row>
    <row r="136" spans="1:14" x14ac:dyDescent="0.15">
      <c r="A136" s="11" t="str">
        <f>input!A133</f>
        <v>D.3. Soci per Finanziamenti entro</v>
      </c>
      <c r="B136" s="2">
        <f>$M136*input!B133</f>
        <v>0</v>
      </c>
      <c r="C136" s="2">
        <f>$M136*input!C133</f>
        <v>0</v>
      </c>
      <c r="D136" s="2">
        <f>$M136*input!D133</f>
        <v>0</v>
      </c>
      <c r="E136" s="2">
        <f>$M136*input!E133</f>
        <v>0</v>
      </c>
      <c r="F136" s="2">
        <f>$M136*input!F133</f>
        <v>0</v>
      </c>
      <c r="G136" s="2">
        <f>$M136*input!G133</f>
        <v>0</v>
      </c>
      <c r="H136" s="2">
        <f>$M136*input!H133</f>
        <v>0</v>
      </c>
      <c r="I136" s="2">
        <f>$M136*input!I133</f>
        <v>0</v>
      </c>
      <c r="J136" s="2">
        <f>$M136*input!J133</f>
        <v>0</v>
      </c>
      <c r="K136" s="2">
        <f>$M136*input!K133</f>
        <v>0</v>
      </c>
      <c r="M136" s="1">
        <v>1</v>
      </c>
      <c r="N136" s="1" t="s">
        <v>251</v>
      </c>
    </row>
    <row r="137" spans="1:14" x14ac:dyDescent="0.15">
      <c r="A137" s="11" t="str">
        <f>input!A134</f>
        <v>D.3. Soci per Finanziamenti oltre</v>
      </c>
      <c r="B137" s="2">
        <f>$M137*input!B134</f>
        <v>322056</v>
      </c>
      <c r="C137" s="2">
        <f>$M137*input!C134</f>
        <v>0</v>
      </c>
      <c r="D137" s="2">
        <f>$M137*input!D134</f>
        <v>0</v>
      </c>
      <c r="E137" s="2">
        <f>$M137*input!E134</f>
        <v>0</v>
      </c>
      <c r="F137" s="2">
        <f>$M137*input!F134</f>
        <v>0</v>
      </c>
      <c r="G137" s="2">
        <f>$M137*input!G134</f>
        <v>0</v>
      </c>
      <c r="H137" s="2">
        <f>$M137*input!H134</f>
        <v>0</v>
      </c>
      <c r="I137" s="2">
        <f>$M137*input!I134</f>
        <v>0</v>
      </c>
      <c r="J137" s="2">
        <f>$M137*input!J134</f>
        <v>0</v>
      </c>
      <c r="K137" s="2">
        <f>$M137*input!K134</f>
        <v>0</v>
      </c>
      <c r="M137" s="1">
        <v>1</v>
      </c>
      <c r="N137" s="1" t="s">
        <v>251</v>
      </c>
    </row>
    <row r="138" spans="1:14" x14ac:dyDescent="0.15">
      <c r="A138" s="11" t="str">
        <f>input!A135</f>
        <v>D.4. Banche entro l'esercizio</v>
      </c>
      <c r="B138" s="2">
        <f>$M138*input!B135</f>
        <v>82489</v>
      </c>
      <c r="C138" s="2">
        <f>$M138*input!C135</f>
        <v>48202</v>
      </c>
      <c r="D138" s="2">
        <f>$M138*input!D135</f>
        <v>10000</v>
      </c>
      <c r="E138" s="2">
        <f>$M138*input!E135</f>
        <v>0.499</v>
      </c>
      <c r="F138" s="2">
        <f>$M138*input!F135</f>
        <v>1.8069999999999999</v>
      </c>
      <c r="G138" s="2">
        <f>$M138*input!G135</f>
        <v>4.9219999999999997</v>
      </c>
      <c r="H138" s="2">
        <f>$M138*input!H135</f>
        <v>20464.468000000001</v>
      </c>
      <c r="I138" s="2">
        <f>$M138*input!I135</f>
        <v>99547.085999999996</v>
      </c>
      <c r="J138" s="2">
        <f>$M138*input!J135</f>
        <v>79477.820000000007</v>
      </c>
      <c r="K138" s="2">
        <f>$M138*input!K135</f>
        <v>100222.989</v>
      </c>
      <c r="M138" s="1">
        <v>1</v>
      </c>
      <c r="N138" s="1" t="s">
        <v>274</v>
      </c>
    </row>
    <row r="139" spans="1:14" x14ac:dyDescent="0.15">
      <c r="A139" s="11" t="str">
        <f>input!A136</f>
        <v>D.4. Banche oltre l'esercizio</v>
      </c>
      <c r="B139" s="2">
        <f>$M139*input!B136</f>
        <v>178111</v>
      </c>
      <c r="C139" s="2">
        <f>$M139*input!C136</f>
        <v>614866</v>
      </c>
      <c r="D139" s="2">
        <f>$M139*input!D136</f>
        <v>0</v>
      </c>
      <c r="E139" s="2">
        <f>$M139*input!E136</f>
        <v>0</v>
      </c>
      <c r="F139" s="2">
        <f>$M139*input!F136</f>
        <v>0</v>
      </c>
      <c r="G139" s="2">
        <f>$M139*input!G136</f>
        <v>0</v>
      </c>
      <c r="H139" s="2">
        <f>$M139*input!H136</f>
        <v>0</v>
      </c>
      <c r="I139" s="2">
        <f>$M139*input!I136</f>
        <v>55779.955999999998</v>
      </c>
      <c r="J139" s="2">
        <f>$M139*input!J136</f>
        <v>79869.755999999994</v>
      </c>
      <c r="K139" s="2">
        <f>$M139*input!K136</f>
        <v>103275.89599999999</v>
      </c>
      <c r="M139" s="1">
        <v>1</v>
      </c>
      <c r="N139" s="1" t="s">
        <v>275</v>
      </c>
    </row>
    <row r="140" spans="1:14" x14ac:dyDescent="0.15">
      <c r="A140" s="11" t="str">
        <f>input!A137</f>
        <v>D.5. Altri finanziatori entro</v>
      </c>
      <c r="B140" s="2">
        <f>$M140*input!B137</f>
        <v>17028</v>
      </c>
      <c r="C140" s="2">
        <f>$M140*input!C137</f>
        <v>14288</v>
      </c>
      <c r="D140" s="2">
        <f>$M140*input!D137</f>
        <v>15075.841</v>
      </c>
      <c r="E140" s="2">
        <f>$M140*input!E137</f>
        <v>12408.767</v>
      </c>
      <c r="F140" s="2">
        <f>$M140*input!F137</f>
        <v>18709.527999999998</v>
      </c>
      <c r="G140" s="2">
        <f>$M140*input!G137</f>
        <v>0</v>
      </c>
      <c r="H140" s="2">
        <f>$M140*input!H137</f>
        <v>0</v>
      </c>
      <c r="I140" s="2">
        <f>$M140*input!I137</f>
        <v>428.26499999999999</v>
      </c>
      <c r="J140" s="2">
        <f>$M140*input!J137</f>
        <v>0</v>
      </c>
      <c r="K140" s="2">
        <f>$M140*input!K137</f>
        <v>282.108</v>
      </c>
      <c r="M140" s="1">
        <v>1</v>
      </c>
      <c r="N140" s="1" t="s">
        <v>274</v>
      </c>
    </row>
    <row r="141" spans="1:14" x14ac:dyDescent="0.15">
      <c r="A141" s="11" t="str">
        <f>input!A138</f>
        <v>D.5. Altri finanziatori oltre</v>
      </c>
      <c r="B141" s="2">
        <f>$M141*input!B138</f>
        <v>171661</v>
      </c>
      <c r="C141" s="2">
        <f>$M141*input!C138</f>
        <v>88653</v>
      </c>
      <c r="D141" s="2">
        <f>$M141*input!D138</f>
        <v>0</v>
      </c>
      <c r="E141" s="2">
        <f>$M141*input!E138</f>
        <v>725617.17700000003</v>
      </c>
      <c r="F141" s="2">
        <f>$M141*input!F138</f>
        <v>780492.16799999995</v>
      </c>
      <c r="G141" s="2">
        <f>$M141*input!G138</f>
        <v>0</v>
      </c>
      <c r="H141" s="2">
        <f>$M141*input!H138</f>
        <v>0</v>
      </c>
      <c r="I141" s="2">
        <f>$M141*input!I138</f>
        <v>0</v>
      </c>
      <c r="J141" s="2">
        <f>$M141*input!J138</f>
        <v>0</v>
      </c>
      <c r="K141" s="2">
        <f>$M141*input!K138</f>
        <v>0</v>
      </c>
      <c r="M141" s="1">
        <v>1</v>
      </c>
      <c r="N141" s="1" t="s">
        <v>275</v>
      </c>
    </row>
    <row r="142" spans="1:14" x14ac:dyDescent="0.15">
      <c r="A142" s="11" t="str">
        <f>input!A139</f>
        <v>D.6. Acconti entro</v>
      </c>
      <c r="B142" s="2">
        <f>$M142*input!B139</f>
        <v>0</v>
      </c>
      <c r="C142" s="2">
        <f>$M142*input!C139</f>
        <v>0</v>
      </c>
      <c r="D142" s="2">
        <f>$M142*input!D139</f>
        <v>0</v>
      </c>
      <c r="E142" s="2">
        <f>$M142*input!E139</f>
        <v>0</v>
      </c>
      <c r="F142" s="2">
        <f>$M142*input!F139</f>
        <v>0</v>
      </c>
      <c r="G142" s="2">
        <f>$M142*input!G139</f>
        <v>6.24</v>
      </c>
      <c r="H142" s="2">
        <f>$M142*input!H139</f>
        <v>34.835000000000001</v>
      </c>
      <c r="I142" s="2">
        <f>$M142*input!I139</f>
        <v>20.253</v>
      </c>
      <c r="J142" s="2">
        <f>$M142*input!J139</f>
        <v>3.22</v>
      </c>
      <c r="K142" s="2">
        <f>$M142*input!K139</f>
        <v>5.2220000000000004</v>
      </c>
      <c r="M142" s="1">
        <v>1</v>
      </c>
      <c r="N142" s="1" t="s">
        <v>276</v>
      </c>
    </row>
    <row r="143" spans="1:14" x14ac:dyDescent="0.15">
      <c r="A143" s="11" t="str">
        <f>input!A140</f>
        <v>D.6. Acconti oltre</v>
      </c>
      <c r="B143" s="2">
        <f>$M143*input!B140</f>
        <v>0</v>
      </c>
      <c r="C143" s="2">
        <f>$M143*input!C140</f>
        <v>0</v>
      </c>
      <c r="D143" s="2">
        <f>$M143*input!D140</f>
        <v>0</v>
      </c>
      <c r="E143" s="2">
        <f>$M143*input!E140</f>
        <v>0</v>
      </c>
      <c r="F143" s="2">
        <f>$M143*input!F140</f>
        <v>0</v>
      </c>
      <c r="G143" s="2">
        <f>$M143*input!G140</f>
        <v>0</v>
      </c>
      <c r="H143" s="2">
        <f>$M143*input!H140</f>
        <v>0</v>
      </c>
      <c r="I143" s="2">
        <f>$M143*input!I140</f>
        <v>0</v>
      </c>
      <c r="J143" s="2">
        <f>$M143*input!J140</f>
        <v>0</v>
      </c>
      <c r="K143" s="2">
        <f>$M143*input!K140</f>
        <v>0</v>
      </c>
      <c r="M143" s="1">
        <v>1</v>
      </c>
      <c r="N143" s="1" t="s">
        <v>277</v>
      </c>
    </row>
    <row r="144" spans="1:14" x14ac:dyDescent="0.15">
      <c r="A144" s="11" t="str">
        <f>input!A141</f>
        <v>D.7. Fornitori entro</v>
      </c>
      <c r="B144" s="2">
        <f>$M144*input!B141</f>
        <v>250274</v>
      </c>
      <c r="C144" s="2">
        <f>$M144*input!C141</f>
        <v>182261</v>
      </c>
      <c r="D144" s="2">
        <f>$M144*input!D141</f>
        <v>252136.23</v>
      </c>
      <c r="E144" s="2">
        <f>$M144*input!E141</f>
        <v>190182.36300000001</v>
      </c>
      <c r="F144" s="2">
        <f>$M144*input!F141</f>
        <v>134849.12400000001</v>
      </c>
      <c r="G144" s="2">
        <f>$M144*input!G141</f>
        <v>139771.209</v>
      </c>
      <c r="H144" s="2">
        <f>$M144*input!H141</f>
        <v>197078.85800000001</v>
      </c>
      <c r="I144" s="2">
        <f>$M144*input!I141</f>
        <v>142429.71400000001</v>
      </c>
      <c r="J144" s="2">
        <f>$M144*input!J141</f>
        <v>140877.26300000001</v>
      </c>
      <c r="K144" s="2">
        <f>$M144*input!K141</f>
        <v>154221.997</v>
      </c>
      <c r="M144" s="1">
        <v>1</v>
      </c>
      <c r="N144" s="1" t="s">
        <v>278</v>
      </c>
    </row>
    <row r="145" spans="1:14" x14ac:dyDescent="0.15">
      <c r="A145" s="11" t="str">
        <f>input!A142</f>
        <v>D.7. Fornitori oltre</v>
      </c>
      <c r="B145" s="2">
        <f>$M145*input!B142</f>
        <v>0</v>
      </c>
      <c r="C145" s="2">
        <f>$M145*input!C142</f>
        <v>0</v>
      </c>
      <c r="D145" s="2">
        <f>$M145*input!D142</f>
        <v>0</v>
      </c>
      <c r="E145" s="2">
        <f>$M145*input!E142</f>
        <v>0</v>
      </c>
      <c r="F145" s="2">
        <f>$M145*input!F142</f>
        <v>0</v>
      </c>
      <c r="G145" s="2">
        <f>$M145*input!G142</f>
        <v>0</v>
      </c>
      <c r="H145" s="2">
        <f>$M145*input!H142</f>
        <v>0</v>
      </c>
      <c r="I145" s="2">
        <f>$M145*input!I142</f>
        <v>0</v>
      </c>
      <c r="J145" s="2">
        <f>$M145*input!J142</f>
        <v>0</v>
      </c>
      <c r="K145" s="2">
        <f>$M145*input!K142</f>
        <v>0</v>
      </c>
      <c r="M145" s="1">
        <v>1</v>
      </c>
      <c r="N145" s="1" t="s">
        <v>278</v>
      </c>
    </row>
    <row r="146" spans="1:14" x14ac:dyDescent="0.15">
      <c r="A146" s="11" t="str">
        <f>input!A143</f>
        <v>D.8. Titoli di credito entro</v>
      </c>
      <c r="B146" s="2">
        <f>$M146*input!B143</f>
        <v>0</v>
      </c>
      <c r="C146" s="2">
        <f>$M146*input!C143</f>
        <v>0</v>
      </c>
      <c r="D146" s="2">
        <f>$M146*input!D143</f>
        <v>0</v>
      </c>
      <c r="E146" s="2">
        <f>$M146*input!E143</f>
        <v>0</v>
      </c>
      <c r="F146" s="2">
        <f>$M146*input!F143</f>
        <v>0</v>
      </c>
      <c r="G146" s="2">
        <f>$M146*input!G143</f>
        <v>0</v>
      </c>
      <c r="H146" s="2">
        <f>$M146*input!H143</f>
        <v>0</v>
      </c>
      <c r="I146" s="2">
        <f>$M146*input!I143</f>
        <v>0</v>
      </c>
      <c r="J146" s="2">
        <f>$M146*input!J143</f>
        <v>0</v>
      </c>
      <c r="K146" s="2">
        <f>$M146*input!K143</f>
        <v>0</v>
      </c>
      <c r="M146" s="1">
        <v>1</v>
      </c>
      <c r="N146" s="1" t="s">
        <v>274</v>
      </c>
    </row>
    <row r="147" spans="1:14" x14ac:dyDescent="0.15">
      <c r="A147" s="11" t="str">
        <f>input!A144</f>
        <v>D.8. Titoli di credito oltre</v>
      </c>
      <c r="B147" s="2">
        <f>$M147*input!B144</f>
        <v>0</v>
      </c>
      <c r="C147" s="2">
        <f>$M147*input!C144</f>
        <v>0</v>
      </c>
      <c r="D147" s="2">
        <f>$M147*input!D144</f>
        <v>0</v>
      </c>
      <c r="E147" s="2">
        <f>$M147*input!E144</f>
        <v>0</v>
      </c>
      <c r="F147" s="2">
        <f>$M147*input!F144</f>
        <v>0</v>
      </c>
      <c r="G147" s="2">
        <f>$M147*input!G144</f>
        <v>0</v>
      </c>
      <c r="H147" s="2">
        <f>$M147*input!H144</f>
        <v>0</v>
      </c>
      <c r="I147" s="2">
        <f>$M147*input!I144</f>
        <v>0</v>
      </c>
      <c r="J147" s="2">
        <f>$M147*input!J144</f>
        <v>0</v>
      </c>
      <c r="K147" s="2">
        <f>$M147*input!K144</f>
        <v>0</v>
      </c>
      <c r="M147" s="1">
        <v>1</v>
      </c>
      <c r="N147" s="1" t="s">
        <v>275</v>
      </c>
    </row>
    <row r="148" spans="1:14" x14ac:dyDescent="0.15">
      <c r="A148" s="11" t="str">
        <f>input!A145</f>
        <v>D.9. Imprese Controllate entro</v>
      </c>
      <c r="B148" s="2">
        <f>$M148*input!B145</f>
        <v>0</v>
      </c>
      <c r="C148" s="2">
        <f>$M148*input!C145</f>
        <v>0</v>
      </c>
      <c r="D148" s="2">
        <f>$M148*input!D145</f>
        <v>328224</v>
      </c>
      <c r="E148" s="2">
        <f>$M148*input!E145</f>
        <v>173617.429</v>
      </c>
      <c r="F148" s="2">
        <f>$M148*input!F145</f>
        <v>141233.408</v>
      </c>
      <c r="G148" s="2">
        <f>$M148*input!G145</f>
        <v>103536.448</v>
      </c>
      <c r="H148" s="2">
        <f>$M148*input!H145</f>
        <v>67769.994000000006</v>
      </c>
      <c r="I148" s="2">
        <f>$M148*input!I145</f>
        <v>46501.775000000001</v>
      </c>
      <c r="J148" s="2">
        <f>$M148*input!J145</f>
        <v>54122.252</v>
      </c>
      <c r="K148" s="2">
        <f>$M148*input!K145</f>
        <v>48656.483999999997</v>
      </c>
      <c r="M148" s="1">
        <v>1</v>
      </c>
      <c r="N148" s="1" t="s">
        <v>279</v>
      </c>
    </row>
    <row r="149" spans="1:14" x14ac:dyDescent="0.15">
      <c r="A149" s="11" t="str">
        <f>input!A146</f>
        <v>D.9. Imprese Controllate oltre</v>
      </c>
      <c r="B149" s="2">
        <f>$M149*input!B146</f>
        <v>0</v>
      </c>
      <c r="C149" s="2">
        <f>$M149*input!C146</f>
        <v>0</v>
      </c>
      <c r="D149" s="2">
        <f>$M149*input!D146</f>
        <v>65000</v>
      </c>
      <c r="E149" s="2">
        <f>$M149*input!E146</f>
        <v>0</v>
      </c>
      <c r="F149" s="2">
        <f>$M149*input!F146</f>
        <v>0</v>
      </c>
      <c r="G149" s="2">
        <f>$M149*input!G146</f>
        <v>0</v>
      </c>
      <c r="H149" s="2">
        <f>$M149*input!H146</f>
        <v>0</v>
      </c>
      <c r="I149" s="2">
        <f>$M149*input!I146</f>
        <v>0</v>
      </c>
      <c r="J149" s="2">
        <f>$M149*input!J146</f>
        <v>0</v>
      </c>
      <c r="K149" s="2">
        <f>$M149*input!K146</f>
        <v>937.5</v>
      </c>
      <c r="M149" s="1">
        <v>1</v>
      </c>
      <c r="N149" s="1" t="s">
        <v>279</v>
      </c>
    </row>
    <row r="150" spans="1:14" x14ac:dyDescent="0.15">
      <c r="A150" s="11" t="str">
        <f>input!A147</f>
        <v>D.10. Imprese Collegate entro</v>
      </c>
      <c r="B150" s="2">
        <f>$M150*input!B147</f>
        <v>0</v>
      </c>
      <c r="C150" s="2">
        <f>$M150*input!C147</f>
        <v>0</v>
      </c>
      <c r="D150" s="2">
        <f>$M150*input!D147</f>
        <v>1805.1859999999999</v>
      </c>
      <c r="E150" s="2">
        <f>$M150*input!E147</f>
        <v>663</v>
      </c>
      <c r="F150" s="2">
        <f>$M150*input!F147</f>
        <v>293</v>
      </c>
      <c r="G150" s="2">
        <f>$M150*input!G147</f>
        <v>395</v>
      </c>
      <c r="H150" s="2">
        <f>$M150*input!H147</f>
        <v>183</v>
      </c>
      <c r="I150" s="2">
        <f>$M150*input!I147</f>
        <v>0</v>
      </c>
      <c r="J150" s="2">
        <f>$M150*input!J147</f>
        <v>0</v>
      </c>
      <c r="K150" s="2">
        <f>$M150*input!K147</f>
        <v>0</v>
      </c>
      <c r="M150" s="1">
        <v>1</v>
      </c>
      <c r="N150" s="1" t="s">
        <v>279</v>
      </c>
    </row>
    <row r="151" spans="1:14" x14ac:dyDescent="0.15">
      <c r="A151" s="11" t="str">
        <f>input!A148</f>
        <v>D.10. Imprese Collegate oltre</v>
      </c>
      <c r="B151" s="2">
        <f>$M151*input!B148</f>
        <v>0</v>
      </c>
      <c r="C151" s="2">
        <f>$M151*input!C148</f>
        <v>0</v>
      </c>
      <c r="D151" s="2">
        <f>$M151*input!D148</f>
        <v>0</v>
      </c>
      <c r="E151" s="2">
        <f>$M151*input!E148</f>
        <v>0</v>
      </c>
      <c r="F151" s="2">
        <f>$M151*input!F148</f>
        <v>0</v>
      </c>
      <c r="G151" s="2">
        <f>$M151*input!G148</f>
        <v>0</v>
      </c>
      <c r="H151" s="2">
        <f>$M151*input!H148</f>
        <v>0</v>
      </c>
      <c r="I151" s="2">
        <f>$M151*input!I148</f>
        <v>0</v>
      </c>
      <c r="J151" s="2">
        <f>$M151*input!J148</f>
        <v>0</v>
      </c>
      <c r="K151" s="2">
        <f>$M151*input!K148</f>
        <v>0</v>
      </c>
      <c r="M151" s="1">
        <v>1</v>
      </c>
      <c r="N151" s="1" t="s">
        <v>279</v>
      </c>
    </row>
    <row r="152" spans="1:14" x14ac:dyDescent="0.15">
      <c r="A152" s="11" t="str">
        <f>input!A149</f>
        <v>D.11. Controllanti entro</v>
      </c>
      <c r="B152" s="2">
        <f>$M152*input!B149</f>
        <v>666520</v>
      </c>
      <c r="C152" s="2">
        <f>$M152*input!C149</f>
        <v>550601</v>
      </c>
      <c r="D152" s="2">
        <f>$M152*input!D149</f>
        <v>619570.353</v>
      </c>
      <c r="E152" s="2">
        <f>$M152*input!E149</f>
        <v>62.845999999999997</v>
      </c>
      <c r="F152" s="2">
        <f>$M152*input!F149</f>
        <v>61.573999999999998</v>
      </c>
      <c r="G152" s="2">
        <f>$M152*input!G149</f>
        <v>76557.005999999994</v>
      </c>
      <c r="H152" s="2">
        <f>$M152*input!H149</f>
        <v>85422.976999999999</v>
      </c>
      <c r="I152" s="2">
        <f>$M152*input!I149</f>
        <v>3685.02</v>
      </c>
      <c r="J152" s="2">
        <f>$M152*input!J149</f>
        <v>103.89700000000001</v>
      </c>
      <c r="K152" s="2">
        <f>$M152*input!K149</f>
        <v>107.2</v>
      </c>
      <c r="M152" s="1">
        <v>1</v>
      </c>
      <c r="N152" s="1" t="s">
        <v>251</v>
      </c>
    </row>
    <row r="153" spans="1:14" x14ac:dyDescent="0.15">
      <c r="A153" s="11" t="str">
        <f>input!A150</f>
        <v>D.11. Controllanti oltre</v>
      </c>
      <c r="B153" s="2">
        <f>$M153*input!B150</f>
        <v>0</v>
      </c>
      <c r="C153" s="2">
        <f>$M153*input!C150</f>
        <v>0</v>
      </c>
      <c r="D153" s="2">
        <f>$M153*input!D150</f>
        <v>0</v>
      </c>
      <c r="E153" s="2">
        <f>$M153*input!E150</f>
        <v>0</v>
      </c>
      <c r="F153" s="2">
        <f>$M153*input!F150</f>
        <v>0</v>
      </c>
      <c r="G153" s="2">
        <f>$M153*input!G150</f>
        <v>0</v>
      </c>
      <c r="H153" s="2">
        <f>$M153*input!H150</f>
        <v>0</v>
      </c>
      <c r="I153" s="2">
        <f>$M153*input!I150</f>
        <v>0</v>
      </c>
      <c r="J153" s="2">
        <f>$M153*input!J150</f>
        <v>0</v>
      </c>
      <c r="K153" s="2">
        <f>$M153*input!K150</f>
        <v>0</v>
      </c>
      <c r="M153" s="1">
        <v>1</v>
      </c>
      <c r="N153" s="1" t="s">
        <v>251</v>
      </c>
    </row>
    <row r="154" spans="1:14" x14ac:dyDescent="0.15">
      <c r="A154" s="11" t="str">
        <f>input!A151</f>
        <v>D.11.bis. Debiti VS imprese sottoposte al controllo delle controllanti entro</v>
      </c>
      <c r="B154" s="2">
        <f>$M154*input!B151</f>
        <v>0</v>
      </c>
      <c r="C154" s="2">
        <f>$M154*input!C151</f>
        <v>0</v>
      </c>
      <c r="D154" s="2">
        <f>$M154*input!D151</f>
        <v>0</v>
      </c>
      <c r="E154" s="2">
        <f>$M154*input!E151</f>
        <v>0</v>
      </c>
      <c r="F154" s="2">
        <f>$M154*input!F151</f>
        <v>0</v>
      </c>
      <c r="G154" s="2">
        <f>$M154*input!G151</f>
        <v>590.56399999999996</v>
      </c>
      <c r="H154" s="2">
        <f>$M154*input!H151</f>
        <v>172.6</v>
      </c>
      <c r="I154" s="2">
        <f>$M154*input!I151</f>
        <v>0</v>
      </c>
      <c r="J154" s="2">
        <f>$M154*input!J151</f>
        <v>0</v>
      </c>
      <c r="K154" s="2">
        <f>$M154*input!K151</f>
        <v>0</v>
      </c>
      <c r="M154" s="1">
        <v>1</v>
      </c>
      <c r="N154" s="1" t="s">
        <v>251</v>
      </c>
    </row>
    <row r="155" spans="1:14" x14ac:dyDescent="0.15">
      <c r="A155" s="11" t="str">
        <f>input!A152</f>
        <v>D.11.bis. Debiti VS imprese sottoposte al controllo delle controllanti oltre</v>
      </c>
      <c r="B155" s="2">
        <f>$M155*input!B152</f>
        <v>0</v>
      </c>
      <c r="C155" s="2">
        <f>$M155*input!C152</f>
        <v>0</v>
      </c>
      <c r="D155" s="2">
        <f>$M155*input!D152</f>
        <v>0</v>
      </c>
      <c r="E155" s="2">
        <f>$M155*input!E152</f>
        <v>0</v>
      </c>
      <c r="F155" s="2">
        <f>$M155*input!F152</f>
        <v>0</v>
      </c>
      <c r="G155" s="2">
        <f>$M155*input!G152</f>
        <v>0</v>
      </c>
      <c r="H155" s="2">
        <f>$M155*input!H152</f>
        <v>0</v>
      </c>
      <c r="I155" s="2">
        <f>$M155*input!I152</f>
        <v>0</v>
      </c>
      <c r="J155" s="2">
        <f>$M155*input!J152</f>
        <v>0</v>
      </c>
      <c r="K155" s="2">
        <f>$M155*input!K152</f>
        <v>0</v>
      </c>
      <c r="M155" s="1">
        <v>1</v>
      </c>
      <c r="N155" s="1" t="s">
        <v>251</v>
      </c>
    </row>
    <row r="156" spans="1:14" x14ac:dyDescent="0.15">
      <c r="A156" s="11" t="str">
        <f>input!A153</f>
        <v>D.12. Debiti Tributari entro</v>
      </c>
      <c r="B156" s="2">
        <f>$M156*input!B153</f>
        <v>1216</v>
      </c>
      <c r="C156" s="2">
        <f>$M156*input!C153</f>
        <v>201</v>
      </c>
      <c r="D156" s="2">
        <f>$M156*input!D153</f>
        <v>6905.8720000000003</v>
      </c>
      <c r="E156" s="2">
        <f>$M156*input!E153</f>
        <v>6209.9160000000002</v>
      </c>
      <c r="F156" s="2">
        <f>$M156*input!F153</f>
        <v>29033.54</v>
      </c>
      <c r="G156" s="2">
        <f>$M156*input!G153</f>
        <v>3829.73</v>
      </c>
      <c r="H156" s="2">
        <f>$M156*input!H153</f>
        <v>5886.76</v>
      </c>
      <c r="I156" s="2">
        <f>$M156*input!I153</f>
        <v>5786.9040000000005</v>
      </c>
      <c r="J156" s="2">
        <f>$M156*input!J153</f>
        <v>16388.105</v>
      </c>
      <c r="K156" s="2">
        <f>$M156*input!K153</f>
        <v>5412.6710000000003</v>
      </c>
      <c r="M156" s="1">
        <v>1</v>
      </c>
      <c r="N156" s="1" t="s">
        <v>280</v>
      </c>
    </row>
    <row r="157" spans="1:14" x14ac:dyDescent="0.15">
      <c r="A157" s="11" t="str">
        <f>input!A154</f>
        <v>D.12. Debiti Tributari oltre</v>
      </c>
      <c r="B157" s="2">
        <f>$M157*input!B154</f>
        <v>579</v>
      </c>
      <c r="C157" s="2">
        <f>$M157*input!C154</f>
        <v>579</v>
      </c>
      <c r="D157" s="2">
        <f>$M157*input!D154</f>
        <v>0</v>
      </c>
      <c r="E157" s="2">
        <f>$M157*input!E154</f>
        <v>0</v>
      </c>
      <c r="F157" s="2">
        <f>$M157*input!F154</f>
        <v>0</v>
      </c>
      <c r="G157" s="2">
        <f>$M157*input!G154</f>
        <v>0</v>
      </c>
      <c r="H157" s="2">
        <f>$M157*input!H154</f>
        <v>0</v>
      </c>
      <c r="I157" s="2">
        <f>$M157*input!I154</f>
        <v>170.01</v>
      </c>
      <c r="J157" s="2">
        <f>$M157*input!J154</f>
        <v>578.33399999999995</v>
      </c>
      <c r="K157" s="2">
        <f>$M157*input!K154</f>
        <v>986.65800000000002</v>
      </c>
      <c r="M157" s="1">
        <v>1</v>
      </c>
      <c r="N157" s="1" t="s">
        <v>280</v>
      </c>
    </row>
    <row r="158" spans="1:14" x14ac:dyDescent="0.15">
      <c r="A158" s="11" t="str">
        <f>input!A155</f>
        <v>D.13. Istituti previdenza entro</v>
      </c>
      <c r="B158" s="2">
        <f>$M158*input!B155</f>
        <v>0</v>
      </c>
      <c r="C158" s="2">
        <f>$M158*input!C155</f>
        <v>0</v>
      </c>
      <c r="D158" s="2">
        <f>$M158*input!D155</f>
        <v>9303.4330000000009</v>
      </c>
      <c r="E158" s="2">
        <f>$M158*input!E155</f>
        <v>9089.4570000000003</v>
      </c>
      <c r="F158" s="2">
        <f>$M158*input!F155</f>
        <v>8103.6</v>
      </c>
      <c r="G158" s="2">
        <f>$M158*input!G155</f>
        <v>9574.7620000000006</v>
      </c>
      <c r="H158" s="2">
        <f>$M158*input!H155</f>
        <v>8995.3359999999993</v>
      </c>
      <c r="I158" s="2">
        <f>$M158*input!I155</f>
        <v>9189.9590000000007</v>
      </c>
      <c r="J158" s="2">
        <f>$M158*input!J155</f>
        <v>7565.527</v>
      </c>
      <c r="K158" s="2">
        <f>$M158*input!K155</f>
        <v>7185.1019999999999</v>
      </c>
      <c r="M158" s="1">
        <v>1</v>
      </c>
      <c r="N158" s="1" t="s">
        <v>280</v>
      </c>
    </row>
    <row r="159" spans="1:14" x14ac:dyDescent="0.15">
      <c r="A159" s="11" t="str">
        <f>input!A156</f>
        <v>D.13. Istituti previdenza oltre</v>
      </c>
      <c r="B159" s="2">
        <f>$M159*input!B156</f>
        <v>0</v>
      </c>
      <c r="C159" s="2">
        <f>$M159*input!C156</f>
        <v>0</v>
      </c>
      <c r="D159" s="2">
        <f>$M159*input!D156</f>
        <v>0</v>
      </c>
      <c r="E159" s="2">
        <f>$M159*input!E156</f>
        <v>0</v>
      </c>
      <c r="F159" s="2">
        <f>$M159*input!F156</f>
        <v>0</v>
      </c>
      <c r="G159" s="2">
        <f>$M159*input!G156</f>
        <v>0</v>
      </c>
      <c r="H159" s="2">
        <f>$M159*input!H156</f>
        <v>0</v>
      </c>
      <c r="I159" s="2">
        <f>$M159*input!I156</f>
        <v>138.55799999999999</v>
      </c>
      <c r="J159" s="2">
        <f>$M159*input!J156</f>
        <v>471.65199999999999</v>
      </c>
      <c r="K159" s="2">
        <f>$M159*input!K156</f>
        <v>804.74599999999998</v>
      </c>
      <c r="M159" s="1">
        <v>1</v>
      </c>
      <c r="N159" s="1" t="s">
        <v>280</v>
      </c>
    </row>
    <row r="160" spans="1:14" x14ac:dyDescent="0.15">
      <c r="A160" s="11" t="str">
        <f>input!A157</f>
        <v>D.14. Altri Debiti entro</v>
      </c>
      <c r="B160" s="2">
        <f>$M160*input!B157</f>
        <v>31095</v>
      </c>
      <c r="C160" s="2">
        <f>$M160*input!C157</f>
        <v>22830</v>
      </c>
      <c r="D160" s="2">
        <f>$M160*input!D157</f>
        <v>19799.218000000001</v>
      </c>
      <c r="E160" s="2">
        <f>$M160*input!E157</f>
        <v>19009.223999999998</v>
      </c>
      <c r="F160" s="2">
        <f>$M160*input!F157</f>
        <v>13505.011</v>
      </c>
      <c r="G160" s="2">
        <f>$M160*input!G157</f>
        <v>14225.306</v>
      </c>
      <c r="H160" s="2">
        <f>$M160*input!H157</f>
        <v>11375.245999999999</v>
      </c>
      <c r="I160" s="2">
        <f>$M160*input!I157</f>
        <v>11929.398999999999</v>
      </c>
      <c r="J160" s="2">
        <f>$M160*input!J157</f>
        <v>12903.331</v>
      </c>
      <c r="K160" s="2">
        <f>$M160*input!K157</f>
        <v>11665.573</v>
      </c>
      <c r="M160" s="1">
        <v>1</v>
      </c>
      <c r="N160" s="1" t="s">
        <v>276</v>
      </c>
    </row>
    <row r="161" spans="1:14" x14ac:dyDescent="0.15">
      <c r="A161" s="11" t="str">
        <f>input!A158</f>
        <v>D.14. Altri Debiti oltre</v>
      </c>
      <c r="B161" s="2">
        <f>$M161*input!B158</f>
        <v>0</v>
      </c>
      <c r="C161" s="2">
        <f>$M161*input!C158</f>
        <v>0</v>
      </c>
      <c r="D161" s="2">
        <f>$M161*input!D158</f>
        <v>0</v>
      </c>
      <c r="E161" s="2">
        <f>$M161*input!E158</f>
        <v>0</v>
      </c>
      <c r="F161" s="2">
        <f>$M161*input!F158</f>
        <v>0</v>
      </c>
      <c r="G161" s="2">
        <f>$M161*input!G158</f>
        <v>0</v>
      </c>
      <c r="H161" s="2">
        <f>$M161*input!H158</f>
        <v>0</v>
      </c>
      <c r="I161" s="2">
        <f>$M161*input!I158</f>
        <v>0</v>
      </c>
      <c r="J161" s="2">
        <f>$M161*input!J158</f>
        <v>0</v>
      </c>
      <c r="K161" s="2">
        <f>$M161*input!K158</f>
        <v>0</v>
      </c>
      <c r="M161" s="1">
        <v>1</v>
      </c>
      <c r="N161" s="1" t="s">
        <v>277</v>
      </c>
    </row>
    <row r="162" spans="1:14" x14ac:dyDescent="0.15">
      <c r="A162" s="4" t="str">
        <f>input!A159</f>
        <v>D. DEBITI A BREVE</v>
      </c>
      <c r="B162" s="2">
        <f>$M162*input!B159</f>
        <v>1055405</v>
      </c>
      <c r="C162" s="2">
        <f>$M162*input!C159</f>
        <v>818383</v>
      </c>
      <c r="D162" s="2">
        <f>$M162*input!D159</f>
        <v>1262820.1329999999</v>
      </c>
      <c r="E162" s="2">
        <f>$M162*input!E159</f>
        <v>411243.50099999999</v>
      </c>
      <c r="F162" s="2">
        <f>$M162*input!F159</f>
        <v>345790.592</v>
      </c>
      <c r="G162" s="2">
        <f>$M162*input!G159</f>
        <v>348491.18699999998</v>
      </c>
      <c r="H162" s="2">
        <f>$M162*input!H159</f>
        <v>397384.07400000002</v>
      </c>
      <c r="I162" s="2">
        <f>$M162*input!I159</f>
        <v>319518.375</v>
      </c>
      <c r="J162" s="2">
        <f>$M162*input!J159</f>
        <v>311441.41499999998</v>
      </c>
      <c r="K162" s="2">
        <f>$M162*input!K159</f>
        <v>327759.34600000002</v>
      </c>
      <c r="M162" s="1">
        <v>1</v>
      </c>
    </row>
    <row r="163" spans="1:14" x14ac:dyDescent="0.15">
      <c r="A163" s="4" t="str">
        <f>input!A160</f>
        <v>D. DEBITI A OLTRE</v>
      </c>
      <c r="B163" s="2">
        <f>$M163*input!B160</f>
        <v>1741481</v>
      </c>
      <c r="C163" s="2">
        <f>$M163*input!C160</f>
        <v>704098</v>
      </c>
      <c r="D163" s="2">
        <f>$M163*input!D160</f>
        <v>65000</v>
      </c>
      <c r="E163" s="2">
        <f>$M163*input!E160</f>
        <v>725617.17700000003</v>
      </c>
      <c r="F163" s="2">
        <f>$M163*input!F160</f>
        <v>780492.16799999995</v>
      </c>
      <c r="G163" s="2">
        <f>$M163*input!G160</f>
        <v>0</v>
      </c>
      <c r="H163" s="2">
        <f>$M163*input!H160</f>
        <v>0</v>
      </c>
      <c r="I163" s="2">
        <f>$M163*input!I160</f>
        <v>56088.523999999998</v>
      </c>
      <c r="J163" s="2">
        <f>$M163*input!J160</f>
        <v>80919.741999999998</v>
      </c>
      <c r="K163" s="2">
        <f>$M163*input!K160</f>
        <v>106004.8</v>
      </c>
      <c r="M163" s="1">
        <v>1</v>
      </c>
    </row>
    <row r="164" spans="1:14" x14ac:dyDescent="0.15">
      <c r="A164" s="4" t="str">
        <f>input!A161</f>
        <v>Total debiti entro l'esercizio</v>
      </c>
      <c r="B164" s="2">
        <f>$M164*input!B161</f>
        <v>1055405</v>
      </c>
      <c r="C164" s="2">
        <f>$M164*input!C161</f>
        <v>818383</v>
      </c>
      <c r="D164" s="2">
        <f>$M164*input!D161</f>
        <v>1262820.1329999999</v>
      </c>
      <c r="E164" s="2">
        <f>$M164*input!E161</f>
        <v>411243.50099999999</v>
      </c>
      <c r="F164" s="2">
        <f>$M164*input!F161</f>
        <v>345790.592</v>
      </c>
      <c r="G164" s="2">
        <f>$M164*input!G161</f>
        <v>348491.18699999998</v>
      </c>
      <c r="H164" s="2">
        <f>$M164*input!H161</f>
        <v>397384.07400000002</v>
      </c>
      <c r="I164" s="2">
        <f>$M164*input!I161</f>
        <v>319518.375</v>
      </c>
      <c r="J164" s="2">
        <f>$M164*input!J161</f>
        <v>311441.41499999998</v>
      </c>
      <c r="K164" s="2">
        <f>$M164*input!K161</f>
        <v>327759.34600000002</v>
      </c>
      <c r="M164" s="1">
        <v>1</v>
      </c>
    </row>
    <row r="165" spans="1:14" x14ac:dyDescent="0.15">
      <c r="A165" s="4" t="str">
        <f>input!A162</f>
        <v>Total debiti oltre l'esercizio</v>
      </c>
      <c r="B165" s="2">
        <f>$M165*input!B162</f>
        <v>1741481</v>
      </c>
      <c r="C165" s="2">
        <f>$M165*input!C162</f>
        <v>704098</v>
      </c>
      <c r="D165" s="2">
        <f>$M165*input!D162</f>
        <v>65000</v>
      </c>
      <c r="E165" s="2">
        <f>$M165*input!E162</f>
        <v>725617.17700000003</v>
      </c>
      <c r="F165" s="2">
        <f>$M165*input!F162</f>
        <v>780492.16799999995</v>
      </c>
      <c r="G165" s="2">
        <f>$M165*input!G162</f>
        <v>0</v>
      </c>
      <c r="H165" s="2">
        <f>$M165*input!H162</f>
        <v>0</v>
      </c>
      <c r="I165" s="2">
        <f>$M165*input!I162</f>
        <v>56088.523999999998</v>
      </c>
      <c r="J165" s="2">
        <f>$M165*input!J162</f>
        <v>80919.741999999998</v>
      </c>
      <c r="K165" s="2">
        <f>$M165*input!K162</f>
        <v>106004.8</v>
      </c>
      <c r="M165" s="1">
        <v>1</v>
      </c>
    </row>
    <row r="166" spans="1:14" s="10" customFormat="1" ht="14" x14ac:dyDescent="0.15">
      <c r="A166" s="35" t="str">
        <f>input!A163</f>
        <v>E. RATEI E RISCONTI</v>
      </c>
      <c r="B166" s="36">
        <f>$M166*input!B163</f>
        <v>0</v>
      </c>
      <c r="C166" s="36">
        <f>$M166*input!C163</f>
        <v>0</v>
      </c>
      <c r="D166" s="36">
        <f>$M166*input!D163</f>
        <v>0</v>
      </c>
      <c r="E166" s="36">
        <f>$M166*input!E163</f>
        <v>233.179</v>
      </c>
      <c r="F166" s="36">
        <f>$M166*input!F163</f>
        <v>0</v>
      </c>
      <c r="G166" s="36">
        <f>$M166*input!G163</f>
        <v>17.564</v>
      </c>
      <c r="H166" s="36">
        <f>$M166*input!H163</f>
        <v>82.62</v>
      </c>
      <c r="I166" s="36">
        <f>$M166*input!I163</f>
        <v>224.35300000000001</v>
      </c>
      <c r="J166" s="36">
        <f>$M166*input!J163</f>
        <v>196.51599999999999</v>
      </c>
      <c r="K166" s="36">
        <f>$M166*input!K163</f>
        <v>218.977</v>
      </c>
      <c r="M166" s="10">
        <v>1</v>
      </c>
      <c r="N166" s="10" t="s">
        <v>276</v>
      </c>
    </row>
    <row r="167" spans="1:14" x14ac:dyDescent="0.15">
      <c r="A167" s="4" t="str">
        <f>input!A164</f>
        <v>Aggio sui prestiti</v>
      </c>
      <c r="B167" s="2">
        <f>$M167*input!B164</f>
        <v>0</v>
      </c>
      <c r="C167" s="2">
        <f>$M167*input!C164</f>
        <v>0</v>
      </c>
      <c r="D167" s="2">
        <f>$M167*input!D164</f>
        <v>0</v>
      </c>
      <c r="E167" s="2">
        <f>$M167*input!E164</f>
        <v>0</v>
      </c>
      <c r="F167" s="2">
        <f>$M167*input!F164</f>
        <v>0</v>
      </c>
      <c r="G167" s="2">
        <f>$M167*input!G164</f>
        <v>0</v>
      </c>
      <c r="H167" s="2">
        <f>$M167*input!H164</f>
        <v>0</v>
      </c>
      <c r="I167" s="2">
        <f>$M167*input!I164</f>
        <v>0</v>
      </c>
      <c r="J167" s="2">
        <f>$M167*input!J164</f>
        <v>0</v>
      </c>
      <c r="K167" s="2">
        <f>$M167*input!K164</f>
        <v>0</v>
      </c>
      <c r="M167" s="1">
        <v>1</v>
      </c>
    </row>
    <row r="168" spans="1:14" s="10" customFormat="1" ht="14" x14ac:dyDescent="0.15">
      <c r="A168" s="38" t="str">
        <f>input!A165</f>
        <v>TOTALE PASSIVO</v>
      </c>
      <c r="B168" s="39">
        <f>$M168*input!B165</f>
        <v>3790320</v>
      </c>
      <c r="C168" s="39">
        <f>$M168*input!C165</f>
        <v>1675063</v>
      </c>
      <c r="D168" s="39">
        <f>$M168*input!D165</f>
        <v>1536536.983</v>
      </c>
      <c r="E168" s="39">
        <f>$M168*input!E165</f>
        <v>1308756.7039999999</v>
      </c>
      <c r="F168" s="39">
        <f>$M168*input!F165</f>
        <v>1311132.3030000001</v>
      </c>
      <c r="G168" s="39">
        <f>$M168*input!G165</f>
        <v>741974.82499999995</v>
      </c>
      <c r="H168" s="39">
        <f>$M168*input!H165</f>
        <v>792683.74399999995</v>
      </c>
      <c r="I168" s="39">
        <f>$M168*input!I165</f>
        <v>788836.85400000005</v>
      </c>
      <c r="J168" s="39">
        <f>$M168*input!J165</f>
        <v>778185.56599999999</v>
      </c>
      <c r="K168" s="39">
        <f>$M168*input!K165</f>
        <v>780383.29399999999</v>
      </c>
      <c r="M168" s="10">
        <v>1</v>
      </c>
    </row>
    <row r="169" spans="1:14" x14ac:dyDescent="0.15">
      <c r="A169" s="4" t="str">
        <f>input!A166</f>
        <v>TOTALE CONTI D'ORDINE</v>
      </c>
      <c r="B169" s="2">
        <f>$M169*input!B166</f>
        <v>0</v>
      </c>
      <c r="C169" s="2">
        <f>$M169*input!C166</f>
        <v>0</v>
      </c>
      <c r="D169" s="2">
        <f>$M169*input!D166</f>
        <v>0</v>
      </c>
      <c r="E169" s="2">
        <f>$M169*input!E166</f>
        <v>0</v>
      </c>
      <c r="F169" s="2">
        <f>$M169*input!F166</f>
        <v>0</v>
      </c>
      <c r="G169" s="2">
        <f>$M169*input!G166</f>
        <v>0</v>
      </c>
      <c r="H169" s="2">
        <f>$M169*input!H166</f>
        <v>0</v>
      </c>
      <c r="I169" s="2">
        <f>$M169*input!I166</f>
        <v>0</v>
      </c>
      <c r="J169" s="2">
        <f>$M169*input!J166</f>
        <v>0</v>
      </c>
      <c r="K169" s="2">
        <f>$M169*input!K166</f>
        <v>60357.982000000004</v>
      </c>
      <c r="M169" s="1">
        <v>1</v>
      </c>
    </row>
    <row r="171" spans="1:14" s="42" customFormat="1" ht="18" x14ac:dyDescent="0.15">
      <c r="A171" s="40" t="str">
        <f>input!A167</f>
        <v>Conto economico</v>
      </c>
      <c r="B171" s="41"/>
      <c r="C171" s="41"/>
      <c r="D171" s="41"/>
      <c r="E171" s="41"/>
      <c r="F171" s="41"/>
      <c r="G171" s="41"/>
      <c r="H171" s="41"/>
      <c r="I171" s="41"/>
      <c r="J171" s="41"/>
      <c r="K171" s="41"/>
    </row>
    <row r="172" spans="1:14" s="10" customFormat="1" ht="14" x14ac:dyDescent="0.15">
      <c r="A172" s="35" t="str">
        <f>input!A168</f>
        <v>A. TOT. VAL. DELLA PRODUZIONE</v>
      </c>
      <c r="B172" s="36">
        <f>$M172*input!B168</f>
        <v>716833</v>
      </c>
      <c r="C172" s="36">
        <f>$M172*input!C168</f>
        <v>561438</v>
      </c>
      <c r="D172" s="36">
        <f>$M172*input!D168</f>
        <v>778513.32900000003</v>
      </c>
      <c r="E172" s="36">
        <f>$M172*input!E168</f>
        <v>588825.80299999996</v>
      </c>
      <c r="F172" s="36">
        <f>$M172*input!F168</f>
        <v>474425.01199999999</v>
      </c>
      <c r="G172" s="36">
        <f>$M172*input!G168</f>
        <v>593075.30500000005</v>
      </c>
      <c r="H172" s="36">
        <f>$M172*input!H168</f>
        <v>607222.65</v>
      </c>
      <c r="I172" s="36">
        <f>$M172*input!I168</f>
        <v>653117.46100000001</v>
      </c>
      <c r="J172" s="36">
        <f>$M172*input!J168</f>
        <v>653243.69799999997</v>
      </c>
      <c r="K172" s="36">
        <f>$M172*input!K168</f>
        <v>618272.34100000001</v>
      </c>
      <c r="M172" s="10">
        <v>1</v>
      </c>
    </row>
    <row r="173" spans="1:14" x14ac:dyDescent="0.15">
      <c r="A173" s="11" t="str">
        <f>input!A169</f>
        <v>A.1. Ricavi vendite e prestazioni</v>
      </c>
      <c r="B173" s="2">
        <f>$M173*input!B169</f>
        <v>563394</v>
      </c>
      <c r="C173" s="2">
        <f>$M173*input!C169</f>
        <v>465805</v>
      </c>
      <c r="D173" s="2">
        <f>$M173*input!D169</f>
        <v>686052.73800000001</v>
      </c>
      <c r="E173" s="2">
        <f>$M173*input!E169</f>
        <v>541259.54099999997</v>
      </c>
      <c r="F173" s="2">
        <f>$M173*input!F169</f>
        <v>452166.67</v>
      </c>
      <c r="G173" s="2">
        <f>$M173*input!G169</f>
        <v>593117.56599999999</v>
      </c>
      <c r="H173" s="2">
        <f>$M173*input!H169</f>
        <v>593723.91799999995</v>
      </c>
      <c r="I173" s="2">
        <f>$M173*input!I169</f>
        <v>634079.11199999996</v>
      </c>
      <c r="J173" s="2">
        <f>$M173*input!J169</f>
        <v>642254.50399999996</v>
      </c>
      <c r="K173" s="2">
        <f>$M173*input!K169</f>
        <v>608857.84699999995</v>
      </c>
      <c r="M173" s="1">
        <v>1</v>
      </c>
      <c r="N173" s="1" t="s">
        <v>281</v>
      </c>
    </row>
    <row r="174" spans="1:14" x14ac:dyDescent="0.15">
      <c r="A174" s="11" t="str">
        <f>input!A170</f>
        <v>A.2. Var. rimanenze prodotti</v>
      </c>
      <c r="B174" s="2">
        <f>$M174*input!B170</f>
        <v>9700</v>
      </c>
      <c r="C174" s="2">
        <f>$M174*input!C170</f>
        <v>-18892</v>
      </c>
      <c r="D174" s="2">
        <f>$M174*input!D170</f>
        <v>25197.522000000001</v>
      </c>
      <c r="E174" s="2">
        <f>$M174*input!E170</f>
        <v>12046.266</v>
      </c>
      <c r="F174" s="2">
        <f>$M174*input!F170</f>
        <v>1685.1220000000001</v>
      </c>
      <c r="G174" s="2">
        <f>$M174*input!G170</f>
        <v>-7328.6350000000002</v>
      </c>
      <c r="H174" s="2">
        <f>$M174*input!H170</f>
        <v>3923.395</v>
      </c>
      <c r="I174" s="2">
        <f>$M174*input!I170</f>
        <v>-6827.4930000000004</v>
      </c>
      <c r="J174" s="2">
        <f>$M174*input!J170</f>
        <v>3840.038</v>
      </c>
      <c r="K174" s="2">
        <f>$M174*input!K170</f>
        <v>-246</v>
      </c>
      <c r="M174" s="1">
        <v>1</v>
      </c>
      <c r="N174" s="1" t="s">
        <v>282</v>
      </c>
    </row>
    <row r="175" spans="1:14" x14ac:dyDescent="0.15">
      <c r="A175" s="11" t="str">
        <f>input!A171</f>
        <v>A.3. Variazione lavori</v>
      </c>
      <c r="B175" s="2">
        <f>$M175*input!B171</f>
        <v>0</v>
      </c>
      <c r="C175" s="2">
        <f>$M175*input!C171</f>
        <v>0</v>
      </c>
      <c r="D175" s="2">
        <f>$M175*input!D171</f>
        <v>0</v>
      </c>
      <c r="E175" s="2">
        <f>$M175*input!E171</f>
        <v>0</v>
      </c>
      <c r="F175" s="2">
        <f>$M175*input!F171</f>
        <v>0</v>
      </c>
      <c r="G175" s="2">
        <f>$M175*input!G171</f>
        <v>0</v>
      </c>
      <c r="H175" s="2">
        <f>$M175*input!H171</f>
        <v>0</v>
      </c>
      <c r="I175" s="2">
        <f>$M175*input!I171</f>
        <v>0</v>
      </c>
      <c r="J175" s="2">
        <f>$M175*input!J171</f>
        <v>0</v>
      </c>
      <c r="K175" s="2">
        <f>$M175*input!K171</f>
        <v>0</v>
      </c>
      <c r="M175" s="1">
        <v>1</v>
      </c>
      <c r="N175" s="1" t="s">
        <v>283</v>
      </c>
    </row>
    <row r="176" spans="1:14" x14ac:dyDescent="0.15">
      <c r="A176" s="11" t="str">
        <f>input!A172</f>
        <v>A.2. + A.3. Totale Variazioni</v>
      </c>
      <c r="B176" s="2">
        <f>$M176*input!B172</f>
        <v>9700</v>
      </c>
      <c r="C176" s="2">
        <f>$M176*input!C172</f>
        <v>-18892</v>
      </c>
      <c r="D176" s="2">
        <f>$M176*input!D172</f>
        <v>25197.522000000001</v>
      </c>
      <c r="E176" s="2">
        <f>$M176*input!E172</f>
        <v>12046.266</v>
      </c>
      <c r="F176" s="2">
        <f>$M176*input!F172</f>
        <v>1685.1220000000001</v>
      </c>
      <c r="G176" s="2">
        <f>$M176*input!G172</f>
        <v>-7328.6350000000002</v>
      </c>
      <c r="H176" s="2">
        <f>$M176*input!H172</f>
        <v>3923.395</v>
      </c>
      <c r="I176" s="2">
        <f>$M176*input!I172</f>
        <v>-6827.4930000000004</v>
      </c>
      <c r="J176" s="2">
        <f>$M176*input!J172</f>
        <v>3840.038</v>
      </c>
      <c r="K176" s="2">
        <f>$M176*input!K172</f>
        <v>-246</v>
      </c>
      <c r="M176" s="1">
        <v>1</v>
      </c>
    </row>
    <row r="177" spans="1:14" x14ac:dyDescent="0.15">
      <c r="A177" s="11" t="str">
        <f>input!A173</f>
        <v>A.4. Incrementi di immob.</v>
      </c>
      <c r="B177" s="2">
        <f>$M177*input!B173</f>
        <v>4659</v>
      </c>
      <c r="C177" s="2">
        <f>$M177*input!C173</f>
        <v>3685</v>
      </c>
      <c r="D177" s="2">
        <f>$M177*input!D173</f>
        <v>809.38199999999995</v>
      </c>
      <c r="E177" s="2">
        <f>$M177*input!E173</f>
        <v>1326.432</v>
      </c>
      <c r="F177" s="2">
        <f>$M177*input!F173</f>
        <v>1595.6669999999999</v>
      </c>
      <c r="G177" s="2">
        <f>$M177*input!G173</f>
        <v>909.42899999999997</v>
      </c>
      <c r="H177" s="2">
        <f>$M177*input!H173</f>
        <v>1371.615</v>
      </c>
      <c r="I177" s="2">
        <f>$M177*input!I173</f>
        <v>784.82500000000005</v>
      </c>
      <c r="J177" s="2">
        <f>$M177*input!J173</f>
        <v>317.24799999999999</v>
      </c>
      <c r="K177" s="2">
        <f>$M177*input!K173</f>
        <v>535.27700000000004</v>
      </c>
      <c r="M177" s="1">
        <v>1</v>
      </c>
      <c r="N177" s="1" t="s">
        <v>284</v>
      </c>
    </row>
    <row r="178" spans="1:14" x14ac:dyDescent="0.15">
      <c r="A178" s="11" t="str">
        <f>input!A174</f>
        <v>A.5. Altri ricavi</v>
      </c>
      <c r="B178" s="2">
        <f>$M178*input!B174</f>
        <v>139080</v>
      </c>
      <c r="C178" s="2">
        <f>$M178*input!C174</f>
        <v>110840</v>
      </c>
      <c r="D178" s="2">
        <f>$M178*input!D174</f>
        <v>66453.687000000005</v>
      </c>
      <c r="E178" s="2">
        <f>$M178*input!E174</f>
        <v>34193.563999999998</v>
      </c>
      <c r="F178" s="2">
        <f>$M178*input!F174</f>
        <v>18977.553</v>
      </c>
      <c r="G178" s="2">
        <f>$M178*input!G174</f>
        <v>6376.9449999999997</v>
      </c>
      <c r="H178" s="2">
        <f>$M178*input!H174</f>
        <v>8203.7219999999998</v>
      </c>
      <c r="I178" s="2">
        <f>$M178*input!I174</f>
        <v>25081.017</v>
      </c>
      <c r="J178" s="2">
        <f>$M178*input!J174</f>
        <v>6831.9080000000004</v>
      </c>
      <c r="K178" s="2">
        <f>$M178*input!K174</f>
        <v>9125.2170000000006</v>
      </c>
      <c r="M178" s="1">
        <v>1</v>
      </c>
      <c r="N178" s="1" t="s">
        <v>281</v>
      </c>
    </row>
    <row r="179" spans="1:14" x14ac:dyDescent="0.15">
      <c r="A179" s="11" t="str">
        <f>input!A175</f>
        <v>Contributi in conto esercizio</v>
      </c>
      <c r="B179" s="2">
        <f>$M179*input!B175</f>
        <v>2123</v>
      </c>
      <c r="C179" s="2">
        <f>$M179*input!C175</f>
        <v>9121</v>
      </c>
      <c r="D179" s="2">
        <f>$M179*input!D175</f>
        <v>20889.058000000001</v>
      </c>
      <c r="E179" s="2">
        <f>$M179*input!E175</f>
        <v>143.67699999999999</v>
      </c>
      <c r="F179" s="2">
        <f>$M179*input!F175</f>
        <v>377.92200000000003</v>
      </c>
      <c r="G179" s="2">
        <f>$M179*input!G175</f>
        <v>141.16200000000001</v>
      </c>
      <c r="H179" s="2">
        <f>$M179*input!H175</f>
        <v>816.35699999999997</v>
      </c>
      <c r="I179" s="2">
        <f>$M179*input!I175</f>
        <v>703.74900000000002</v>
      </c>
      <c r="J179" s="2">
        <f>$M179*input!J175</f>
        <v>70.302999999999997</v>
      </c>
      <c r="K179" s="2">
        <f>$M179*input!K175</f>
        <v>85.563000000000002</v>
      </c>
      <c r="M179" s="1">
        <v>1</v>
      </c>
      <c r="N179" s="1" t="s">
        <v>285</v>
      </c>
    </row>
    <row r="180" spans="1:14" s="10" customFormat="1" ht="14" x14ac:dyDescent="0.15">
      <c r="A180" s="35" t="str">
        <f>input!A176</f>
        <v>B. COSTI DELLA PRODUZIONE</v>
      </c>
      <c r="B180" s="36">
        <f>$M180*input!B176</f>
        <v>656297</v>
      </c>
      <c r="C180" s="36">
        <f>$M180*input!C176</f>
        <v>504248</v>
      </c>
      <c r="D180" s="36">
        <f>$M180*input!D176</f>
        <v>767219.04500000004</v>
      </c>
      <c r="E180" s="36">
        <f>$M180*input!E176</f>
        <v>579536.99100000004</v>
      </c>
      <c r="F180" s="36">
        <f>$M180*input!F176</f>
        <v>471160.83</v>
      </c>
      <c r="G180" s="36">
        <f>$M180*input!G176</f>
        <v>562411.52500000002</v>
      </c>
      <c r="H180" s="36">
        <f>$M180*input!H176</f>
        <v>573505.08400000003</v>
      </c>
      <c r="I180" s="36">
        <f>$M180*input!I176</f>
        <v>575818.75199999998</v>
      </c>
      <c r="J180" s="36">
        <f>$M180*input!J176</f>
        <v>582390.40800000005</v>
      </c>
      <c r="K180" s="36">
        <f>$M180*input!K176</f>
        <v>566338.50100000005</v>
      </c>
      <c r="M180" s="10">
        <v>1</v>
      </c>
    </row>
    <row r="181" spans="1:14" x14ac:dyDescent="0.15">
      <c r="A181" s="11" t="str">
        <f>input!A177</f>
        <v>B.6. Materie prime e consumo</v>
      </c>
      <c r="B181" s="2">
        <f>$M181*input!B177</f>
        <v>-294635</v>
      </c>
      <c r="C181" s="2">
        <f>$M181*input!C177</f>
        <v>-233853</v>
      </c>
      <c r="D181" s="2">
        <f>$M181*input!D177</f>
        <v>-369324.92</v>
      </c>
      <c r="E181" s="2">
        <f>$M181*input!E177</f>
        <v>-286223.41899999999</v>
      </c>
      <c r="F181" s="2">
        <f>$M181*input!F177</f>
        <v>-212362.41899999999</v>
      </c>
      <c r="G181" s="2">
        <f>$M181*input!G177</f>
        <v>-251077.60200000001</v>
      </c>
      <c r="H181" s="2">
        <f>$M181*input!H177</f>
        <v>-354468.08799999999</v>
      </c>
      <c r="I181" s="2">
        <f>$M181*input!I177</f>
        <v>-310414.15299999999</v>
      </c>
      <c r="J181" s="2">
        <f>$M181*input!J177</f>
        <v>-308669.76</v>
      </c>
      <c r="K181" s="2">
        <f>$M181*input!K177</f>
        <v>-314184.40100000001</v>
      </c>
      <c r="M181" s="1">
        <v>-1</v>
      </c>
      <c r="N181" s="1" t="s">
        <v>286</v>
      </c>
    </row>
    <row r="182" spans="1:14" x14ac:dyDescent="0.15">
      <c r="A182" s="11" t="str">
        <f>input!A178</f>
        <v>B.7. Servizi</v>
      </c>
      <c r="B182" s="2">
        <f>$M182*input!B178</f>
        <v>-186379</v>
      </c>
      <c r="C182" s="2">
        <f>$M182*input!C178</f>
        <v>-150974</v>
      </c>
      <c r="D182" s="2">
        <f>$M182*input!D178</f>
        <v>-233037.49799999999</v>
      </c>
      <c r="E182" s="2">
        <f>$M182*input!E178</f>
        <v>-152791.55900000001</v>
      </c>
      <c r="F182" s="2">
        <f>$M182*input!F178</f>
        <v>-136499.391</v>
      </c>
      <c r="G182" s="2">
        <f>$M182*input!G178</f>
        <v>-138892.42199999999</v>
      </c>
      <c r="H182" s="2">
        <f>$M182*input!H178</f>
        <v>-130598.713</v>
      </c>
      <c r="I182" s="2">
        <f>$M182*input!I178</f>
        <v>-123574.18700000001</v>
      </c>
      <c r="J182" s="2">
        <f>$M182*input!J178</f>
        <v>-132183.02799999999</v>
      </c>
      <c r="K182" s="2">
        <f>$M182*input!K178</f>
        <v>-134109.93700000001</v>
      </c>
      <c r="M182" s="1">
        <v>-1</v>
      </c>
      <c r="N182" s="1" t="s">
        <v>287</v>
      </c>
    </row>
    <row r="183" spans="1:14" x14ac:dyDescent="0.15">
      <c r="A183" s="11" t="str">
        <f>input!A179</f>
        <v>B.8. Godimento beni di terzi</v>
      </c>
      <c r="B183" s="2">
        <f>$M183*input!B179</f>
        <v>0</v>
      </c>
      <c r="C183" s="2">
        <f>$M183*input!C179</f>
        <v>0</v>
      </c>
      <c r="D183" s="2">
        <f>$M183*input!D179</f>
        <v>-9817.73</v>
      </c>
      <c r="E183" s="2">
        <f>$M183*input!E179</f>
        <v>-10480.972</v>
      </c>
      <c r="F183" s="2">
        <f>$M183*input!F179</f>
        <v>-9122.4560000000001</v>
      </c>
      <c r="G183" s="2">
        <f>$M183*input!G179</f>
        <v>-10345.315000000001</v>
      </c>
      <c r="H183" s="2">
        <f>$M183*input!H179</f>
        <v>-9457.3119999999999</v>
      </c>
      <c r="I183" s="2">
        <f>$M183*input!I179</f>
        <v>-15010.611999999999</v>
      </c>
      <c r="J183" s="2">
        <f>$M183*input!J179</f>
        <v>-14467.255999999999</v>
      </c>
      <c r="K183" s="2">
        <f>$M183*input!K179</f>
        <v>-5282.0609999999997</v>
      </c>
      <c r="M183" s="1">
        <v>-1</v>
      </c>
      <c r="N183" s="1" t="s">
        <v>288</v>
      </c>
    </row>
    <row r="184" spans="1:14" x14ac:dyDescent="0.15">
      <c r="A184" s="11" t="str">
        <f>input!A180</f>
        <v>B.9. Totale costi del personale</v>
      </c>
      <c r="B184" s="2">
        <f>$M184*input!B180</f>
        <v>-109862</v>
      </c>
      <c r="C184" s="2">
        <f>$M184*input!C180</f>
        <v>-81692</v>
      </c>
      <c r="D184" s="2">
        <f>$M184*input!D180</f>
        <v>-103269.478</v>
      </c>
      <c r="E184" s="2">
        <f>$M184*input!E180</f>
        <v>-99862.975000000006</v>
      </c>
      <c r="F184" s="2">
        <f>$M184*input!F180</f>
        <v>-85109.024999999994</v>
      </c>
      <c r="G184" s="2">
        <f>$M184*input!G180</f>
        <v>-93196.070999999996</v>
      </c>
      <c r="H184" s="2">
        <f>$M184*input!H180</f>
        <v>-87542.437000000005</v>
      </c>
      <c r="I184" s="2">
        <f>$M184*input!I180</f>
        <v>-89605.232999999993</v>
      </c>
      <c r="J184" s="2">
        <f>$M184*input!J180</f>
        <v>-91396.603000000003</v>
      </c>
      <c r="K184" s="2">
        <f>$M184*input!K180</f>
        <v>-88636.918000000005</v>
      </c>
      <c r="L184" s="22"/>
      <c r="M184" s="1">
        <v>-1</v>
      </c>
      <c r="N184" s="1" t="s">
        <v>289</v>
      </c>
    </row>
    <row r="185" spans="1:14" x14ac:dyDescent="0.15">
      <c r="A185" s="12" t="str">
        <f>input!A181</f>
        <v>B.9.a. Salari e stipendi</v>
      </c>
      <c r="B185" s="2">
        <f>$M185*input!B181</f>
        <v>77712</v>
      </c>
      <c r="C185" s="2">
        <f>$M185*input!C181</f>
        <v>58883</v>
      </c>
      <c r="D185" s="2">
        <f>$M185*input!D181</f>
        <v>74911.387000000002</v>
      </c>
      <c r="E185" s="2">
        <f>$M185*input!E181</f>
        <v>71487.195000000007</v>
      </c>
      <c r="F185" s="2">
        <f>$M185*input!F181</f>
        <v>59749.349000000002</v>
      </c>
      <c r="G185" s="2">
        <f>$M185*input!G181</f>
        <v>64866.205999999998</v>
      </c>
      <c r="H185" s="2">
        <f>$M185*input!H181</f>
        <v>61908.048000000003</v>
      </c>
      <c r="I185" s="2">
        <f>$M185*input!I181</f>
        <v>63648.148000000001</v>
      </c>
      <c r="J185" s="2">
        <f>$M185*input!J181</f>
        <v>64480.544999999998</v>
      </c>
      <c r="K185" s="2">
        <f>$M185*input!K181</f>
        <v>62412.108</v>
      </c>
      <c r="L185" s="22"/>
      <c r="M185" s="1">
        <v>1</v>
      </c>
    </row>
    <row r="186" spans="1:14" x14ac:dyDescent="0.15">
      <c r="A186" s="12" t="str">
        <f>input!A182</f>
        <v>B.9.b. Oneri sociali</v>
      </c>
      <c r="B186" s="2">
        <f>$M186*input!B182</f>
        <v>22089</v>
      </c>
      <c r="C186" s="2">
        <f>$M186*input!C182</f>
        <v>17023</v>
      </c>
      <c r="D186" s="2">
        <f>$M186*input!D182</f>
        <v>20727.396000000001</v>
      </c>
      <c r="E186" s="2">
        <f>$M186*input!E182</f>
        <v>20414.879000000001</v>
      </c>
      <c r="F186" s="2">
        <f>$M186*input!F182</f>
        <v>18817.364000000001</v>
      </c>
      <c r="G186" s="2">
        <f>$M186*input!G182</f>
        <v>20688.695</v>
      </c>
      <c r="H186" s="2">
        <f>$M186*input!H182</f>
        <v>20027.201000000001</v>
      </c>
      <c r="I186" s="2">
        <f>$M186*input!I182</f>
        <v>20480.386999999999</v>
      </c>
      <c r="J186" s="2">
        <f>$M186*input!J182</f>
        <v>21212.454000000002</v>
      </c>
      <c r="K186" s="2">
        <f>$M186*input!K182</f>
        <v>21049.16</v>
      </c>
      <c r="M186" s="1">
        <v>1</v>
      </c>
    </row>
    <row r="187" spans="1:14" x14ac:dyDescent="0.15">
      <c r="A187" s="12" t="str">
        <f>input!A183</f>
        <v>B.9.c. Tratt. fine rapporto</v>
      </c>
      <c r="B187" s="2">
        <f>$M187*input!B183</f>
        <v>0</v>
      </c>
      <c r="C187" s="2">
        <f>$M187*input!C183</f>
        <v>0</v>
      </c>
      <c r="D187" s="2">
        <f>$M187*input!D183</f>
        <v>2822.2339999999999</v>
      </c>
      <c r="E187" s="2">
        <f>$M187*input!E183</f>
        <v>2057.366</v>
      </c>
      <c r="F187" s="2">
        <f>$M187*input!F183</f>
        <v>1392.8</v>
      </c>
      <c r="G187" s="2">
        <f>$M187*input!G183</f>
        <v>1760.472</v>
      </c>
      <c r="H187" s="2">
        <f>$M187*input!H183</f>
        <v>1922.0940000000001</v>
      </c>
      <c r="I187" s="2">
        <f>$M187*input!I183</f>
        <v>1890.655</v>
      </c>
      <c r="J187" s="2">
        <f>$M187*input!J183</f>
        <v>1963.165</v>
      </c>
      <c r="K187" s="2">
        <f>$M187*input!K183</f>
        <v>1862.771</v>
      </c>
      <c r="M187" s="1">
        <v>1</v>
      </c>
    </row>
    <row r="188" spans="1:14" x14ac:dyDescent="0.15">
      <c r="A188" s="12" t="str">
        <f>input!A184</f>
        <v>B.9.d. Tratt. di quiescenza</v>
      </c>
      <c r="B188" s="2">
        <f>$M188*input!B184</f>
        <v>0</v>
      </c>
      <c r="C188" s="2">
        <f>$M188*input!C184</f>
        <v>0</v>
      </c>
      <c r="D188" s="2">
        <f>$M188*input!D184</f>
        <v>2980.07</v>
      </c>
      <c r="E188" s="2">
        <f>$M188*input!E184</f>
        <v>3125.7049999999999</v>
      </c>
      <c r="F188" s="2">
        <f>$M188*input!F184</f>
        <v>3361.6010000000001</v>
      </c>
      <c r="G188" s="2">
        <f>$M188*input!G184</f>
        <v>3246.7689999999998</v>
      </c>
      <c r="H188" s="2">
        <f>$M188*input!H184</f>
        <v>3062.8919999999998</v>
      </c>
      <c r="I188" s="2">
        <f>$M188*input!I184</f>
        <v>3033.5129999999999</v>
      </c>
      <c r="J188" s="2">
        <f>$M188*input!J184</f>
        <v>3002.5889999999999</v>
      </c>
      <c r="K188" s="2">
        <f>$M188*input!K184</f>
        <v>3067.335</v>
      </c>
      <c r="M188" s="1">
        <v>1</v>
      </c>
    </row>
    <row r="189" spans="1:14" x14ac:dyDescent="0.15">
      <c r="A189" s="12" t="str">
        <f>input!A185</f>
        <v>B.9.e. Altri costi</v>
      </c>
      <c r="B189" s="2">
        <f>$M189*input!B185</f>
        <v>10061</v>
      </c>
      <c r="C189" s="2">
        <f>$M189*input!C185</f>
        <v>5786</v>
      </c>
      <c r="D189" s="2">
        <f>$M189*input!D185</f>
        <v>1828.3910000000001</v>
      </c>
      <c r="E189" s="2">
        <f>$M189*input!E185</f>
        <v>2777.83</v>
      </c>
      <c r="F189" s="2">
        <f>$M189*input!F185</f>
        <v>1787.9110000000001</v>
      </c>
      <c r="G189" s="2">
        <f>$M189*input!G185</f>
        <v>2633.9290000000001</v>
      </c>
      <c r="H189" s="2">
        <f>$M189*input!H185</f>
        <v>622.202</v>
      </c>
      <c r="I189" s="2">
        <f>$M189*input!I185</f>
        <v>552.53</v>
      </c>
      <c r="J189" s="2">
        <f>$M189*input!J185</f>
        <v>737.85</v>
      </c>
      <c r="K189" s="2">
        <f>$M189*input!K185</f>
        <v>245.54400000000001</v>
      </c>
      <c r="M189" s="1">
        <v>1</v>
      </c>
    </row>
    <row r="190" spans="1:14" x14ac:dyDescent="0.15">
      <c r="A190" s="12" t="str">
        <f>input!A186</f>
        <v>B.9.f. TFR + quiescenza + altri costi</v>
      </c>
      <c r="B190" s="2">
        <f>$M190*input!B186</f>
        <v>10061</v>
      </c>
      <c r="C190" s="2">
        <f>$M190*input!C186</f>
        <v>5786</v>
      </c>
      <c r="D190" s="2">
        <f>$M190*input!D186</f>
        <v>7630.6949999999997</v>
      </c>
      <c r="E190" s="2">
        <f>$M190*input!E186</f>
        <v>7960.9009999999998</v>
      </c>
      <c r="F190" s="2">
        <f>$M190*input!F186</f>
        <v>6542.3119999999999</v>
      </c>
      <c r="G190" s="2">
        <f>$M190*input!G186</f>
        <v>7641.17</v>
      </c>
      <c r="H190" s="2">
        <f>$M190*input!H186</f>
        <v>5607.1880000000001</v>
      </c>
      <c r="I190" s="2">
        <f>$M190*input!I186</f>
        <v>5476.6980000000003</v>
      </c>
      <c r="J190" s="2">
        <f>$M190*input!J186</f>
        <v>5703.6040000000003</v>
      </c>
      <c r="K190" s="2">
        <f>$M190*input!K186</f>
        <v>5175.6499999999996</v>
      </c>
      <c r="M190" s="1">
        <v>1</v>
      </c>
    </row>
    <row r="191" spans="1:14" x14ac:dyDescent="0.15">
      <c r="A191" s="11" t="str">
        <f>input!A187</f>
        <v>B.10. TOT Ammortamenti e svalut.</v>
      </c>
      <c r="B191" s="2">
        <f>$M191*input!B187</f>
        <v>51303</v>
      </c>
      <c r="C191" s="2">
        <f>$M191*input!C187</f>
        <v>34444</v>
      </c>
      <c r="D191" s="2">
        <f>$M191*input!D187</f>
        <v>38134.266000000003</v>
      </c>
      <c r="E191" s="2">
        <f>$M191*input!E187</f>
        <v>30746.916000000001</v>
      </c>
      <c r="F191" s="2">
        <f>$M191*input!F187</f>
        <v>24436.806</v>
      </c>
      <c r="G191" s="2">
        <f>$M191*input!G187</f>
        <v>25506.424999999999</v>
      </c>
      <c r="H191" s="2">
        <f>$M191*input!H187</f>
        <v>21062.95</v>
      </c>
      <c r="I191" s="2">
        <f>$M191*input!I187</f>
        <v>20471.141</v>
      </c>
      <c r="J191" s="2">
        <f>$M191*input!J187</f>
        <v>24381.822</v>
      </c>
      <c r="K191" s="2">
        <f>$M191*input!K187</f>
        <v>23649.059000000001</v>
      </c>
      <c r="L191" s="22"/>
      <c r="M191" s="1">
        <v>1</v>
      </c>
    </row>
    <row r="192" spans="1:14" x14ac:dyDescent="0.15">
      <c r="A192" s="12" t="str">
        <f>input!A188</f>
        <v>B.10.a. Amm. Immob. Immat.</v>
      </c>
      <c r="B192" s="2">
        <f>$M192*input!B188</f>
        <v>-17419</v>
      </c>
      <c r="C192" s="2">
        <f>$M192*input!C188</f>
        <v>-6609</v>
      </c>
      <c r="D192" s="2">
        <f>$M192*input!D188</f>
        <v>-7787.4530000000004</v>
      </c>
      <c r="E192" s="2">
        <f>$M192*input!E188</f>
        <v>-6153.1559999999999</v>
      </c>
      <c r="F192" s="2">
        <f>$M192*input!F188</f>
        <v>-5598.6909999999998</v>
      </c>
      <c r="G192" s="2">
        <f>$M192*input!G188</f>
        <v>-2012.7460000000001</v>
      </c>
      <c r="H192" s="2">
        <f>$M192*input!H188</f>
        <v>-1873.6969999999999</v>
      </c>
      <c r="I192" s="2">
        <f>$M192*input!I188</f>
        <v>-2182.5050000000001</v>
      </c>
      <c r="J192" s="2">
        <f>$M192*input!J188</f>
        <v>-2368.2510000000002</v>
      </c>
      <c r="K192" s="2">
        <f>$M192*input!K188</f>
        <v>-2617.8980000000001</v>
      </c>
      <c r="M192" s="1">
        <v>-1</v>
      </c>
      <c r="N192" s="1" t="s">
        <v>290</v>
      </c>
    </row>
    <row r="193" spans="1:15" x14ac:dyDescent="0.15">
      <c r="A193" s="12" t="str">
        <f>input!A189</f>
        <v>B.10.b. Amm. Immob. Mat.</v>
      </c>
      <c r="B193" s="2">
        <f>$M193*input!B189</f>
        <v>-33884</v>
      </c>
      <c r="C193" s="2">
        <f>$M193*input!C189</f>
        <v>-26052</v>
      </c>
      <c r="D193" s="2">
        <f>$M193*input!D189</f>
        <v>-22216.22</v>
      </c>
      <c r="E193" s="2">
        <f>$M193*input!E189</f>
        <v>-22066.156999999999</v>
      </c>
      <c r="F193" s="2">
        <f>$M193*input!F189</f>
        <v>-18838.115000000002</v>
      </c>
      <c r="G193" s="2">
        <f>$M193*input!G189</f>
        <v>-17758.05</v>
      </c>
      <c r="H193" s="2">
        <f>$M193*input!H189</f>
        <v>-18032.236000000001</v>
      </c>
      <c r="I193" s="2">
        <f>$M193*input!I189</f>
        <v>-17520.155999999999</v>
      </c>
      <c r="J193" s="2">
        <f>$M193*input!J189</f>
        <v>-18447.008000000002</v>
      </c>
      <c r="K193" s="2">
        <f>$M193*input!K189</f>
        <v>-19703.081999999999</v>
      </c>
      <c r="M193" s="1">
        <v>-1</v>
      </c>
      <c r="N193" s="1" t="s">
        <v>290</v>
      </c>
    </row>
    <row r="194" spans="1:15" x14ac:dyDescent="0.15">
      <c r="A194" s="12" t="str">
        <f>input!A190</f>
        <v>B.10.c. Altre svalut. Immob.</v>
      </c>
      <c r="B194" s="2">
        <f>$M194*input!B190</f>
        <v>0</v>
      </c>
      <c r="C194" s="2">
        <f>$M194*input!C190</f>
        <v>0</v>
      </c>
      <c r="D194" s="2">
        <f>$M194*input!D190</f>
        <v>-4674.4269999999997</v>
      </c>
      <c r="E194" s="2">
        <f>$M194*input!E190</f>
        <v>-2527.6030000000001</v>
      </c>
      <c r="F194" s="2">
        <f>$M194*input!F190</f>
        <v>0</v>
      </c>
      <c r="G194" s="2">
        <f>$M194*input!G190</f>
        <v>-4853.549</v>
      </c>
      <c r="H194" s="2">
        <f>$M194*input!H190</f>
        <v>0</v>
      </c>
      <c r="I194" s="2">
        <f>$M194*input!I190</f>
        <v>0</v>
      </c>
      <c r="J194" s="2">
        <f>$M194*input!J190</f>
        <v>-2078.5630000000001</v>
      </c>
      <c r="K194" s="2">
        <f>$M194*input!K190</f>
        <v>0</v>
      </c>
      <c r="M194" s="1">
        <v>-1</v>
      </c>
      <c r="N194" s="1" t="s">
        <v>291</v>
      </c>
    </row>
    <row r="195" spans="1:15" x14ac:dyDescent="0.15">
      <c r="A195" s="12" t="str">
        <f>input!A191</f>
        <v>B.10.a+b+c. Amm. e svalut. delle immob.</v>
      </c>
      <c r="B195" s="2">
        <f>$M195*input!B191</f>
        <v>51303</v>
      </c>
      <c r="C195" s="2">
        <f>$M195*input!C191</f>
        <v>32661</v>
      </c>
      <c r="D195" s="2">
        <f>$M195*input!D191</f>
        <v>34678.1</v>
      </c>
      <c r="E195" s="2">
        <f>$M195*input!E191</f>
        <v>30746.916000000001</v>
      </c>
      <c r="F195" s="2">
        <f>$M195*input!F191</f>
        <v>24436.806</v>
      </c>
      <c r="G195" s="2">
        <f>$M195*input!G191</f>
        <v>24624.345000000001</v>
      </c>
      <c r="H195" s="2">
        <f>$M195*input!H191</f>
        <v>19905.933000000001</v>
      </c>
      <c r="I195" s="2">
        <f>$M195*input!I191</f>
        <v>19702.661</v>
      </c>
      <c r="J195" s="2">
        <f>$M195*input!J191</f>
        <v>22893.822</v>
      </c>
      <c r="K195" s="2">
        <f>$M195*input!K191</f>
        <v>22320.98</v>
      </c>
      <c r="M195" s="1">
        <v>1</v>
      </c>
    </row>
    <row r="196" spans="1:15" x14ac:dyDescent="0.15">
      <c r="A196" s="12" t="str">
        <f>input!A192</f>
        <v>B.10.d. Svalut. crediti</v>
      </c>
      <c r="B196" s="2">
        <f>$M196*input!B192</f>
        <v>0</v>
      </c>
      <c r="C196" s="2">
        <f>$M196*input!C192</f>
        <v>-1783</v>
      </c>
      <c r="D196" s="2">
        <f>$M196*input!D192</f>
        <v>-3456.1660000000002</v>
      </c>
      <c r="E196" s="2">
        <f>$M196*input!E192</f>
        <v>0</v>
      </c>
      <c r="F196" s="2">
        <f>$M196*input!F192</f>
        <v>0</v>
      </c>
      <c r="G196" s="2">
        <f>$M196*input!G192</f>
        <v>-882.08</v>
      </c>
      <c r="H196" s="2">
        <f>$M196*input!H192</f>
        <v>-1157.0170000000001</v>
      </c>
      <c r="I196" s="2">
        <f>$M196*input!I192</f>
        <v>-768.48</v>
      </c>
      <c r="J196" s="2">
        <f>$M196*input!J192</f>
        <v>-1488</v>
      </c>
      <c r="K196" s="2">
        <f>$M196*input!K192</f>
        <v>-1328.079</v>
      </c>
      <c r="M196" s="1">
        <v>-1</v>
      </c>
      <c r="N196" s="1" t="s">
        <v>291</v>
      </c>
    </row>
    <row r="197" spans="1:15" x14ac:dyDescent="0.15">
      <c r="A197" s="11" t="str">
        <f>input!A193</f>
        <v>B.11. Variazione materie</v>
      </c>
      <c r="B197" s="2">
        <f>$M197*input!B193</f>
        <v>0</v>
      </c>
      <c r="C197" s="2">
        <f>$M197*input!C193</f>
        <v>0</v>
      </c>
      <c r="D197" s="2">
        <f>$M197*input!D193</f>
        <v>-3920.5720000000001</v>
      </c>
      <c r="E197" s="2">
        <f>$M197*input!E193</f>
        <v>7298.4579999999996</v>
      </c>
      <c r="F197" s="2">
        <f>$M197*input!F193</f>
        <v>1366.336</v>
      </c>
      <c r="G197" s="2">
        <f>$M197*input!G193</f>
        <v>-39220.777000000002</v>
      </c>
      <c r="H197" s="2">
        <f>$M197*input!H193</f>
        <v>39490.86</v>
      </c>
      <c r="I197" s="2">
        <f>$M197*input!I193</f>
        <v>-1762.672</v>
      </c>
      <c r="J197" s="2">
        <f>$M197*input!J193</f>
        <v>79.873000000000005</v>
      </c>
      <c r="K197" s="2">
        <f>$M197*input!K193</f>
        <v>3289.3319999999999</v>
      </c>
      <c r="M197" s="1">
        <v>-1</v>
      </c>
      <c r="N197" s="1" t="s">
        <v>292</v>
      </c>
    </row>
    <row r="198" spans="1:15" x14ac:dyDescent="0.15">
      <c r="A198" s="11" t="str">
        <f>input!A194</f>
        <v>B.12. Accantonamenti per rischi</v>
      </c>
      <c r="B198" s="2">
        <f>$M198*input!B194</f>
        <v>0</v>
      </c>
      <c r="C198" s="2">
        <f>$M198*input!C194</f>
        <v>0</v>
      </c>
      <c r="D198" s="2">
        <f>$M198*input!D194</f>
        <v>-5621.59</v>
      </c>
      <c r="E198" s="2">
        <f>$M198*input!E194</f>
        <v>-3751.8939999999998</v>
      </c>
      <c r="F198" s="2">
        <f>$M198*input!F194</f>
        <v>-1563.559</v>
      </c>
      <c r="G198" s="2">
        <f>$M198*input!G194</f>
        <v>-1377.06</v>
      </c>
      <c r="H198" s="2">
        <f>$M198*input!H194</f>
        <v>-6329.3450000000003</v>
      </c>
      <c r="I198" s="2">
        <f>$M198*input!I194</f>
        <v>-10238.432000000001</v>
      </c>
      <c r="J198" s="2">
        <f>$M198*input!J194</f>
        <v>-7707</v>
      </c>
      <c r="K198" s="2">
        <f>$M198*input!K194</f>
        <v>-200</v>
      </c>
      <c r="M198" s="1">
        <v>-1</v>
      </c>
      <c r="N198" s="1" t="s">
        <v>290</v>
      </c>
    </row>
    <row r="199" spans="1:15" x14ac:dyDescent="0.15">
      <c r="A199" s="11" t="str">
        <f>input!A195</f>
        <v>B.13. Altri accantonamenti</v>
      </c>
      <c r="B199" s="2">
        <f>$M199*input!B195</f>
        <v>0</v>
      </c>
      <c r="C199" s="2">
        <f>$M199*input!C195</f>
        <v>0</v>
      </c>
      <c r="D199" s="2">
        <f>$M199*input!D195</f>
        <v>0</v>
      </c>
      <c r="E199" s="2">
        <f>$M199*input!E195</f>
        <v>0</v>
      </c>
      <c r="F199" s="2">
        <f>$M199*input!F195</f>
        <v>0</v>
      </c>
      <c r="G199" s="2">
        <f>$M199*input!G195</f>
        <v>0</v>
      </c>
      <c r="H199" s="2">
        <f>$M199*input!H195</f>
        <v>-700</v>
      </c>
      <c r="I199" s="2">
        <f>$M199*input!I195</f>
        <v>-1200</v>
      </c>
      <c r="J199" s="2">
        <f>$M199*input!J195</f>
        <v>-500</v>
      </c>
      <c r="K199" s="2">
        <f>$M199*input!K195</f>
        <v>-300</v>
      </c>
      <c r="M199" s="1">
        <v>-1</v>
      </c>
      <c r="N199" s="1" t="s">
        <v>290</v>
      </c>
    </row>
    <row r="200" spans="1:15" x14ac:dyDescent="0.15">
      <c r="A200" s="11" t="str">
        <f>input!A196</f>
        <v>B.14. Oneri diversi di gestione</v>
      </c>
      <c r="B200" s="2">
        <f>$M200*input!B196</f>
        <v>-14118</v>
      </c>
      <c r="C200" s="2">
        <f>$M200*input!C196</f>
        <v>-3285</v>
      </c>
      <c r="D200" s="2">
        <f>$M200*input!D196</f>
        <v>-4092.991</v>
      </c>
      <c r="E200" s="2">
        <f>$M200*input!E196</f>
        <v>-2977.7139999999999</v>
      </c>
      <c r="F200" s="2">
        <f>$M200*input!F196</f>
        <v>-3433.51</v>
      </c>
      <c r="G200" s="2">
        <f>$M200*input!G196</f>
        <v>-2795.8530000000001</v>
      </c>
      <c r="H200" s="2">
        <f>$M200*input!H196</f>
        <v>-2837.0990000000002</v>
      </c>
      <c r="I200" s="2">
        <f>$M200*input!I196</f>
        <v>-3542.3220000000001</v>
      </c>
      <c r="J200" s="2">
        <f>$M200*input!J196</f>
        <v>-3164.8119999999999</v>
      </c>
      <c r="K200" s="2">
        <f>$M200*input!K196</f>
        <v>-3265.4569999999999</v>
      </c>
      <c r="M200" s="1">
        <v>-1</v>
      </c>
      <c r="N200" s="1" t="s">
        <v>293</v>
      </c>
    </row>
    <row r="201" spans="1:15" s="9" customFormat="1" x14ac:dyDescent="0.15">
      <c r="A201" s="15" t="str">
        <f>input!A197</f>
        <v>RISULTATO OPERATIVO</v>
      </c>
      <c r="B201" s="16">
        <f>$M201*input!B197</f>
        <v>60536</v>
      </c>
      <c r="C201" s="16">
        <f>$M201*input!C197</f>
        <v>57190</v>
      </c>
      <c r="D201" s="16">
        <f>$M201*input!D197</f>
        <v>11294.284</v>
      </c>
      <c r="E201" s="16">
        <f>$M201*input!E197</f>
        <v>9288.8119999999999</v>
      </c>
      <c r="F201" s="16">
        <f>$M201*input!F197</f>
        <v>3264.1819999999998</v>
      </c>
      <c r="G201" s="16">
        <f>$M201*input!G197</f>
        <v>30663.78</v>
      </c>
      <c r="H201" s="16">
        <f>$M201*input!H197</f>
        <v>33717.565999999999</v>
      </c>
      <c r="I201" s="16">
        <f>$M201*input!I197</f>
        <v>77298.709000000003</v>
      </c>
      <c r="J201" s="16">
        <f>$M201*input!J197</f>
        <v>70853.289999999994</v>
      </c>
      <c r="K201" s="16">
        <f>$M201*input!K197</f>
        <v>51933.84</v>
      </c>
      <c r="M201" s="9">
        <v>1</v>
      </c>
      <c r="O201" s="29"/>
    </row>
    <row r="202" spans="1:15" s="18" customFormat="1" x14ac:dyDescent="0.15">
      <c r="A202" s="11" t="str">
        <f>input!A198</f>
        <v>Valore Aggiunto</v>
      </c>
      <c r="B202" s="17">
        <f>$M202*input!B198</f>
        <v>221701</v>
      </c>
      <c r="C202" s="17">
        <f>$M202*input!C198</f>
        <v>173326</v>
      </c>
      <c r="D202" s="17">
        <f>$M202*input!D198</f>
        <v>158319.61799999999</v>
      </c>
      <c r="E202" s="17">
        <f>$M202*input!E198</f>
        <v>143650.59700000001</v>
      </c>
      <c r="F202" s="17">
        <f>$M202*input!F198</f>
        <v>114373.572</v>
      </c>
      <c r="G202" s="17">
        <f>$M202*input!G198</f>
        <v>150743.33600000001</v>
      </c>
      <c r="H202" s="17">
        <f>$M202*input!H198</f>
        <v>149352.29800000001</v>
      </c>
      <c r="I202" s="17">
        <f>$M202*input!I198</f>
        <v>198813.51500000001</v>
      </c>
      <c r="J202" s="17">
        <f>$M202*input!J198</f>
        <v>194838.715</v>
      </c>
      <c r="K202" s="17">
        <f>$M202*input!K198</f>
        <v>164719.81700000001</v>
      </c>
      <c r="M202" s="18">
        <v>1</v>
      </c>
    </row>
    <row r="203" spans="1:15" s="10" customFormat="1" ht="14" x14ac:dyDescent="0.15">
      <c r="A203" s="35" t="str">
        <f>input!A199</f>
        <v>C. TOTALE PROVENTI E ONERI FINANZIARI</v>
      </c>
      <c r="B203" s="36">
        <f>$M203*input!B199</f>
        <v>-331886</v>
      </c>
      <c r="C203" s="36">
        <f>$M203*input!C199</f>
        <v>-112761</v>
      </c>
      <c r="D203" s="36">
        <f>$M203*input!D199</f>
        <v>11534.01</v>
      </c>
      <c r="E203" s="36">
        <f>$M203*input!E199</f>
        <v>-17638.457999999999</v>
      </c>
      <c r="F203" s="36">
        <f>$M203*input!F199</f>
        <v>-57619.540999999997</v>
      </c>
      <c r="G203" s="36">
        <f>$M203*input!G199</f>
        <v>2594.7750000000001</v>
      </c>
      <c r="H203" s="36">
        <f>$M203*input!H199</f>
        <v>3433.0219999999999</v>
      </c>
      <c r="I203" s="36">
        <f>$M203*input!I199</f>
        <v>1926.3979999999999</v>
      </c>
      <c r="J203" s="36">
        <f>$M203*input!J199</f>
        <v>4748.5309999999999</v>
      </c>
      <c r="K203" s="36">
        <f>$M203*input!K199</f>
        <v>2813.9859999999999</v>
      </c>
      <c r="M203" s="10">
        <v>1</v>
      </c>
    </row>
    <row r="204" spans="1:15" x14ac:dyDescent="0.15">
      <c r="A204" s="11" t="str">
        <f>input!A200</f>
        <v>C.15. Tot. proventi da partecip.</v>
      </c>
      <c r="B204" s="2">
        <f>$M204*input!B200</f>
        <v>2000</v>
      </c>
      <c r="C204" s="2">
        <f>$M204*input!C200</f>
        <v>475</v>
      </c>
      <c r="D204" s="2">
        <f>$M204*input!D200</f>
        <v>53000</v>
      </c>
      <c r="E204" s="2">
        <f>$M204*input!E200</f>
        <v>15827.805</v>
      </c>
      <c r="F204" s="2">
        <f>$M204*input!F200</f>
        <v>7825.268</v>
      </c>
      <c r="G204" s="2">
        <f>$M204*input!G200</f>
        <v>6793.7470000000003</v>
      </c>
      <c r="H204" s="2">
        <f>$M204*input!H200</f>
        <v>6812.8969999999999</v>
      </c>
      <c r="I204" s="2">
        <f>$M204*input!I200</f>
        <v>7560.9319999999998</v>
      </c>
      <c r="J204" s="2">
        <f>$M204*input!J200</f>
        <v>7605.4920000000002</v>
      </c>
      <c r="K204" s="2">
        <f>$M204*input!K200</f>
        <v>6245.6940000000004</v>
      </c>
      <c r="M204" s="1">
        <v>1</v>
      </c>
      <c r="N204" s="1" t="s">
        <v>294</v>
      </c>
    </row>
    <row r="205" spans="1:15" x14ac:dyDescent="0.15">
      <c r="A205" s="12" t="str">
        <f>input!A201</f>
        <v>di cui: verso contr.anti, collegate, contr.te e sottoposte ctrl controllanti</v>
      </c>
      <c r="B205" s="2">
        <f>$M205*input!B201</f>
        <v>0</v>
      </c>
      <c r="C205" s="2">
        <f>$M205*input!C201</f>
        <v>0</v>
      </c>
      <c r="D205" s="2">
        <f>$M205*input!D201</f>
        <v>0</v>
      </c>
      <c r="E205" s="2">
        <f>$M205*input!E201</f>
        <v>0</v>
      </c>
      <c r="F205" s="2">
        <f>$M205*input!F201</f>
        <v>0</v>
      </c>
      <c r="G205" s="2">
        <f>$M205*input!G201</f>
        <v>0</v>
      </c>
      <c r="H205" s="2">
        <f>$M205*input!H201</f>
        <v>0</v>
      </c>
      <c r="I205" s="2">
        <f>$M205*input!I201</f>
        <v>0</v>
      </c>
      <c r="J205" s="2">
        <f>$M205*input!J201</f>
        <v>0</v>
      </c>
      <c r="K205" s="2">
        <f>$M205*input!K201</f>
        <v>0</v>
      </c>
      <c r="M205" s="1">
        <v>1</v>
      </c>
    </row>
    <row r="206" spans="1:15" x14ac:dyDescent="0.15">
      <c r="A206" s="12" t="str">
        <f>input!A202</f>
        <v>di cui: da imprese controllanti</v>
      </c>
      <c r="B206" s="2">
        <f>$M206*input!B202</f>
        <v>0</v>
      </c>
      <c r="C206" s="2">
        <f>$M206*input!C202</f>
        <v>0</v>
      </c>
      <c r="D206" s="2">
        <f>$M206*input!D202</f>
        <v>0</v>
      </c>
      <c r="E206" s="2">
        <f>$M206*input!E202</f>
        <v>0</v>
      </c>
      <c r="F206" s="2">
        <f>$M206*input!F202</f>
        <v>0</v>
      </c>
      <c r="G206" s="2">
        <f>$M206*input!G202</f>
        <v>0</v>
      </c>
      <c r="H206" s="2">
        <f>$M206*input!H202</f>
        <v>0</v>
      </c>
      <c r="I206" s="2">
        <f>$M206*input!I202</f>
        <v>0</v>
      </c>
      <c r="J206" s="2">
        <f>$M206*input!J202</f>
        <v>0</v>
      </c>
      <c r="K206" s="2">
        <f>$M206*input!K202</f>
        <v>0</v>
      </c>
      <c r="M206" s="1">
        <v>1</v>
      </c>
    </row>
    <row r="207" spans="1:15" x14ac:dyDescent="0.15">
      <c r="A207" s="12" t="str">
        <f>input!A203</f>
        <v>di cui: da imprese sottoposte al controllo delle controllanti</v>
      </c>
      <c r="B207" s="2">
        <f>$M207*input!B203</f>
        <v>0</v>
      </c>
      <c r="C207" s="2">
        <f>$M207*input!C203</f>
        <v>0</v>
      </c>
      <c r="D207" s="2">
        <f>$M207*input!D203</f>
        <v>0</v>
      </c>
      <c r="E207" s="2">
        <f>$M207*input!E203</f>
        <v>0</v>
      </c>
      <c r="F207" s="2">
        <f>$M207*input!F203</f>
        <v>0</v>
      </c>
      <c r="G207" s="2">
        <f>$M207*input!G203</f>
        <v>0</v>
      </c>
      <c r="H207" s="2">
        <f>$M207*input!H203</f>
        <v>0</v>
      </c>
      <c r="I207" s="2">
        <f>$M207*input!I203</f>
        <v>0</v>
      </c>
      <c r="J207" s="2">
        <f>$M207*input!J203</f>
        <v>0</v>
      </c>
      <c r="K207" s="2">
        <f>$M207*input!K203</f>
        <v>0</v>
      </c>
      <c r="M207" s="1">
        <v>1</v>
      </c>
    </row>
    <row r="208" spans="1:15" x14ac:dyDescent="0.15">
      <c r="A208" s="11" t="str">
        <f>input!A204</f>
        <v>C.16. TOT Altri Proventi</v>
      </c>
      <c r="B208" s="2">
        <f>$M208*input!B204</f>
        <v>29006</v>
      </c>
      <c r="C208" s="2">
        <f>$M208*input!C204</f>
        <v>22875</v>
      </c>
      <c r="D208" s="2">
        <f>$M208*input!D204</f>
        <v>7976.72</v>
      </c>
      <c r="E208" s="2">
        <f>$M208*input!E204</f>
        <v>6455.6469999999999</v>
      </c>
      <c r="F208" s="2">
        <f>$M208*input!F204</f>
        <v>7773.098</v>
      </c>
      <c r="G208" s="2">
        <f>$M208*input!G204</f>
        <v>851.75099999999998</v>
      </c>
      <c r="H208" s="2">
        <f>$M208*input!H204</f>
        <v>1026.672</v>
      </c>
      <c r="I208" s="2">
        <f>$M208*input!I204</f>
        <v>1144.6679999999999</v>
      </c>
      <c r="J208" s="2">
        <f>$M208*input!J204</f>
        <v>450.45100000000002</v>
      </c>
      <c r="K208" s="2">
        <f>$M208*input!K204</f>
        <v>1503.171</v>
      </c>
      <c r="M208" s="1">
        <v>1</v>
      </c>
    </row>
    <row r="209" spans="1:14" x14ac:dyDescent="0.15">
      <c r="A209" s="12" t="str">
        <f>input!A205</f>
        <v>C.16.a. Da Crediti</v>
      </c>
      <c r="B209" s="2">
        <f>$M209*input!B205</f>
        <v>0</v>
      </c>
      <c r="C209" s="2">
        <f>$M209*input!C205</f>
        <v>0</v>
      </c>
      <c r="D209" s="2">
        <f>$M209*input!D205</f>
        <v>0</v>
      </c>
      <c r="E209" s="2">
        <f>$M209*input!E205</f>
        <v>0</v>
      </c>
      <c r="F209" s="2">
        <f>$M209*input!F205</f>
        <v>0</v>
      </c>
      <c r="G209" s="2">
        <f>$M209*input!G205</f>
        <v>0</v>
      </c>
      <c r="H209" s="2">
        <f>$M209*input!H205</f>
        <v>0</v>
      </c>
      <c r="I209" s="2">
        <f>$M209*input!I205</f>
        <v>545.673</v>
      </c>
      <c r="J209" s="2">
        <f>$M209*input!J205</f>
        <v>277.25599999999997</v>
      </c>
      <c r="K209" s="2">
        <f>$M209*input!K205</f>
        <v>1272.902</v>
      </c>
      <c r="M209" s="1">
        <v>1</v>
      </c>
      <c r="N209" s="1" t="s">
        <v>295</v>
      </c>
    </row>
    <row r="210" spans="1:14" x14ac:dyDescent="0.15">
      <c r="A210" s="13" t="str">
        <f>input!A206</f>
        <v>di cui: verso contr.anti, collegate, contr.te e sottoposte ctrl controllanti</v>
      </c>
      <c r="B210" s="2">
        <f>$M210*input!B206</f>
        <v>0</v>
      </c>
      <c r="C210" s="2">
        <f>$M210*input!C206</f>
        <v>0</v>
      </c>
      <c r="D210" s="2">
        <f>$M210*input!D206</f>
        <v>0</v>
      </c>
      <c r="E210" s="2">
        <f>$M210*input!E206</f>
        <v>0</v>
      </c>
      <c r="F210" s="2">
        <f>$M210*input!F206</f>
        <v>0</v>
      </c>
      <c r="G210" s="2">
        <f>$M210*input!G206</f>
        <v>0</v>
      </c>
      <c r="H210" s="2">
        <f>$M210*input!H206</f>
        <v>0</v>
      </c>
      <c r="I210" s="2">
        <f>$M210*input!I206</f>
        <v>0</v>
      </c>
      <c r="J210" s="2">
        <f>$M210*input!J206</f>
        <v>0</v>
      </c>
      <c r="K210" s="2">
        <f>$M210*input!K206</f>
        <v>0</v>
      </c>
      <c r="M210" s="1">
        <v>1</v>
      </c>
    </row>
    <row r="211" spans="1:14" x14ac:dyDescent="0.15">
      <c r="A211" s="13" t="str">
        <f>input!A207</f>
        <v>di cui: da imprese sottoposte al controllo delle controllanti</v>
      </c>
      <c r="B211" s="2">
        <f>$M211*input!B207</f>
        <v>0</v>
      </c>
      <c r="C211" s="2">
        <f>$M211*input!C207</f>
        <v>0</v>
      </c>
      <c r="D211" s="2">
        <f>$M211*input!D207</f>
        <v>0</v>
      </c>
      <c r="E211" s="2">
        <f>$M211*input!E207</f>
        <v>0</v>
      </c>
      <c r="F211" s="2">
        <f>$M211*input!F207</f>
        <v>0</v>
      </c>
      <c r="G211" s="2">
        <f>$M211*input!G207</f>
        <v>0</v>
      </c>
      <c r="H211" s="2">
        <f>$M211*input!H207</f>
        <v>0</v>
      </c>
      <c r="I211" s="2">
        <f>$M211*input!I207</f>
        <v>0</v>
      </c>
      <c r="J211" s="2">
        <f>$M211*input!J207</f>
        <v>0</v>
      </c>
      <c r="K211" s="2">
        <f>$M211*input!K207</f>
        <v>0</v>
      </c>
      <c r="M211" s="1">
        <v>1</v>
      </c>
    </row>
    <row r="212" spans="1:14" x14ac:dyDescent="0.15">
      <c r="A212" s="12" t="str">
        <f>input!A208</f>
        <v>C.16.b. Da titoli iscr. imm.</v>
      </c>
      <c r="B212" s="2">
        <f>$M212*input!B208</f>
        <v>0</v>
      </c>
      <c r="C212" s="2">
        <f>$M212*input!C208</f>
        <v>0</v>
      </c>
      <c r="D212" s="2">
        <f>$M212*input!D208</f>
        <v>0</v>
      </c>
      <c r="E212" s="2">
        <f>$M212*input!E208</f>
        <v>0</v>
      </c>
      <c r="F212" s="2">
        <f>$M212*input!F208</f>
        <v>0</v>
      </c>
      <c r="G212" s="2">
        <f>$M212*input!G208</f>
        <v>0</v>
      </c>
      <c r="H212" s="2">
        <f>$M212*input!H208</f>
        <v>0</v>
      </c>
      <c r="I212" s="2">
        <f>$M212*input!I208</f>
        <v>0</v>
      </c>
      <c r="J212" s="2">
        <f>$M212*input!J208</f>
        <v>0</v>
      </c>
      <c r="K212" s="2">
        <f>$M212*input!K208</f>
        <v>0</v>
      </c>
      <c r="M212" s="1">
        <v>1</v>
      </c>
      <c r="N212" s="1" t="s">
        <v>295</v>
      </c>
    </row>
    <row r="213" spans="1:14" x14ac:dyDescent="0.15">
      <c r="A213" s="12" t="str">
        <f>input!A209</f>
        <v>C.16.c. Da titoli iscr. att.circol.</v>
      </c>
      <c r="B213" s="2">
        <f>$M213*input!B209</f>
        <v>0</v>
      </c>
      <c r="C213" s="2">
        <f>$M213*input!C209</f>
        <v>0</v>
      </c>
      <c r="D213" s="2">
        <f>$M213*input!D209</f>
        <v>0</v>
      </c>
      <c r="E213" s="2">
        <f>$M213*input!E209</f>
        <v>0</v>
      </c>
      <c r="F213" s="2">
        <f>$M213*input!F209</f>
        <v>0</v>
      </c>
      <c r="G213" s="2">
        <f>$M213*input!G209</f>
        <v>0</v>
      </c>
      <c r="H213" s="2">
        <f>$M213*input!H209</f>
        <v>0</v>
      </c>
      <c r="I213" s="2">
        <f>$M213*input!I209</f>
        <v>0</v>
      </c>
      <c r="J213" s="2">
        <f>$M213*input!J209</f>
        <v>0</v>
      </c>
      <c r="K213" s="2">
        <f>$M213*input!K209</f>
        <v>0</v>
      </c>
      <c r="M213" s="1">
        <v>1</v>
      </c>
      <c r="N213" s="1" t="s">
        <v>295</v>
      </c>
    </row>
    <row r="214" spans="1:14" x14ac:dyDescent="0.15">
      <c r="A214" s="12" t="str">
        <f>input!A210</f>
        <v>C.16.b+c. Proventi da Titoli</v>
      </c>
      <c r="B214" s="2">
        <f>$M214*input!B210</f>
        <v>0</v>
      </c>
      <c r="C214" s="2">
        <f>$M214*input!C210</f>
        <v>0</v>
      </c>
      <c r="D214" s="2">
        <f>$M214*input!D210</f>
        <v>0</v>
      </c>
      <c r="E214" s="2">
        <f>$M214*input!E210</f>
        <v>0</v>
      </c>
      <c r="F214" s="2">
        <f>$M214*input!F210</f>
        <v>0</v>
      </c>
      <c r="G214" s="2">
        <f>$M214*input!G210</f>
        <v>0</v>
      </c>
      <c r="H214" s="2">
        <f>$M214*input!H210</f>
        <v>0</v>
      </c>
      <c r="I214" s="2">
        <f>$M214*input!I210</f>
        <v>0</v>
      </c>
      <c r="J214" s="2">
        <f>$M214*input!J210</f>
        <v>0</v>
      </c>
      <c r="K214" s="2">
        <f>$M214*input!K210</f>
        <v>0</v>
      </c>
      <c r="M214" s="1">
        <v>1</v>
      </c>
    </row>
    <row r="215" spans="1:14" x14ac:dyDescent="0.15">
      <c r="A215" s="12" t="str">
        <f>input!A211</f>
        <v>C.16.d. Proventi fin. Diversi</v>
      </c>
      <c r="B215" s="2">
        <f>$M215*input!B211</f>
        <v>29006</v>
      </c>
      <c r="C215" s="2">
        <f>$M215*input!C211</f>
        <v>22875</v>
      </c>
      <c r="D215" s="2">
        <f>$M215*input!D211</f>
        <v>7976.72</v>
      </c>
      <c r="E215" s="2">
        <f>$M215*input!E211</f>
        <v>6455.6469999999999</v>
      </c>
      <c r="F215" s="2">
        <f>$M215*input!F211</f>
        <v>7773.098</v>
      </c>
      <c r="G215" s="2">
        <f>$M215*input!G211</f>
        <v>851.75099999999998</v>
      </c>
      <c r="H215" s="2">
        <f>$M215*input!H211</f>
        <v>1026.672</v>
      </c>
      <c r="I215" s="2">
        <f>$M215*input!I211</f>
        <v>598.995</v>
      </c>
      <c r="J215" s="2">
        <f>$M215*input!J211</f>
        <v>173.19499999999999</v>
      </c>
      <c r="K215" s="2">
        <f>$M215*input!K211</f>
        <v>230.26900000000001</v>
      </c>
      <c r="M215" s="1">
        <v>1</v>
      </c>
      <c r="N215" s="1" t="s">
        <v>295</v>
      </c>
    </row>
    <row r="216" spans="1:14" x14ac:dyDescent="0.15">
      <c r="A216" s="13" t="str">
        <f>input!A212</f>
        <v>di cui: verso contr.anti, collegate, contr.te e sottoposte ctrl controllantil</v>
      </c>
      <c r="B216" s="2">
        <f>$M216*input!B212</f>
        <v>0</v>
      </c>
      <c r="C216" s="2">
        <f>$M216*input!C212</f>
        <v>0</v>
      </c>
      <c r="D216" s="2">
        <f>$M216*input!D212</f>
        <v>7757.84</v>
      </c>
      <c r="E216" s="2">
        <f>$M216*input!E212</f>
        <v>6429.1469999999999</v>
      </c>
      <c r="F216" s="2">
        <f>$M216*input!F212</f>
        <v>0</v>
      </c>
      <c r="G216" s="2">
        <f>$M216*input!G212</f>
        <v>0</v>
      </c>
      <c r="H216" s="2">
        <f>$M216*input!H212</f>
        <v>0</v>
      </c>
      <c r="I216" s="2">
        <f>$M216*input!I212</f>
        <v>0</v>
      </c>
      <c r="J216" s="2">
        <f>$M216*input!J212</f>
        <v>0</v>
      </c>
      <c r="K216" s="2">
        <f>$M216*input!K212</f>
        <v>0</v>
      </c>
      <c r="M216" s="1">
        <v>1</v>
      </c>
    </row>
    <row r="217" spans="1:14" x14ac:dyDescent="0.15">
      <c r="A217" s="13" t="str">
        <f>input!A213</f>
        <v>di cui: da imprese sottoposte al controllo delle controllanti</v>
      </c>
      <c r="B217" s="2">
        <f>$M217*input!B213</f>
        <v>0</v>
      </c>
      <c r="C217" s="2">
        <f>$M217*input!C213</f>
        <v>0</v>
      </c>
      <c r="D217" s="2">
        <f>$M217*input!D213</f>
        <v>0</v>
      </c>
      <c r="E217" s="2">
        <f>$M217*input!E213</f>
        <v>0</v>
      </c>
      <c r="F217" s="2">
        <f>$M217*input!F213</f>
        <v>0</v>
      </c>
      <c r="G217" s="2">
        <f>$M217*input!G213</f>
        <v>0</v>
      </c>
      <c r="H217" s="2">
        <f>$M217*input!H213</f>
        <v>0</v>
      </c>
      <c r="I217" s="2">
        <f>$M217*input!I213</f>
        <v>0</v>
      </c>
      <c r="J217" s="2">
        <f>$M217*input!J213</f>
        <v>0</v>
      </c>
      <c r="K217" s="2">
        <f>$M217*input!K213</f>
        <v>0</v>
      </c>
      <c r="M217" s="1">
        <v>1</v>
      </c>
    </row>
    <row r="218" spans="1:14" x14ac:dyDescent="0.15">
      <c r="A218" s="11" t="str">
        <f>input!A214</f>
        <v>C.17. Totale Oneri finanziari</v>
      </c>
      <c r="B218" s="2">
        <f>$M218*input!B214</f>
        <v>-355850</v>
      </c>
      <c r="C218" s="2">
        <f>$M218*input!C214</f>
        <v>-135795</v>
      </c>
      <c r="D218" s="2">
        <f>$M218*input!D214</f>
        <v>-57535.862000000001</v>
      </c>
      <c r="E218" s="2">
        <f>$M218*input!E214</f>
        <v>-41740</v>
      </c>
      <c r="F218" s="2">
        <f>$M218*input!F214</f>
        <v>-69507.698999999993</v>
      </c>
      <c r="G218" s="2">
        <f>$M218*input!G214</f>
        <v>-5823.7510000000002</v>
      </c>
      <c r="H218" s="2">
        <f>$M218*input!H214</f>
        <v>-4557.97</v>
      </c>
      <c r="I218" s="2">
        <f>$M218*input!I214</f>
        <v>-2723.6190000000001</v>
      </c>
      <c r="J218" s="2">
        <f>$M218*input!J214</f>
        <v>-3414.9189999999999</v>
      </c>
      <c r="K218" s="2">
        <f>$M218*input!K214</f>
        <v>-4104.1790000000001</v>
      </c>
      <c r="M218" s="1">
        <v>-1</v>
      </c>
      <c r="N218" s="1" t="s">
        <v>296</v>
      </c>
    </row>
    <row r="219" spans="1:14" x14ac:dyDescent="0.15">
      <c r="A219" s="12" t="str">
        <f>input!A215</f>
        <v>di cui: verso contr.anti, collegate, contr.te e sottoposte ctrl controllanti</v>
      </c>
      <c r="B219" s="2">
        <f>$M219*input!B215</f>
        <v>0</v>
      </c>
      <c r="C219" s="2">
        <f>$M219*input!C215</f>
        <v>0</v>
      </c>
      <c r="D219" s="2">
        <f>$M219*input!D215</f>
        <v>6688.4750000000004</v>
      </c>
      <c r="E219" s="2">
        <f>$M219*input!E215</f>
        <v>659.97299999999996</v>
      </c>
      <c r="F219" s="2">
        <f>$M219*input!F215</f>
        <v>0</v>
      </c>
      <c r="G219" s="2">
        <f>$M219*input!G215</f>
        <v>0</v>
      </c>
      <c r="H219" s="2">
        <f>$M219*input!H215</f>
        <v>0</v>
      </c>
      <c r="I219" s="2">
        <f>$M219*input!I215</f>
        <v>0</v>
      </c>
      <c r="J219" s="2">
        <f>$M219*input!J215</f>
        <v>0</v>
      </c>
      <c r="K219" s="2">
        <f>$M219*input!K215</f>
        <v>0</v>
      </c>
      <c r="M219" s="1">
        <v>1</v>
      </c>
    </row>
    <row r="220" spans="1:14" x14ac:dyDescent="0.15">
      <c r="A220" s="12" t="str">
        <f>input!A216</f>
        <v>di cui: da imprese sottoposte al controllo delle controllanti</v>
      </c>
      <c r="B220" s="2">
        <f>$M220*input!B216</f>
        <v>0</v>
      </c>
      <c r="C220" s="2">
        <f>$M220*input!C216</f>
        <v>0</v>
      </c>
      <c r="D220" s="2">
        <f>$M220*input!D216</f>
        <v>0</v>
      </c>
      <c r="E220" s="2">
        <f>$M220*input!E216</f>
        <v>0</v>
      </c>
      <c r="F220" s="2">
        <f>$M220*input!F216</f>
        <v>0</v>
      </c>
      <c r="G220" s="2">
        <f>$M220*input!G216</f>
        <v>0</v>
      </c>
      <c r="H220" s="2">
        <f>$M220*input!H216</f>
        <v>0</v>
      </c>
      <c r="I220" s="2">
        <f>$M220*input!I216</f>
        <v>0</v>
      </c>
      <c r="J220" s="2">
        <f>$M220*input!J216</f>
        <v>0</v>
      </c>
      <c r="K220" s="2">
        <f>$M220*input!K216</f>
        <v>0</v>
      </c>
      <c r="M220" s="1">
        <v>1</v>
      </c>
    </row>
    <row r="221" spans="1:14" x14ac:dyDescent="0.15">
      <c r="A221" s="11" t="str">
        <f>input!A217</f>
        <v>C.17.bis Utili e perdite su cambi</v>
      </c>
      <c r="B221" s="2">
        <f>$M221*input!B217</f>
        <v>-7042</v>
      </c>
      <c r="C221" s="2">
        <f>$M221*input!C217</f>
        <v>-316</v>
      </c>
      <c r="D221" s="2">
        <f>$M221*input!D217</f>
        <v>8093.152</v>
      </c>
      <c r="E221" s="2">
        <f>$M221*input!E217</f>
        <v>1818.09</v>
      </c>
      <c r="F221" s="2">
        <f>$M221*input!F217</f>
        <v>-3710.2080000000001</v>
      </c>
      <c r="G221" s="2">
        <f>$M221*input!G217</f>
        <v>773.02800000000002</v>
      </c>
      <c r="H221" s="2">
        <f>$M221*input!H217</f>
        <v>151.423</v>
      </c>
      <c r="I221" s="2">
        <f>$M221*input!I217</f>
        <v>-4055.5830000000001</v>
      </c>
      <c r="J221" s="2">
        <f>$M221*input!J217</f>
        <v>107.50700000000001</v>
      </c>
      <c r="K221" s="2">
        <f>$M221*input!K217</f>
        <v>-830.7</v>
      </c>
      <c r="M221" s="1">
        <v>1</v>
      </c>
      <c r="N221" s="1" t="s">
        <v>297</v>
      </c>
    </row>
    <row r="222" spans="1:14" s="10" customFormat="1" ht="14" x14ac:dyDescent="0.15">
      <c r="A222" s="35" t="str">
        <f>input!A218</f>
        <v>D. TOTALE RETTIFICHE ATT. FINANZ.</v>
      </c>
      <c r="B222" s="36">
        <f>$M222*input!B218</f>
        <v>-45154</v>
      </c>
      <c r="C222" s="36">
        <f>$M222*input!C218</f>
        <v>-7288</v>
      </c>
      <c r="D222" s="36">
        <f>$M222*input!D218</f>
        <v>-13681.922</v>
      </c>
      <c r="E222" s="36">
        <f>$M222*input!E218</f>
        <v>-129.52099999999999</v>
      </c>
      <c r="F222" s="36">
        <f>$M222*input!F218</f>
        <v>-781.99099999999999</v>
      </c>
      <c r="G222" s="36">
        <f>$M222*input!G218</f>
        <v>-20718.442999999999</v>
      </c>
      <c r="H222" s="36">
        <f>$M222*input!H218</f>
        <v>-26525.807000000001</v>
      </c>
      <c r="I222" s="36">
        <f>$M222*input!I218</f>
        <v>-17939.43</v>
      </c>
      <c r="J222" s="36">
        <f>$M222*input!J218</f>
        <v>1439.5450000000001</v>
      </c>
      <c r="K222" s="36">
        <f>$M222*input!K218</f>
        <v>-745.91300000000001</v>
      </c>
      <c r="M222" s="10">
        <v>1</v>
      </c>
    </row>
    <row r="223" spans="1:14" x14ac:dyDescent="0.15">
      <c r="A223" s="11" t="str">
        <f>input!A219</f>
        <v>D.18. TOT Rivalutazioni</v>
      </c>
      <c r="B223" s="2">
        <f>$M223*input!B219</f>
        <v>0</v>
      </c>
      <c r="C223" s="2">
        <f>$M223*input!C219</f>
        <v>0</v>
      </c>
      <c r="D223" s="2">
        <f>$M223*input!D219</f>
        <v>1696.644</v>
      </c>
      <c r="E223" s="2">
        <f>$M223*input!E219</f>
        <v>823.06299999999999</v>
      </c>
      <c r="F223" s="2">
        <f>$M223*input!F219</f>
        <v>623.72</v>
      </c>
      <c r="G223" s="2">
        <f>$M223*input!G219</f>
        <v>68.100999999999999</v>
      </c>
      <c r="H223" s="2">
        <f>$M223*input!H219</f>
        <v>347.47699999999998</v>
      </c>
      <c r="I223" s="2">
        <f>$M223*input!I219</f>
        <v>30.891999999999999</v>
      </c>
      <c r="J223" s="2">
        <f>$M223*input!J219</f>
        <v>1597.0170000000001</v>
      </c>
      <c r="K223" s="2">
        <f>$M223*input!K219</f>
        <v>0</v>
      </c>
      <c r="M223" s="1">
        <v>1</v>
      </c>
      <c r="N223" s="1" t="s">
        <v>298</v>
      </c>
    </row>
    <row r="224" spans="1:14" x14ac:dyDescent="0.15">
      <c r="A224" s="12" t="str">
        <f>input!A220</f>
        <v>D.18.a. Rivalut. di partec.</v>
      </c>
      <c r="B224" s="2">
        <f>$M224*input!B220</f>
        <v>0</v>
      </c>
      <c r="C224" s="2">
        <f>$M224*input!C220</f>
        <v>0</v>
      </c>
      <c r="D224" s="2">
        <f>$M224*input!D220</f>
        <v>0</v>
      </c>
      <c r="E224" s="2">
        <f>$M224*input!E220</f>
        <v>0</v>
      </c>
      <c r="F224" s="2">
        <f>$M224*input!F220</f>
        <v>0</v>
      </c>
      <c r="G224" s="2">
        <f>$M224*input!G220</f>
        <v>0</v>
      </c>
      <c r="H224" s="2">
        <f>$M224*input!H220</f>
        <v>0</v>
      </c>
      <c r="I224" s="2">
        <f>$M224*input!I220</f>
        <v>0</v>
      </c>
      <c r="J224" s="2">
        <f>$M224*input!J220</f>
        <v>0</v>
      </c>
      <c r="K224" s="2">
        <f>$M224*input!K220</f>
        <v>0</v>
      </c>
      <c r="M224" s="1">
        <v>1</v>
      </c>
    </row>
    <row r="225" spans="1:14" x14ac:dyDescent="0.15">
      <c r="A225" s="12" t="str">
        <f>input!A221</f>
        <v>D.18.b. Rivalut. di altre imm. fin.</v>
      </c>
      <c r="B225" s="2">
        <f>$M225*input!B221</f>
        <v>0</v>
      </c>
      <c r="C225" s="2">
        <f>$M225*input!C221</f>
        <v>0</v>
      </c>
      <c r="D225" s="2">
        <f>$M225*input!D221</f>
        <v>0</v>
      </c>
      <c r="E225" s="2">
        <f>$M225*input!E221</f>
        <v>0</v>
      </c>
      <c r="F225" s="2">
        <f>$M225*input!F221</f>
        <v>0</v>
      </c>
      <c r="G225" s="2">
        <f>$M225*input!G221</f>
        <v>0</v>
      </c>
      <c r="H225" s="2">
        <f>$M225*input!H221</f>
        <v>0</v>
      </c>
      <c r="I225" s="2">
        <f>$M225*input!I221</f>
        <v>0</v>
      </c>
      <c r="J225" s="2">
        <f>$M225*input!J221</f>
        <v>0</v>
      </c>
      <c r="K225" s="2">
        <f>$M225*input!K221</f>
        <v>0</v>
      </c>
      <c r="M225" s="1">
        <v>1</v>
      </c>
    </row>
    <row r="226" spans="1:14" x14ac:dyDescent="0.15">
      <c r="A226" s="12" t="str">
        <f>input!A222</f>
        <v>D.18.c. Rivalut. di titoli</v>
      </c>
      <c r="B226" s="2">
        <f>$M226*input!B222</f>
        <v>0</v>
      </c>
      <c r="C226" s="2">
        <f>$M226*input!C222</f>
        <v>0</v>
      </c>
      <c r="D226" s="2">
        <f>$M226*input!D222</f>
        <v>0</v>
      </c>
      <c r="E226" s="2">
        <f>$M226*input!E222</f>
        <v>0</v>
      </c>
      <c r="F226" s="2">
        <f>$M226*input!F222</f>
        <v>0</v>
      </c>
      <c r="G226" s="2">
        <f>$M226*input!G222</f>
        <v>0</v>
      </c>
      <c r="H226" s="2">
        <f>$M226*input!H222</f>
        <v>0</v>
      </c>
      <c r="I226" s="2">
        <f>$M226*input!I222</f>
        <v>0</v>
      </c>
      <c r="J226" s="2">
        <f>$M226*input!J222</f>
        <v>0</v>
      </c>
      <c r="K226" s="2">
        <f>$M226*input!K222</f>
        <v>0</v>
      </c>
      <c r="M226" s="1">
        <v>1</v>
      </c>
    </row>
    <row r="227" spans="1:14" x14ac:dyDescent="0.15">
      <c r="A227" s="12" t="str">
        <f>input!A223</f>
        <v>D.18.d. Rivalut. di strumenti finanziari derivati</v>
      </c>
      <c r="B227" s="2">
        <f>$M227*input!B223</f>
        <v>0</v>
      </c>
      <c r="C227" s="2">
        <f>$M227*input!C223</f>
        <v>0</v>
      </c>
      <c r="D227" s="2">
        <f>$M227*input!D223</f>
        <v>1696.644</v>
      </c>
      <c r="E227" s="2">
        <f>$M227*input!E223</f>
        <v>823.06299999999999</v>
      </c>
      <c r="F227" s="2">
        <f>$M227*input!F223</f>
        <v>623.72</v>
      </c>
      <c r="G227" s="2">
        <f>$M227*input!G223</f>
        <v>68.100999999999999</v>
      </c>
      <c r="H227" s="2">
        <f>$M227*input!H223</f>
        <v>347.47699999999998</v>
      </c>
      <c r="I227" s="2">
        <f>$M227*input!I223</f>
        <v>30.891999999999999</v>
      </c>
      <c r="J227" s="2">
        <f>$M227*input!J223</f>
        <v>1597.0170000000001</v>
      </c>
      <c r="K227" s="2">
        <f>$M227*input!K223</f>
        <v>0</v>
      </c>
      <c r="M227" s="1">
        <v>1</v>
      </c>
    </row>
    <row r="228" spans="1:14" x14ac:dyDescent="0.15">
      <c r="A228" s="12" t="str">
        <f>input!A224</f>
        <v>Rivalut. di attività finanziarie per la gestione accentrata della tesoreria</v>
      </c>
      <c r="B228" s="2">
        <f>$M228*input!B224</f>
        <v>0</v>
      </c>
      <c r="C228" s="2">
        <f>$M228*input!C224</f>
        <v>0</v>
      </c>
      <c r="D228" s="2">
        <f>$M228*input!D224</f>
        <v>0</v>
      </c>
      <c r="E228" s="2">
        <f>$M228*input!E224</f>
        <v>0</v>
      </c>
      <c r="F228" s="2">
        <f>$M228*input!F224</f>
        <v>0</v>
      </c>
      <c r="G228" s="2">
        <f>$M228*input!G224</f>
        <v>0</v>
      </c>
      <c r="H228" s="2">
        <f>$M228*input!H224</f>
        <v>0</v>
      </c>
      <c r="I228" s="2">
        <f>$M228*input!I224</f>
        <v>0</v>
      </c>
      <c r="J228" s="2">
        <f>$M228*input!J224</f>
        <v>0</v>
      </c>
      <c r="K228" s="2">
        <f>$M228*input!K224</f>
        <v>0</v>
      </c>
      <c r="M228" s="1">
        <v>1</v>
      </c>
    </row>
    <row r="229" spans="1:14" x14ac:dyDescent="0.15">
      <c r="A229" s="11" t="str">
        <f>input!A225</f>
        <v>D.19. TOT Svalutazioni</v>
      </c>
      <c r="B229" s="2">
        <f>$M229*input!B225</f>
        <v>-45154</v>
      </c>
      <c r="C229" s="2">
        <f>$M229*input!C225</f>
        <v>-7288</v>
      </c>
      <c r="D229" s="2">
        <f>$M229*input!D225</f>
        <v>-15378.566000000001</v>
      </c>
      <c r="E229" s="2">
        <f>$M229*input!E225</f>
        <v>-952.58399999999995</v>
      </c>
      <c r="F229" s="2">
        <f>$M229*input!F225</f>
        <v>-1405.711</v>
      </c>
      <c r="G229" s="2">
        <f>$M229*input!G225</f>
        <v>-20786.544000000002</v>
      </c>
      <c r="H229" s="2">
        <f>$M229*input!H225</f>
        <v>-26873.284</v>
      </c>
      <c r="I229" s="2">
        <f>$M229*input!I225</f>
        <v>-17970.322</v>
      </c>
      <c r="J229" s="2">
        <f>$M229*input!J225</f>
        <v>-157.47200000000001</v>
      </c>
      <c r="K229" s="2">
        <f>$M229*input!K225</f>
        <v>-745.91300000000001</v>
      </c>
      <c r="M229" s="1">
        <v>-1</v>
      </c>
      <c r="N229" s="1" t="s">
        <v>298</v>
      </c>
    </row>
    <row r="230" spans="1:14" x14ac:dyDescent="0.15">
      <c r="A230" s="12" t="str">
        <f>input!A226</f>
        <v>D.19.a. Svalut. di partec.</v>
      </c>
      <c r="B230" s="2">
        <f>$M230*input!B226</f>
        <v>45154</v>
      </c>
      <c r="C230" s="2">
        <f>$M230*input!C226</f>
        <v>7288</v>
      </c>
      <c r="D230" s="2">
        <f>$M230*input!D226</f>
        <v>1009.172</v>
      </c>
      <c r="E230" s="2">
        <f>$M230*input!E226</f>
        <v>948.90099999999995</v>
      </c>
      <c r="F230" s="2">
        <f>$M230*input!F226</f>
        <v>725.13300000000004</v>
      </c>
      <c r="G230" s="2">
        <f>$M230*input!G226</f>
        <v>20650.530999999999</v>
      </c>
      <c r="H230" s="2">
        <f>$M230*input!H226</f>
        <v>26861.226999999999</v>
      </c>
      <c r="I230" s="2">
        <f>$M230*input!I226</f>
        <v>17437.788</v>
      </c>
      <c r="J230" s="2">
        <f>$M230*input!J226</f>
        <v>0</v>
      </c>
      <c r="K230" s="2">
        <f>$M230*input!K226</f>
        <v>745.91300000000001</v>
      </c>
      <c r="M230" s="1">
        <v>1</v>
      </c>
    </row>
    <row r="231" spans="1:14" x14ac:dyDescent="0.15">
      <c r="A231" s="12" t="str">
        <f>input!A227</f>
        <v>D.19.b. Svalut. di altre imm. fin.</v>
      </c>
      <c r="B231" s="2">
        <f>$M231*input!B227</f>
        <v>0</v>
      </c>
      <c r="C231" s="2">
        <f>$M231*input!C227</f>
        <v>0</v>
      </c>
      <c r="D231" s="2">
        <f>$M231*input!D227</f>
        <v>0</v>
      </c>
      <c r="E231" s="2">
        <f>$M231*input!E227</f>
        <v>0</v>
      </c>
      <c r="F231" s="2">
        <f>$M231*input!F227</f>
        <v>0</v>
      </c>
      <c r="G231" s="2">
        <f>$M231*input!G227</f>
        <v>0</v>
      </c>
      <c r="H231" s="2">
        <f>$M231*input!H227</f>
        <v>0</v>
      </c>
      <c r="I231" s="2">
        <f>$M231*input!I227</f>
        <v>0</v>
      </c>
      <c r="J231" s="2">
        <f>$M231*input!J227</f>
        <v>0</v>
      </c>
      <c r="K231" s="2">
        <f>$M231*input!K227</f>
        <v>0</v>
      </c>
      <c r="M231" s="1">
        <v>1</v>
      </c>
    </row>
    <row r="232" spans="1:14" x14ac:dyDescent="0.15">
      <c r="A232" s="12" t="str">
        <f>input!A228</f>
        <v>D.19.c. Svalut. di titoli</v>
      </c>
      <c r="B232" s="2">
        <f>$M232*input!B228</f>
        <v>0</v>
      </c>
      <c r="C232" s="2">
        <f>$M232*input!C228</f>
        <v>0</v>
      </c>
      <c r="D232" s="2">
        <f>$M232*input!D228</f>
        <v>0</v>
      </c>
      <c r="E232" s="2">
        <f>$M232*input!E228</f>
        <v>0</v>
      </c>
      <c r="F232" s="2">
        <f>$M232*input!F228</f>
        <v>0</v>
      </c>
      <c r="G232" s="2">
        <f>$M232*input!G228</f>
        <v>0</v>
      </c>
      <c r="H232" s="2">
        <f>$M232*input!H228</f>
        <v>0</v>
      </c>
      <c r="I232" s="2">
        <f>$M232*input!I228</f>
        <v>0</v>
      </c>
      <c r="J232" s="2">
        <f>$M232*input!J228</f>
        <v>0</v>
      </c>
      <c r="K232" s="2">
        <f>$M232*input!K228</f>
        <v>0</v>
      </c>
      <c r="M232" s="1">
        <v>1</v>
      </c>
    </row>
    <row r="233" spans="1:14" x14ac:dyDescent="0.15">
      <c r="A233" s="12" t="str">
        <f>input!A229</f>
        <v>D.19.d. Svalut. di strumenti finanziari derivati</v>
      </c>
      <c r="B233" s="2">
        <f>$M233*input!B229</f>
        <v>0</v>
      </c>
      <c r="C233" s="2">
        <f>$M233*input!C229</f>
        <v>0</v>
      </c>
      <c r="D233" s="2">
        <f>$M233*input!D229</f>
        <v>14369.394</v>
      </c>
      <c r="E233" s="2">
        <f>$M233*input!E229</f>
        <v>3.6829999999999998</v>
      </c>
      <c r="F233" s="2">
        <f>$M233*input!F229</f>
        <v>680.57799999999997</v>
      </c>
      <c r="G233" s="2">
        <f>$M233*input!G229</f>
        <v>136.01300000000001</v>
      </c>
      <c r="H233" s="2">
        <f>$M233*input!H229</f>
        <v>12.057</v>
      </c>
      <c r="I233" s="2">
        <f>$M233*input!I229</f>
        <v>532.53399999999999</v>
      </c>
      <c r="J233" s="2">
        <f>$M233*input!J229</f>
        <v>157.47200000000001</v>
      </c>
      <c r="K233" s="2">
        <f>$M233*input!K229</f>
        <v>0</v>
      </c>
      <c r="M233" s="1">
        <v>1</v>
      </c>
    </row>
    <row r="234" spans="1:14" x14ac:dyDescent="0.15">
      <c r="A234" s="12" t="str">
        <f>input!A230</f>
        <v>Svalut. di attività finanziarie per la gestione accentrata della tesoreria</v>
      </c>
      <c r="B234" s="2">
        <f>$M234*input!B230</f>
        <v>0</v>
      </c>
      <c r="C234" s="2">
        <f>$M234*input!C230</f>
        <v>0</v>
      </c>
      <c r="D234" s="2">
        <f>$M234*input!D230</f>
        <v>0</v>
      </c>
      <c r="E234" s="2">
        <f>$M234*input!E230</f>
        <v>0</v>
      </c>
      <c r="F234" s="2">
        <f>$M234*input!F230</f>
        <v>0</v>
      </c>
      <c r="G234" s="2">
        <f>$M234*input!G230</f>
        <v>0</v>
      </c>
      <c r="H234" s="2">
        <f>$M234*input!H230</f>
        <v>0</v>
      </c>
      <c r="I234" s="2">
        <f>$M234*input!I230</f>
        <v>0</v>
      </c>
      <c r="J234" s="2">
        <f>$M234*input!J230</f>
        <v>0</v>
      </c>
      <c r="K234" s="2">
        <f>$M234*input!K230</f>
        <v>0</v>
      </c>
      <c r="M234" s="1">
        <v>1</v>
      </c>
    </row>
    <row r="235" spans="1:14" s="9" customFormat="1" x14ac:dyDescent="0.15">
      <c r="A235" s="15" t="str">
        <f>input!A231</f>
        <v>TOTALE PROVENTI/ONERI STRAORDINARI</v>
      </c>
      <c r="B235" s="16">
        <f>$M235*input!B231</f>
        <v>0</v>
      </c>
      <c r="C235" s="16">
        <f>$M235*input!C231</f>
        <v>0</v>
      </c>
      <c r="D235" s="16">
        <f>$M235*input!D231</f>
        <v>0</v>
      </c>
      <c r="E235" s="16">
        <f>$M235*input!E231</f>
        <v>0</v>
      </c>
      <c r="F235" s="16">
        <f>$M235*input!F231</f>
        <v>0</v>
      </c>
      <c r="G235" s="16">
        <f>$M235*input!G231</f>
        <v>0</v>
      </c>
      <c r="H235" s="16">
        <f>$M235*input!H231</f>
        <v>0</v>
      </c>
      <c r="I235" s="16">
        <f>$M235*input!I231</f>
        <v>0</v>
      </c>
      <c r="J235" s="16">
        <f>$M235*input!J231</f>
        <v>0</v>
      </c>
      <c r="K235" s="16">
        <f>$M235*input!K231</f>
        <v>1156.7249999999999</v>
      </c>
      <c r="M235" s="9">
        <v>1</v>
      </c>
    </row>
    <row r="236" spans="1:14" x14ac:dyDescent="0.15">
      <c r="A236" s="11" t="str">
        <f>input!A232</f>
        <v>Proventi Straordinari</v>
      </c>
      <c r="B236" s="2">
        <f>$M236*input!B232</f>
        <v>0</v>
      </c>
      <c r="C236" s="2">
        <f>$M236*input!C232</f>
        <v>0</v>
      </c>
      <c r="D236" s="2">
        <f>$M236*input!D232</f>
        <v>0</v>
      </c>
      <c r="E236" s="2">
        <f>$M236*input!E232</f>
        <v>0</v>
      </c>
      <c r="F236" s="2">
        <f>$M236*input!F232</f>
        <v>0</v>
      </c>
      <c r="G236" s="2">
        <f>$M236*input!G232</f>
        <v>0</v>
      </c>
      <c r="H236" s="2">
        <f>$M236*input!H232</f>
        <v>0</v>
      </c>
      <c r="I236" s="2">
        <f>$M236*input!I232</f>
        <v>0</v>
      </c>
      <c r="J236" s="2">
        <f>$M236*input!J232</f>
        <v>0</v>
      </c>
      <c r="K236" s="2">
        <f>$M236*input!K232</f>
        <v>9230.8829999999998</v>
      </c>
      <c r="M236" s="1">
        <v>1</v>
      </c>
      <c r="N236" s="1" t="s">
        <v>298</v>
      </c>
    </row>
    <row r="237" spans="1:14" x14ac:dyDescent="0.15">
      <c r="A237" s="12" t="str">
        <f>input!A233</f>
        <v>di cui plusvalenze</v>
      </c>
      <c r="B237" s="2">
        <f>$M237*input!B233</f>
        <v>0</v>
      </c>
      <c r="C237" s="2">
        <f>$M237*input!C233</f>
        <v>0</v>
      </c>
      <c r="D237" s="2">
        <f>$M237*input!D233</f>
        <v>0</v>
      </c>
      <c r="E237" s="2">
        <f>$M237*input!E233</f>
        <v>0</v>
      </c>
      <c r="F237" s="2">
        <f>$M237*input!F233</f>
        <v>0</v>
      </c>
      <c r="G237" s="2">
        <f>$M237*input!G233</f>
        <v>0</v>
      </c>
      <c r="H237" s="2">
        <f>$M237*input!H233</f>
        <v>0</v>
      </c>
      <c r="I237" s="2">
        <f>$M237*input!I233</f>
        <v>0</v>
      </c>
      <c r="J237" s="2">
        <f>$M237*input!J233</f>
        <v>0</v>
      </c>
      <c r="K237" s="2">
        <f>$M237*input!K233</f>
        <v>0</v>
      </c>
      <c r="M237" s="1">
        <v>1</v>
      </c>
    </row>
    <row r="238" spans="1:14" x14ac:dyDescent="0.15">
      <c r="A238" s="11" t="str">
        <f>input!A234</f>
        <v>Oneri Straordinari</v>
      </c>
      <c r="B238" s="2">
        <f>$M238*input!B234</f>
        <v>0</v>
      </c>
      <c r="C238" s="2">
        <f>$M238*input!C234</f>
        <v>0</v>
      </c>
      <c r="D238" s="2">
        <f>$M238*input!D234</f>
        <v>0</v>
      </c>
      <c r="E238" s="2">
        <f>$M238*input!E234</f>
        <v>0</v>
      </c>
      <c r="F238" s="2">
        <f>$M238*input!F234</f>
        <v>0</v>
      </c>
      <c r="G238" s="2">
        <f>$M238*input!G234</f>
        <v>0</v>
      </c>
      <c r="H238" s="2">
        <f>$M238*input!H234</f>
        <v>0</v>
      </c>
      <c r="I238" s="2">
        <f>$M238*input!I234</f>
        <v>0</v>
      </c>
      <c r="J238" s="2">
        <f>$M238*input!J234</f>
        <v>0</v>
      </c>
      <c r="K238" s="2">
        <f>$M238*input!K234</f>
        <v>-8074.1580000000004</v>
      </c>
      <c r="M238" s="1">
        <v>-1</v>
      </c>
      <c r="N238" s="1" t="s">
        <v>298</v>
      </c>
    </row>
    <row r="239" spans="1:14" x14ac:dyDescent="0.15">
      <c r="A239" s="12" t="str">
        <f>input!A235</f>
        <v>di cui minusvalenze</v>
      </c>
      <c r="B239" s="2">
        <f>$M239*input!B235</f>
        <v>0</v>
      </c>
      <c r="C239" s="2">
        <f>$M239*input!C235</f>
        <v>0</v>
      </c>
      <c r="D239" s="2">
        <f>$M239*input!D235</f>
        <v>0</v>
      </c>
      <c r="E239" s="2">
        <f>$M239*input!E235</f>
        <v>0</v>
      </c>
      <c r="F239" s="2">
        <f>$M239*input!F235</f>
        <v>0</v>
      </c>
      <c r="G239" s="2">
        <f>$M239*input!G235</f>
        <v>0</v>
      </c>
      <c r="H239" s="2">
        <f>$M239*input!H235</f>
        <v>0</v>
      </c>
      <c r="I239" s="2">
        <f>$M239*input!I235</f>
        <v>0</v>
      </c>
      <c r="J239" s="2">
        <f>$M239*input!J235</f>
        <v>0</v>
      </c>
      <c r="K239" s="2">
        <f>$M239*input!K235</f>
        <v>0</v>
      </c>
      <c r="M239" s="1">
        <v>1</v>
      </c>
    </row>
    <row r="240" spans="1:14" x14ac:dyDescent="0.15">
      <c r="A240" s="12" t="str">
        <f>input!A236</f>
        <v>di cui imposte esercizio precedente</v>
      </c>
      <c r="B240" s="2">
        <f>$M240*input!B236</f>
        <v>0</v>
      </c>
      <c r="C240" s="2">
        <f>$M240*input!C236</f>
        <v>0</v>
      </c>
      <c r="D240" s="2">
        <f>$M240*input!D236</f>
        <v>0</v>
      </c>
      <c r="E240" s="2">
        <f>$M240*input!E236</f>
        <v>0</v>
      </c>
      <c r="F240" s="2">
        <f>$M240*input!F236</f>
        <v>0</v>
      </c>
      <c r="G240" s="2">
        <f>$M240*input!G236</f>
        <v>0</v>
      </c>
      <c r="H240" s="2">
        <f>$M240*input!H236</f>
        <v>0</v>
      </c>
      <c r="I240" s="2">
        <f>$M240*input!I236</f>
        <v>0</v>
      </c>
      <c r="J240" s="2">
        <f>$M240*input!J236</f>
        <v>0</v>
      </c>
      <c r="K240" s="2">
        <f>$M240*input!K236</f>
        <v>0</v>
      </c>
      <c r="M240" s="1">
        <v>1</v>
      </c>
    </row>
    <row r="241" spans="1:14" s="9" customFormat="1" x14ac:dyDescent="0.15">
      <c r="A241" s="15" t="str">
        <f>input!A237</f>
        <v>RISULTATO PRIMA DELLE IMPOSTE</v>
      </c>
      <c r="B241" s="16">
        <f>$M241*input!B237</f>
        <v>-316504</v>
      </c>
      <c r="C241" s="16">
        <f>$M241*input!C237</f>
        <v>-62859</v>
      </c>
      <c r="D241" s="16">
        <f>$M241*input!D237</f>
        <v>9146.3719999999994</v>
      </c>
      <c r="E241" s="16">
        <f>$M241*input!E237</f>
        <v>-8479.1669999999995</v>
      </c>
      <c r="F241" s="16">
        <f>$M241*input!F237</f>
        <v>-55137.35</v>
      </c>
      <c r="G241" s="16">
        <f>$M241*input!G237</f>
        <v>12540.111999999999</v>
      </c>
      <c r="H241" s="16">
        <f>$M241*input!H237</f>
        <v>10624.781000000001</v>
      </c>
      <c r="I241" s="16">
        <f>$M241*input!I237</f>
        <v>61285.677000000003</v>
      </c>
      <c r="J241" s="16">
        <f>$M241*input!J237</f>
        <v>77041.365999999995</v>
      </c>
      <c r="K241" s="16">
        <f>$M241*input!K237</f>
        <v>55158.637999999999</v>
      </c>
      <c r="M241" s="9">
        <v>1</v>
      </c>
    </row>
    <row r="242" spans="1:14" s="10" customFormat="1" ht="14" x14ac:dyDescent="0.15">
      <c r="A242" s="35" t="str">
        <f>input!A238</f>
        <v>20. Totale Imposte sul reddito correnti, differite e anticipate</v>
      </c>
      <c r="B242" s="36">
        <f>$M242*input!B238</f>
        <v>-8413</v>
      </c>
      <c r="C242" s="36">
        <f>$M242*input!C238</f>
        <v>-1433</v>
      </c>
      <c r="D242" s="36">
        <f>$M242*input!D238</f>
        <v>8606.0990000000002</v>
      </c>
      <c r="E242" s="36">
        <f>$M242*input!E238</f>
        <v>-2857.2049999999999</v>
      </c>
      <c r="F242" s="36">
        <f>$M242*input!F238</f>
        <v>-291.30200000000002</v>
      </c>
      <c r="G242" s="36">
        <f>$M242*input!G238</f>
        <v>-12103.861000000001</v>
      </c>
      <c r="H242" s="36">
        <f>$M242*input!H238</f>
        <v>-4717.2520000000004</v>
      </c>
      <c r="I242" s="36">
        <f>$M242*input!I238</f>
        <v>-12320.254000000001</v>
      </c>
      <c r="J242" s="36">
        <f>$M242*input!J238</f>
        <v>-22387.696</v>
      </c>
      <c r="K242" s="36">
        <f>$M242*input!K238</f>
        <v>-16284.208000000001</v>
      </c>
      <c r="M242" s="10">
        <v>-1</v>
      </c>
      <c r="N242" s="10" t="s">
        <v>299</v>
      </c>
    </row>
    <row r="243" spans="1:14" x14ac:dyDescent="0.15">
      <c r="A243" s="4" t="str">
        <f>input!A239</f>
        <v>Imposte correnti</v>
      </c>
      <c r="B243" s="2">
        <f>$M243*input!B239</f>
        <v>8413</v>
      </c>
      <c r="C243" s="2">
        <f>$M243*input!C239</f>
        <v>1433</v>
      </c>
      <c r="D243" s="2">
        <f>$M243*input!D239</f>
        <v>7172.5569999999998</v>
      </c>
      <c r="E243" s="2">
        <f>$M243*input!E239</f>
        <v>4526.4780000000001</v>
      </c>
      <c r="F243" s="2">
        <f>$M243*input!F239</f>
        <v>2706.0940000000001</v>
      </c>
      <c r="G243" s="2">
        <f>$M243*input!G239</f>
        <v>3762.3020000000001</v>
      </c>
      <c r="H243" s="2">
        <f>$M243*input!H239</f>
        <v>8932.86</v>
      </c>
      <c r="I243" s="2">
        <f>$M243*input!I239</f>
        <v>3713.8490000000002</v>
      </c>
      <c r="J243" s="2">
        <f>$M243*input!J239</f>
        <v>24598.826000000001</v>
      </c>
      <c r="K243" s="2">
        <f>$M243*input!K239</f>
        <v>2315.1080000000002</v>
      </c>
      <c r="M243" s="1">
        <v>1</v>
      </c>
    </row>
    <row r="244" spans="1:14" x14ac:dyDescent="0.15">
      <c r="A244" s="4" t="str">
        <f>input!A240</f>
        <v>Imposte relative a esercizi precedenti</v>
      </c>
      <c r="B244" s="2">
        <f>$M244*input!B240</f>
        <v>0</v>
      </c>
      <c r="C244" s="2">
        <f>$M244*input!C240</f>
        <v>0</v>
      </c>
      <c r="D244" s="2">
        <f>$M244*input!D240</f>
        <v>-2094.5149999999999</v>
      </c>
      <c r="E244" s="2">
        <f>$M244*input!E240</f>
        <v>4071.0129999999999</v>
      </c>
      <c r="F244" s="2">
        <f>$M244*input!F240</f>
        <v>-1729.875</v>
      </c>
      <c r="G244" s="2">
        <f>$M244*input!G240</f>
        <v>1788.433</v>
      </c>
      <c r="H244" s="2">
        <f>$M244*input!H240</f>
        <v>-1367.2349999999999</v>
      </c>
      <c r="I244" s="2">
        <f>$M244*input!I240</f>
        <v>-5757.3429999999998</v>
      </c>
      <c r="J244" s="2">
        <f>$M244*input!J240</f>
        <v>-63.177999999999997</v>
      </c>
      <c r="K244" s="2">
        <f>$M244*input!K240</f>
        <v>0</v>
      </c>
      <c r="M244" s="1">
        <v>1</v>
      </c>
    </row>
    <row r="245" spans="1:14" x14ac:dyDescent="0.15">
      <c r="A245" s="4" t="str">
        <f>input!A241</f>
        <v>Imposte differite e anticipate</v>
      </c>
      <c r="B245" s="2">
        <f>$M245*input!B241</f>
        <v>0</v>
      </c>
      <c r="C245" s="2">
        <f>$M245*input!C241</f>
        <v>0</v>
      </c>
      <c r="D245" s="2">
        <f>$M245*input!D241</f>
        <v>-2403.239</v>
      </c>
      <c r="E245" s="2">
        <f>$M245*input!E241</f>
        <v>294.27499999999998</v>
      </c>
      <c r="F245" s="2">
        <f>$M245*input!F241</f>
        <v>655.67399999999998</v>
      </c>
      <c r="G245" s="2">
        <f>$M245*input!G241</f>
        <v>-1423.884</v>
      </c>
      <c r="H245" s="2">
        <f>$M245*input!H241</f>
        <v>-1258.1099999999999</v>
      </c>
      <c r="I245" s="2">
        <f>$M245*input!I241</f>
        <v>-4572.1350000000002</v>
      </c>
      <c r="J245" s="2">
        <f>$M245*input!J241</f>
        <v>-2147.9520000000002</v>
      </c>
      <c r="K245" s="2">
        <f>$M245*input!K241</f>
        <v>1779.021</v>
      </c>
      <c r="M245" s="1">
        <v>1</v>
      </c>
    </row>
    <row r="246" spans="1:14" x14ac:dyDescent="0.15">
      <c r="A246" s="4" t="str">
        <f>input!A242</f>
        <v>Imposte differite (+/-)</v>
      </c>
      <c r="B246" s="2">
        <f>$M246*input!B242</f>
        <v>0</v>
      </c>
      <c r="C246" s="2">
        <f>$M246*input!C242</f>
        <v>0</v>
      </c>
      <c r="D246" s="2">
        <f>$M246*input!D242</f>
        <v>0</v>
      </c>
      <c r="E246" s="2">
        <f>$M246*input!E242</f>
        <v>0</v>
      </c>
      <c r="F246" s="2">
        <f>$M246*input!F242</f>
        <v>0</v>
      </c>
      <c r="G246" s="2">
        <f>$M246*input!G242</f>
        <v>0</v>
      </c>
      <c r="H246" s="2">
        <f>$M246*input!H242</f>
        <v>0</v>
      </c>
      <c r="I246" s="2">
        <f>$M246*input!I242</f>
        <v>0</v>
      </c>
      <c r="J246" s="2">
        <f>$M246*input!J242</f>
        <v>0</v>
      </c>
      <c r="K246" s="2">
        <f>$M246*input!K242</f>
        <v>0</v>
      </c>
      <c r="M246" s="1">
        <v>1</v>
      </c>
    </row>
    <row r="247" spans="1:14" x14ac:dyDescent="0.15">
      <c r="A247" s="4" t="str">
        <f>input!A243</f>
        <v>Imposte anticipate (+/-)</v>
      </c>
      <c r="B247" s="2">
        <f>$M247*input!B243</f>
        <v>0</v>
      </c>
      <c r="C247" s="2">
        <f>$M247*input!C243</f>
        <v>0</v>
      </c>
      <c r="D247" s="2">
        <f>$M247*input!D243</f>
        <v>0</v>
      </c>
      <c r="E247" s="2">
        <f>$M247*input!E243</f>
        <v>0</v>
      </c>
      <c r="F247" s="2">
        <f>$M247*input!F243</f>
        <v>0</v>
      </c>
      <c r="G247" s="2">
        <f>$M247*input!G243</f>
        <v>0</v>
      </c>
      <c r="H247" s="2">
        <f>$M247*input!H243</f>
        <v>0</v>
      </c>
      <c r="I247" s="2">
        <f>$M247*input!I243</f>
        <v>0</v>
      </c>
      <c r="J247" s="2">
        <f>$M247*input!J243</f>
        <v>0</v>
      </c>
      <c r="K247" s="2">
        <f>$M247*input!K243</f>
        <v>1779.021</v>
      </c>
      <c r="M247" s="1">
        <v>1</v>
      </c>
    </row>
    <row r="248" spans="1:14" x14ac:dyDescent="0.15">
      <c r="A248" s="4" t="str">
        <f>input!A244</f>
        <v>Prov. (oneri) da adesione al regime di trasparenza fiscale</v>
      </c>
      <c r="B248" s="2">
        <f>$M248*input!B244</f>
        <v>0</v>
      </c>
      <c r="C248" s="2">
        <f>$M248*input!C244</f>
        <v>0</v>
      </c>
      <c r="D248" s="2">
        <f>$M248*input!D244</f>
        <v>-11280.902</v>
      </c>
      <c r="E248" s="2">
        <f>$M248*input!E244</f>
        <v>-6034.5609999999997</v>
      </c>
      <c r="F248" s="2">
        <f>$M248*input!F244</f>
        <v>-1340.5909999999999</v>
      </c>
      <c r="G248" s="2">
        <f>$M248*input!G244</f>
        <v>7977.01</v>
      </c>
      <c r="H248" s="2">
        <f>$M248*input!H244</f>
        <v>-1590.2629999999999</v>
      </c>
      <c r="I248" s="2">
        <f>$M248*input!I244</f>
        <v>18935.883000000002</v>
      </c>
      <c r="J248" s="2">
        <f>$M248*input!J244</f>
        <v>0</v>
      </c>
      <c r="K248" s="2">
        <f>$M248*input!K244</f>
        <v>12190.079</v>
      </c>
      <c r="M248" s="1">
        <v>1</v>
      </c>
    </row>
    <row r="249" spans="1:14" s="10" customFormat="1" ht="14" x14ac:dyDescent="0.15">
      <c r="A249" s="38" t="str">
        <f>input!A245</f>
        <v>21. UTILE/PERDITA DI ESERCIZIO</v>
      </c>
      <c r="B249" s="39">
        <f>$M249*input!B245</f>
        <v>-324917</v>
      </c>
      <c r="C249" s="39">
        <f>$M249*input!C245</f>
        <v>-64292</v>
      </c>
      <c r="D249" s="39">
        <f>$M249*input!D245</f>
        <v>17752.471000000001</v>
      </c>
      <c r="E249" s="39">
        <f>$M249*input!E245</f>
        <v>-11336.371999999999</v>
      </c>
      <c r="F249" s="39">
        <f>$M249*input!F245</f>
        <v>-55428.652000000002</v>
      </c>
      <c r="G249" s="39">
        <f>$M249*input!G245</f>
        <v>436.25099999999998</v>
      </c>
      <c r="H249" s="39">
        <f>$M249*input!H245</f>
        <v>5907.5290000000005</v>
      </c>
      <c r="I249" s="39">
        <f>$M249*input!I245</f>
        <v>48965.423000000003</v>
      </c>
      <c r="J249" s="39">
        <f>$M249*input!J245</f>
        <v>54653.67</v>
      </c>
      <c r="K249" s="39">
        <f>$M249*input!K245</f>
        <v>38874.43</v>
      </c>
      <c r="M249" s="10">
        <v>1</v>
      </c>
    </row>
    <row r="250" spans="1:14" x14ac:dyDescent="0.15">
      <c r="A250" s="5" t="str">
        <f>input!A246</f>
        <v>UTILE/PERDITA DI ESERCIZIO di pert. di TERZI</v>
      </c>
      <c r="B250" s="6">
        <f>$M250*input!B246</f>
        <v>0</v>
      </c>
      <c r="C250" s="6">
        <f>$M250*input!C246</f>
        <v>0</v>
      </c>
      <c r="D250" s="6">
        <f>$M250*input!D246</f>
        <v>0</v>
      </c>
      <c r="E250" s="6">
        <f>$M250*input!E246</f>
        <v>0</v>
      </c>
      <c r="F250" s="6">
        <f>$M250*input!F246</f>
        <v>0</v>
      </c>
      <c r="G250" s="6">
        <f>$M250*input!G246</f>
        <v>0</v>
      </c>
      <c r="H250" s="6">
        <f>$M250*input!H246</f>
        <v>0</v>
      </c>
      <c r="I250" s="6">
        <f>$M250*input!I246</f>
        <v>0</v>
      </c>
      <c r="J250" s="6">
        <f>$M250*input!J246</f>
        <v>0</v>
      </c>
      <c r="K250" s="6">
        <f>$M250*input!K246</f>
        <v>0</v>
      </c>
      <c r="M250" s="1">
        <v>1</v>
      </c>
    </row>
    <row r="251" spans="1:14" x14ac:dyDescent="0.15">
      <c r="A251" s="4" t="str">
        <f>input!A247</f>
        <v>FEDRIGONI S.P.A.</v>
      </c>
    </row>
    <row r="252" spans="1:14" x14ac:dyDescent="0.15">
      <c r="A252" s="4" t="str">
        <f>input!A248</f>
        <v>01664630223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E16492-891D-6D4A-984D-24CD01F055C8}">
          <x14:formula1>
            <xm:f>'RC'!$A$110:$A$150</xm:f>
          </x14:formula1>
          <xm:sqref>N172:N250</xm:sqref>
        </x14:dataValidation>
        <x14:dataValidation type="list" allowBlank="1" showInputMessage="1" showErrorMessage="1" xr:uid="{95A37AAC-607A-6D49-BCE5-10664877BC45}">
          <x14:formula1>
            <xm:f>'RC'!$A$3:$A$83</xm:f>
          </x14:formula1>
          <xm:sqref>N2:N83 N85:N169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62"/>
  <sheetViews>
    <sheetView topLeftCell="A10" workbookViewId="0">
      <selection activeCell="E176" sqref="E176"/>
    </sheetView>
  </sheetViews>
  <sheetFormatPr baseColWidth="10" defaultColWidth="12.6640625" defaultRowHeight="15.75" customHeight="1" x14ac:dyDescent="0.15"/>
  <cols>
    <col min="1" max="1" width="42.83203125" style="1" bestFit="1" customWidth="1"/>
    <col min="2" max="11" width="15.83203125" style="22" customWidth="1"/>
    <col min="12" max="16384" width="12.6640625" style="1"/>
  </cols>
  <sheetData>
    <row r="1" spans="1:11" s="21" customFormat="1" ht="15.75" customHeight="1" x14ac:dyDescent="0.15">
      <c r="A1" s="20"/>
      <c r="B1" s="16" t="str">
        <f>case!B1</f>
        <v>31/12/2024</v>
      </c>
      <c r="C1" s="21" t="str">
        <f>case!C1</f>
        <v>31/12/2023</v>
      </c>
      <c r="D1" s="21" t="str">
        <f>case!D1</f>
        <v>31/12/2022</v>
      </c>
      <c r="E1" s="21" t="str">
        <f>case!E1</f>
        <v>31/12/2021</v>
      </c>
      <c r="F1" s="21" t="str">
        <f>case!F1</f>
        <v>31/12/2020</v>
      </c>
      <c r="G1" s="21" t="str">
        <f>case!G1</f>
        <v>31/12/2019</v>
      </c>
      <c r="H1" s="21" t="str">
        <f>case!H1</f>
        <v>31/12/2018</v>
      </c>
      <c r="I1" s="21" t="str">
        <f>case!I1</f>
        <v>31/12/2017</v>
      </c>
      <c r="J1" s="21" t="str">
        <f>case!J1</f>
        <v>31/12/2016</v>
      </c>
      <c r="K1" s="21" t="str">
        <f>case!K1</f>
        <v>31/12/2015</v>
      </c>
    </row>
    <row r="2" spans="1:11" s="45" customFormat="1" ht="15.75" customHeight="1" x14ac:dyDescent="0.15">
      <c r="A2" s="43" t="s">
        <v>300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15.75" customHeight="1" x14ac:dyDescent="0.15">
      <c r="A3" s="3" t="s">
        <v>301</v>
      </c>
    </row>
    <row r="4" spans="1:11" ht="15.75" customHeight="1" x14ac:dyDescent="0.15">
      <c r="A4" s="23" t="s">
        <v>302</v>
      </c>
    </row>
    <row r="5" spans="1:11" ht="15.75" customHeight="1" x14ac:dyDescent="0.15">
      <c r="A5" s="23" t="s">
        <v>260</v>
      </c>
      <c r="B5" s="22">
        <f>SUMIF(case!$N:$N,$A5,case!B:B)</f>
        <v>101879</v>
      </c>
      <c r="C5" s="22">
        <f>SUMIF(case!$N:$N,$A5,case!C:C)</f>
        <v>90210</v>
      </c>
      <c r="D5" s="22">
        <f>SUMIF(case!$N:$N,$A5,case!D:D)</f>
        <v>23706.719000000001</v>
      </c>
      <c r="E5" s="22">
        <f>SUMIF(case!$N:$N,$A5,case!E:E)</f>
        <v>29714.413</v>
      </c>
      <c r="F5" s="22">
        <f>SUMIF(case!$N:$N,$A5,case!F:F)</f>
        <v>49086.976999999999</v>
      </c>
      <c r="G5" s="22">
        <f>SUMIF(case!$N:$N,$A5,case!G:G)</f>
        <v>70085.629000000001</v>
      </c>
      <c r="H5" s="22">
        <f>SUMIF(case!$N:$N,$A5,case!H:H)</f>
        <v>136291.51199999999</v>
      </c>
      <c r="I5" s="22">
        <f>SUMIF(case!$N:$N,$A5,case!I:I)</f>
        <v>129228.81600000001</v>
      </c>
      <c r="J5" s="22">
        <f>SUMIF(case!$N:$N,$A5,case!J:J)</f>
        <v>138605.74299999999</v>
      </c>
      <c r="K5" s="22">
        <f>SUMIF(case!$N:$N,$A5,case!K:K)</f>
        <v>142030.00599999999</v>
      </c>
    </row>
    <row r="6" spans="1:11" ht="15.75" customHeight="1" x14ac:dyDescent="0.15">
      <c r="A6" s="23" t="s">
        <v>258</v>
      </c>
      <c r="B6" s="22">
        <f>SUMIF(case!$N:$N,$A6,case!B:B)</f>
        <v>131166</v>
      </c>
      <c r="C6" s="22">
        <f>SUMIF(case!$N:$N,$A6,case!C:C)</f>
        <v>118064</v>
      </c>
      <c r="D6" s="22">
        <f>SUMIF(case!$N:$N,$A6,case!D:D)</f>
        <v>153759.14299999998</v>
      </c>
      <c r="E6" s="22">
        <f>SUMIF(case!$N:$N,$A6,case!E:E)</f>
        <v>132482.193</v>
      </c>
      <c r="F6" s="22">
        <f>SUMIF(case!$N:$N,$A6,case!F:F)</f>
        <v>122437.38500000001</v>
      </c>
      <c r="G6" s="22">
        <f>SUMIF(case!$N:$N,$A6,case!G:G)</f>
        <v>119385.927</v>
      </c>
      <c r="H6" s="22">
        <f>SUMIF(case!$N:$N,$A6,case!H:H)</f>
        <v>165935.33900000001</v>
      </c>
      <c r="I6" s="22">
        <f>SUMIF(case!$N:$N,$A6,case!I:I)</f>
        <v>122521.084</v>
      </c>
      <c r="J6" s="22">
        <f>SUMIF(case!$N:$N,$A6,case!J:J)</f>
        <v>131111.24799999999</v>
      </c>
      <c r="K6" s="22">
        <f>SUMIF(case!$N:$N,$A6,case!K:K)</f>
        <v>127191.33900000001</v>
      </c>
    </row>
    <row r="7" spans="1:11" ht="15.75" customHeight="1" x14ac:dyDescent="0.15">
      <c r="A7" s="23" t="s">
        <v>259</v>
      </c>
      <c r="B7" s="22">
        <f>SUMIF(case!$N:$N,$A7,case!B:B)</f>
        <v>321936</v>
      </c>
      <c r="C7" s="22">
        <f>SUMIF(case!$N:$N,$A7,case!C:C)</f>
        <v>267775</v>
      </c>
      <c r="D7" s="22">
        <f>SUMIF(case!$N:$N,$A7,case!D:D)</f>
        <v>17604.266</v>
      </c>
      <c r="E7" s="22">
        <f>SUMIF(case!$N:$N,$A7,case!E:E)</f>
        <v>18782.062000000002</v>
      </c>
      <c r="F7" s="22">
        <f>SUMIF(case!$N:$N,$A7,case!F:F)</f>
        <v>8428.4570000000003</v>
      </c>
      <c r="G7" s="22">
        <f>SUMIF(case!$N:$N,$A7,case!G:G)</f>
        <v>2544.9490000000001</v>
      </c>
      <c r="H7" s="22">
        <f>SUMIF(case!$N:$N,$A7,case!H:H)</f>
        <v>4712.9249999999993</v>
      </c>
      <c r="I7" s="22">
        <f>SUMIF(case!$N:$N,$A7,case!I:I)</f>
        <v>4013.2730000000001</v>
      </c>
      <c r="J7" s="22">
        <f>SUMIF(case!$N:$N,$A7,case!J:J)</f>
        <v>2973.3459999999995</v>
      </c>
      <c r="K7" s="22">
        <f>SUMIF(case!$N:$N,$A7,case!K:K)</f>
        <v>9881.25</v>
      </c>
    </row>
    <row r="8" spans="1:11" ht="15.75" customHeight="1" x14ac:dyDescent="0.15">
      <c r="A8" s="3" t="s">
        <v>303</v>
      </c>
      <c r="B8" s="22">
        <f>SUM(B5:B7)</f>
        <v>554981</v>
      </c>
      <c r="C8" s="22">
        <f t="shared" ref="C8:K8" si="0">SUM(C5:C7)</f>
        <v>476049</v>
      </c>
      <c r="D8" s="22">
        <f t="shared" si="0"/>
        <v>195070.128</v>
      </c>
      <c r="E8" s="22">
        <f t="shared" si="0"/>
        <v>180978.66800000001</v>
      </c>
      <c r="F8" s="22">
        <f t="shared" si="0"/>
        <v>179952.81900000002</v>
      </c>
      <c r="G8" s="22">
        <f t="shared" si="0"/>
        <v>192016.50499999998</v>
      </c>
      <c r="H8" s="22">
        <f t="shared" si="0"/>
        <v>306939.77600000001</v>
      </c>
      <c r="I8" s="22">
        <f t="shared" si="0"/>
        <v>255763.17300000001</v>
      </c>
      <c r="J8" s="22">
        <f t="shared" si="0"/>
        <v>272690.337</v>
      </c>
      <c r="K8" s="22">
        <f t="shared" si="0"/>
        <v>279102.59499999997</v>
      </c>
    </row>
    <row r="9" spans="1:11" ht="15.75" customHeight="1" x14ac:dyDescent="0.15">
      <c r="A9" s="23" t="s">
        <v>304</v>
      </c>
    </row>
    <row r="10" spans="1:11" ht="15.75" customHeight="1" x14ac:dyDescent="0.15">
      <c r="A10" s="23" t="s">
        <v>253</v>
      </c>
      <c r="B10" s="22">
        <f>SUMIF(case!$N:$N,$A10,case!B:B)</f>
        <v>247743</v>
      </c>
      <c r="C10" s="22">
        <f>SUMIF(case!$N:$N,$A10,case!C:C)</f>
        <v>220617</v>
      </c>
      <c r="D10" s="22">
        <f>SUMIF(case!$N:$N,$A10,case!D:D)</f>
        <v>224251.12700000001</v>
      </c>
      <c r="E10" s="22">
        <f>SUMIF(case!$N:$N,$A10,case!E:E)</f>
        <v>220459.236</v>
      </c>
      <c r="F10" s="22">
        <f>SUMIF(case!$N:$N,$A10,case!F:F)</f>
        <v>220394.5</v>
      </c>
      <c r="G10" s="22">
        <f>SUMIF(case!$N:$N,$A10,case!G:G)</f>
        <v>154055.71900000001</v>
      </c>
      <c r="H10" s="22">
        <f>SUMIF(case!$N:$N,$A10,case!H:H)</f>
        <v>149620.66200000001</v>
      </c>
      <c r="I10" s="22">
        <f>SUMIF(case!$N:$N,$A10,case!I:I)</f>
        <v>158524.65400000001</v>
      </c>
      <c r="J10" s="22">
        <f>SUMIF(case!$N:$N,$A10,case!J:J)</f>
        <v>145157.72099999999</v>
      </c>
      <c r="K10" s="22">
        <f>SUMIF(case!$N:$N,$A10,case!K:K)</f>
        <v>152948.56599999999</v>
      </c>
    </row>
    <row r="11" spans="1:11" ht="15.75" customHeight="1" x14ac:dyDescent="0.15">
      <c r="A11" s="23" t="s">
        <v>252</v>
      </c>
      <c r="B11" s="22">
        <f>SUMIF(case!$N:$N,$A11,case!B:B)</f>
        <v>1592262</v>
      </c>
      <c r="C11" s="22">
        <f>SUMIF(case!$N:$N,$A11,case!C:C)</f>
        <v>90098</v>
      </c>
      <c r="D11" s="22">
        <f>SUMIF(case!$N:$N,$A11,case!D:D)</f>
        <v>86779.885999999999</v>
      </c>
      <c r="E11" s="22">
        <f>SUMIF(case!$N:$N,$A11,case!E:E)</f>
        <v>89055.322</v>
      </c>
      <c r="F11" s="22">
        <f>SUMIF(case!$N:$N,$A11,case!F:F)</f>
        <v>87656.701000000001</v>
      </c>
      <c r="G11" s="22">
        <f>SUMIF(case!$N:$N,$A11,case!G:G)</f>
        <v>13306.33</v>
      </c>
      <c r="H11" s="22">
        <f>SUMIF(case!$N:$N,$A11,case!H:H)</f>
        <v>11674.413</v>
      </c>
      <c r="I11" s="22">
        <f>SUMIF(case!$N:$N,$A11,case!I:I)</f>
        <v>12394.555</v>
      </c>
      <c r="J11" s="22">
        <f>SUMIF(case!$N:$N,$A11,case!J:J)</f>
        <v>14257.563</v>
      </c>
      <c r="K11" s="22">
        <f>SUMIF(case!$N:$N,$A11,case!K:K)</f>
        <v>16231.349</v>
      </c>
    </row>
    <row r="12" spans="1:11" ht="15.75" customHeight="1" x14ac:dyDescent="0.15">
      <c r="A12" s="3" t="s">
        <v>305</v>
      </c>
      <c r="B12" s="22">
        <f>SUM(B10:B11)</f>
        <v>1840005</v>
      </c>
      <c r="C12" s="22">
        <f t="shared" ref="C12:K12" si="1">SUM(C10:C11)</f>
        <v>310715</v>
      </c>
      <c r="D12" s="22">
        <f t="shared" si="1"/>
        <v>311031.01300000004</v>
      </c>
      <c r="E12" s="22">
        <f t="shared" si="1"/>
        <v>309514.55800000002</v>
      </c>
      <c r="F12" s="22">
        <f t="shared" si="1"/>
        <v>308051.201</v>
      </c>
      <c r="G12" s="22">
        <f t="shared" si="1"/>
        <v>167362.049</v>
      </c>
      <c r="H12" s="22">
        <f t="shared" si="1"/>
        <v>161295.07500000001</v>
      </c>
      <c r="I12" s="22">
        <f t="shared" si="1"/>
        <v>170919.209</v>
      </c>
      <c r="J12" s="22">
        <f t="shared" si="1"/>
        <v>159415.28399999999</v>
      </c>
      <c r="K12" s="22">
        <f t="shared" si="1"/>
        <v>169179.91499999998</v>
      </c>
    </row>
    <row r="13" spans="1:11" ht="15.75" customHeight="1" x14ac:dyDescent="0.15">
      <c r="A13" s="23" t="s">
        <v>306</v>
      </c>
    </row>
    <row r="14" spans="1:11" ht="15.75" customHeight="1" x14ac:dyDescent="0.15">
      <c r="A14" s="23" t="s">
        <v>257</v>
      </c>
      <c r="B14" s="22">
        <f>SUMIF(case!$N:$N,$A14,case!B:B)</f>
        <v>0</v>
      </c>
      <c r="C14" s="22">
        <f>SUMIF(case!$N:$N,$A14,case!C:C)</f>
        <v>0</v>
      </c>
      <c r="D14" s="22">
        <f>SUMIF(case!$N:$N,$A14,case!D:D)</f>
        <v>10782.128000000001</v>
      </c>
      <c r="E14" s="22">
        <f>SUMIF(case!$N:$N,$A14,case!E:E)</f>
        <v>343.435</v>
      </c>
      <c r="F14" s="22">
        <f>SUMIF(case!$N:$N,$A14,case!F:F)</f>
        <v>370.685</v>
      </c>
      <c r="G14" s="22">
        <f>SUMIF(case!$N:$N,$A14,case!G:G)</f>
        <v>324.79599999999999</v>
      </c>
      <c r="H14" s="22">
        <f>SUMIF(case!$N:$N,$A14,case!H:H)</f>
        <v>281.976</v>
      </c>
      <c r="I14" s="22">
        <f>SUMIF(case!$N:$N,$A14,case!I:I)</f>
        <v>278.25799999999998</v>
      </c>
      <c r="J14" s="22">
        <f>SUMIF(case!$N:$N,$A14,case!J:J)</f>
        <v>291.07600000000002</v>
      </c>
      <c r="K14" s="22">
        <f>SUMIF(case!$N:$N,$A14,case!K:K)</f>
        <v>286.83999999999997</v>
      </c>
    </row>
    <row r="15" spans="1:11" ht="15.75" customHeight="1" x14ac:dyDescent="0.15">
      <c r="A15" s="3" t="s">
        <v>307</v>
      </c>
      <c r="B15" s="22">
        <f>SUM(B14)</f>
        <v>0</v>
      </c>
      <c r="C15" s="22">
        <f t="shared" ref="C15:K15" si="2">SUM(C14)</f>
        <v>0</v>
      </c>
      <c r="D15" s="22">
        <f t="shared" si="2"/>
        <v>10782.128000000001</v>
      </c>
      <c r="E15" s="22">
        <f t="shared" si="2"/>
        <v>343.435</v>
      </c>
      <c r="F15" s="22">
        <f t="shared" si="2"/>
        <v>370.685</v>
      </c>
      <c r="G15" s="22">
        <f t="shared" si="2"/>
        <v>324.79599999999999</v>
      </c>
      <c r="H15" s="22">
        <f t="shared" si="2"/>
        <v>281.976</v>
      </c>
      <c r="I15" s="22">
        <f t="shared" si="2"/>
        <v>278.25799999999998</v>
      </c>
      <c r="J15" s="22">
        <f t="shared" si="2"/>
        <v>291.07600000000002</v>
      </c>
      <c r="K15" s="22">
        <f t="shared" si="2"/>
        <v>286.83999999999997</v>
      </c>
    </row>
    <row r="16" spans="1:11" ht="15.75" customHeight="1" x14ac:dyDescent="0.15">
      <c r="A16" s="3" t="s">
        <v>308</v>
      </c>
      <c r="B16" s="22">
        <f>B8+B12+B15</f>
        <v>2394986</v>
      </c>
      <c r="C16" s="22">
        <f t="shared" ref="C16:K16" si="3">C8+C12+C15</f>
        <v>786764</v>
      </c>
      <c r="D16" s="22">
        <f t="shared" si="3"/>
        <v>516883.26900000009</v>
      </c>
      <c r="E16" s="22">
        <f t="shared" si="3"/>
        <v>490836.66100000002</v>
      </c>
      <c r="F16" s="22">
        <f t="shared" si="3"/>
        <v>488374.70500000002</v>
      </c>
      <c r="G16" s="22">
        <f t="shared" si="3"/>
        <v>359703.35</v>
      </c>
      <c r="H16" s="22">
        <f t="shared" si="3"/>
        <v>468516.82700000005</v>
      </c>
      <c r="I16" s="22">
        <f t="shared" si="3"/>
        <v>426960.63999999996</v>
      </c>
      <c r="J16" s="22">
        <f t="shared" si="3"/>
        <v>432396.69699999999</v>
      </c>
      <c r="K16" s="22">
        <f t="shared" si="3"/>
        <v>448569.35</v>
      </c>
    </row>
    <row r="17" spans="1:11" ht="15.75" customHeight="1" x14ac:dyDescent="0.15">
      <c r="A17" s="23"/>
    </row>
    <row r="18" spans="1:11" ht="15.75" customHeight="1" x14ac:dyDescent="0.15">
      <c r="A18" s="3" t="s">
        <v>309</v>
      </c>
    </row>
    <row r="19" spans="1:11" ht="15.75" customHeight="1" x14ac:dyDescent="0.15">
      <c r="A19" s="23" t="s">
        <v>261</v>
      </c>
      <c r="B19" s="22">
        <f>SUMIF(case!$N:$N,$A19,case!B:B)</f>
        <v>10412</v>
      </c>
      <c r="C19" s="22">
        <f>SUMIF(case!$N:$N,$A19,case!C:C)</f>
        <v>8555</v>
      </c>
      <c r="D19" s="22">
        <f>SUMIF(case!$N:$N,$A19,case!D:D)</f>
        <v>50852.583999999995</v>
      </c>
      <c r="E19" s="22">
        <f>SUMIF(case!$N:$N,$A19,case!E:E)</f>
        <v>25325.400999999998</v>
      </c>
      <c r="F19" s="22">
        <f>SUMIF(case!$N:$N,$A19,case!F:F)</f>
        <v>26513.908000000003</v>
      </c>
      <c r="G19" s="22">
        <f>SUMIF(case!$N:$N,$A19,case!G:G)</f>
        <v>3901.6950000000002</v>
      </c>
      <c r="H19" s="22">
        <f>SUMIF(case!$N:$N,$A19,case!H:H)</f>
        <v>4891.5</v>
      </c>
      <c r="I19" s="22">
        <f>SUMIF(case!$N:$N,$A19,case!I:I)</f>
        <v>3093.3410000000003</v>
      </c>
      <c r="J19" s="22">
        <f>SUMIF(case!$N:$N,$A19,case!J:J)</f>
        <v>1080.5029999999999</v>
      </c>
      <c r="K19" s="22">
        <f>SUMIF(case!$N:$N,$A19,case!K:K)</f>
        <v>1914.91</v>
      </c>
    </row>
    <row r="20" spans="1:11" ht="15.75" customHeight="1" x14ac:dyDescent="0.15">
      <c r="A20" s="23" t="s">
        <v>262</v>
      </c>
      <c r="B20" s="22">
        <f>SUMIF(case!$N:$N,$A20,case!B:B)</f>
        <v>37784</v>
      </c>
      <c r="C20" s="22">
        <f>SUMIF(case!$N:$N,$A20,case!C:C)</f>
        <v>23126</v>
      </c>
      <c r="D20" s="22">
        <f>SUMIF(case!$N:$N,$A20,case!D:D)</f>
        <v>18985.47</v>
      </c>
      <c r="E20" s="22">
        <f>SUMIF(case!$N:$N,$A20,case!E:E)</f>
        <v>14440.609</v>
      </c>
      <c r="F20" s="22">
        <f>SUMIF(case!$N:$N,$A20,case!F:F)</f>
        <v>16501.79</v>
      </c>
      <c r="G20" s="22">
        <f>SUMIF(case!$N:$N,$A20,case!G:G)</f>
        <v>16381.2</v>
      </c>
      <c r="H20" s="22">
        <f>SUMIF(case!$N:$N,$A20,case!H:H)</f>
        <v>14957.316000000001</v>
      </c>
      <c r="I20" s="22">
        <f>SUMIF(case!$N:$N,$A20,case!I:I)</f>
        <v>13699.206</v>
      </c>
      <c r="J20" s="22">
        <f>SUMIF(case!$N:$N,$A20,case!J:J)</f>
        <v>9127.07</v>
      </c>
      <c r="K20" s="22">
        <f>SUMIF(case!$N:$N,$A20,case!K:K)</f>
        <v>6979.1180000000004</v>
      </c>
    </row>
    <row r="21" spans="1:11" ht="15.75" customHeight="1" x14ac:dyDescent="0.15">
      <c r="A21" s="3" t="s">
        <v>310</v>
      </c>
      <c r="B21" s="22">
        <f>SUM(B19:B20)</f>
        <v>48196</v>
      </c>
      <c r="C21" s="22">
        <f t="shared" ref="C21:K21" si="4">SUM(C19:C20)</f>
        <v>31681</v>
      </c>
      <c r="D21" s="22">
        <f t="shared" si="4"/>
        <v>69838.054000000004</v>
      </c>
      <c r="E21" s="22">
        <f t="shared" si="4"/>
        <v>39766.009999999995</v>
      </c>
      <c r="F21" s="22">
        <f t="shared" si="4"/>
        <v>43015.698000000004</v>
      </c>
      <c r="G21" s="22">
        <f t="shared" si="4"/>
        <v>20282.895</v>
      </c>
      <c r="H21" s="22">
        <f t="shared" si="4"/>
        <v>19848.815999999999</v>
      </c>
      <c r="I21" s="22">
        <f t="shared" si="4"/>
        <v>16792.546999999999</v>
      </c>
      <c r="J21" s="22">
        <f t="shared" si="4"/>
        <v>10207.573</v>
      </c>
      <c r="K21" s="22">
        <f t="shared" si="4"/>
        <v>8894.0280000000002</v>
      </c>
    </row>
    <row r="22" spans="1:11" ht="15.75" customHeight="1" x14ac:dyDescent="0.15">
      <c r="A22" s="23"/>
    </row>
    <row r="23" spans="1:11" ht="15.75" customHeight="1" x14ac:dyDescent="0.15">
      <c r="A23" s="3" t="s">
        <v>311</v>
      </c>
    </row>
    <row r="24" spans="1:11" ht="15.75" customHeight="1" x14ac:dyDescent="0.15">
      <c r="A24" s="23" t="s">
        <v>312</v>
      </c>
      <c r="B24" s="22">
        <f>SUMIF(case!$N:$N,$A24,case!B:B)</f>
        <v>0</v>
      </c>
      <c r="C24" s="22">
        <f>SUMIF(case!$N:$N,$A24,case!C:C)</f>
        <v>0</v>
      </c>
      <c r="D24" s="22">
        <f>SUMIF(case!$N:$N,$A24,case!D:D)</f>
        <v>0</v>
      </c>
      <c r="E24" s="22">
        <f>SUMIF(case!$N:$N,$A24,case!E:E)</f>
        <v>0</v>
      </c>
      <c r="F24" s="22">
        <f>SUMIF(case!$N:$N,$A24,case!F:F)</f>
        <v>0</v>
      </c>
      <c r="G24" s="22">
        <f>SUMIF(case!$N:$N,$A24,case!G:G)</f>
        <v>0</v>
      </c>
      <c r="H24" s="22">
        <f>SUMIF(case!$N:$N,$A24,case!H:H)</f>
        <v>0</v>
      </c>
      <c r="I24" s="22">
        <f>SUMIF(case!$N:$N,$A24,case!I:I)</f>
        <v>0</v>
      </c>
      <c r="J24" s="22">
        <f>SUMIF(case!$N:$N,$A24,case!J:J)</f>
        <v>0</v>
      </c>
      <c r="K24" s="22">
        <f>SUMIF(case!$N:$N,$A24,case!K:K)</f>
        <v>0</v>
      </c>
    </row>
    <row r="25" spans="1:11" ht="15.75" customHeight="1" x14ac:dyDescent="0.15">
      <c r="A25" s="23" t="s">
        <v>254</v>
      </c>
      <c r="B25" s="22">
        <f>SUMIF(case!$N:$N,$A25,case!B:B)</f>
        <v>1015828</v>
      </c>
      <c r="C25" s="22">
        <f>SUMIF(case!$N:$N,$A25,case!C:C)</f>
        <v>559853</v>
      </c>
      <c r="D25" s="22">
        <f>SUMIF(case!$N:$N,$A25,case!D:D)</f>
        <v>556283.77299999993</v>
      </c>
      <c r="E25" s="22">
        <f>SUMIF(case!$N:$N,$A25,case!E:E)</f>
        <v>484337.01900000003</v>
      </c>
      <c r="F25" s="22">
        <f>SUMIF(case!$N:$N,$A25,case!F:F)</f>
        <v>436771.36100000003</v>
      </c>
      <c r="G25" s="22">
        <f>SUMIF(case!$N:$N,$A25,case!G:G)</f>
        <v>185287.81</v>
      </c>
      <c r="H25" s="22">
        <f>SUMIF(case!$N:$N,$A25,case!H:H)</f>
        <v>205707.913</v>
      </c>
      <c r="I25" s="22">
        <f>SUMIF(case!$N:$N,$A25,case!I:I)</f>
        <v>232021.81999999998</v>
      </c>
      <c r="J25" s="22">
        <f>SUMIF(case!$N:$N,$A25,case!J:J)</f>
        <v>249459.60799999998</v>
      </c>
      <c r="K25" s="22">
        <f>SUMIF(case!$N:$N,$A25,case!K:K)</f>
        <v>248664.74899999998</v>
      </c>
    </row>
    <row r="26" spans="1:11" ht="15.75" customHeight="1" x14ac:dyDescent="0.15">
      <c r="A26" s="23" t="s">
        <v>256</v>
      </c>
      <c r="B26" s="22">
        <f>SUMIF(case!$N:$N,$A26,case!B:B)</f>
        <v>0</v>
      </c>
      <c r="C26" s="22">
        <f>SUMIF(case!$N:$N,$A26,case!C:C)</f>
        <v>0</v>
      </c>
      <c r="D26" s="22">
        <f>SUMIF(case!$N:$N,$A26,case!D:D)</f>
        <v>284157.73199999996</v>
      </c>
      <c r="E26" s="22">
        <f>SUMIF(case!$N:$N,$A26,case!E:E)</f>
        <v>184307.39199999999</v>
      </c>
      <c r="F26" s="22">
        <f>SUMIF(case!$N:$N,$A26,case!F:F)</f>
        <v>204222.62199999997</v>
      </c>
      <c r="G26" s="22">
        <f>SUMIF(case!$N:$N,$A26,case!G:G)</f>
        <v>68482.991000000009</v>
      </c>
      <c r="H26" s="22">
        <f>SUMIF(case!$N:$N,$A26,case!H:H)</f>
        <v>76639.782999999996</v>
      </c>
      <c r="I26" s="22">
        <f>SUMIF(case!$N:$N,$A26,case!I:I)</f>
        <v>63300.046999999999</v>
      </c>
      <c r="J26" s="22">
        <f>SUMIF(case!$N:$N,$A26,case!J:J)</f>
        <v>53087.502999999997</v>
      </c>
      <c r="K26" s="22">
        <f>SUMIF(case!$N:$N,$A26,case!K:K)</f>
        <v>53848.936000000002</v>
      </c>
    </row>
    <row r="27" spans="1:11" ht="15.75" customHeight="1" x14ac:dyDescent="0.15">
      <c r="A27" s="3" t="s">
        <v>313</v>
      </c>
      <c r="B27" s="22">
        <f>SUM(B24:B26)</f>
        <v>1015828</v>
      </c>
      <c r="C27" s="22">
        <f t="shared" ref="C27:K27" si="5">SUM(C24:C26)</f>
        <v>559853</v>
      </c>
      <c r="D27" s="22">
        <f t="shared" si="5"/>
        <v>840441.50499999989</v>
      </c>
      <c r="E27" s="22">
        <f t="shared" si="5"/>
        <v>668644.41100000008</v>
      </c>
      <c r="F27" s="22">
        <f t="shared" si="5"/>
        <v>640993.98300000001</v>
      </c>
      <c r="G27" s="22">
        <f t="shared" si="5"/>
        <v>253770.80100000001</v>
      </c>
      <c r="H27" s="22">
        <f t="shared" si="5"/>
        <v>282347.696</v>
      </c>
      <c r="I27" s="22">
        <f t="shared" si="5"/>
        <v>295321.86699999997</v>
      </c>
      <c r="J27" s="22">
        <f t="shared" si="5"/>
        <v>302547.11099999998</v>
      </c>
      <c r="K27" s="22">
        <f t="shared" si="5"/>
        <v>302513.685</v>
      </c>
    </row>
    <row r="28" spans="1:11" ht="15.75" customHeight="1" x14ac:dyDescent="0.15">
      <c r="A28" s="23"/>
    </row>
    <row r="29" spans="1:11" ht="15.75" customHeight="1" x14ac:dyDescent="0.15">
      <c r="A29" s="3" t="s">
        <v>314</v>
      </c>
    </row>
    <row r="30" spans="1:11" ht="15.75" customHeight="1" x14ac:dyDescent="0.15">
      <c r="A30" s="23" t="s">
        <v>377</v>
      </c>
      <c r="B30" s="22">
        <f>SUMIF(case!$N:$N,$A30,case!B:B)</f>
        <v>0</v>
      </c>
      <c r="C30" s="22">
        <f>SUMIF(case!$N:$N,$A30,case!C:C)</f>
        <v>0</v>
      </c>
      <c r="D30" s="22">
        <f>SUMIF(case!$N:$N,$A30,case!D:D)</f>
        <v>0</v>
      </c>
      <c r="E30" s="22">
        <f>SUMIF(case!$N:$N,$A30,case!E:E)</f>
        <v>0</v>
      </c>
      <c r="F30" s="22">
        <f>SUMIF(case!$N:$N,$A30,case!F:F)</f>
        <v>0</v>
      </c>
      <c r="G30" s="22">
        <f>SUMIF(case!$N:$N,$A30,case!G:G)</f>
        <v>0</v>
      </c>
      <c r="H30" s="22">
        <f>SUMIF(case!$N:$N,$A30,case!H:H)</f>
        <v>0</v>
      </c>
      <c r="I30" s="22">
        <f>SUMIF(case!$N:$N,$A30,case!I:I)</f>
        <v>0</v>
      </c>
      <c r="J30" s="22">
        <f>SUMIF(case!$N:$N,$A30,case!J:J)</f>
        <v>0</v>
      </c>
      <c r="K30" s="22">
        <f>SUMIF(case!$N:$N,$A30,case!K:K)</f>
        <v>0</v>
      </c>
    </row>
    <row r="31" spans="1:11" ht="15.75" customHeight="1" x14ac:dyDescent="0.15">
      <c r="A31" s="23" t="s">
        <v>264</v>
      </c>
      <c r="B31" s="22">
        <f>SUMIF(case!$N:$N,$A31,case!B:B)</f>
        <v>324406</v>
      </c>
      <c r="C31" s="22">
        <f>SUMIF(case!$N:$N,$A31,case!C:C)</f>
        <v>296765</v>
      </c>
      <c r="D31" s="22">
        <f>SUMIF(case!$N:$N,$A31,case!D:D)</f>
        <v>107677.511</v>
      </c>
      <c r="E31" s="22">
        <f>SUMIF(case!$N:$N,$A31,case!E:E)</f>
        <v>101551.986</v>
      </c>
      <c r="F31" s="22">
        <f>SUMIF(case!$N:$N,$A31,case!F:F)</f>
        <v>137974.04300000001</v>
      </c>
      <c r="G31" s="22">
        <f>SUMIF(case!$N:$N,$A31,case!G:G)</f>
        <v>107984.76700000001</v>
      </c>
      <c r="H31" s="22">
        <f>SUMIF(case!$N:$N,$A31,case!H:H)</f>
        <v>19903.7</v>
      </c>
      <c r="I31" s="22">
        <f>SUMIF(case!$N:$N,$A31,case!I:I)</f>
        <v>49713.475000000006</v>
      </c>
      <c r="J31" s="22">
        <f>SUMIF(case!$N:$N,$A31,case!J:J)</f>
        <v>28066.97</v>
      </c>
      <c r="K31" s="22">
        <f>SUMIF(case!$N:$N,$A31,case!K:K)</f>
        <v>8542.9509999999991</v>
      </c>
    </row>
    <row r="32" spans="1:11" ht="15.75" customHeight="1" x14ac:dyDescent="0.15">
      <c r="A32" s="23" t="s">
        <v>263</v>
      </c>
      <c r="B32" s="22">
        <f>SUMIF(case!$N:$N,$A32,case!B:B)</f>
        <v>6904</v>
      </c>
      <c r="C32" s="22">
        <f>SUMIF(case!$N:$N,$A32,case!C:C)</f>
        <v>0</v>
      </c>
      <c r="D32" s="22">
        <f>SUMIF(case!$N:$N,$A32,case!D:D)</f>
        <v>1696.644</v>
      </c>
      <c r="E32" s="22">
        <f>SUMIF(case!$N:$N,$A32,case!E:E)</f>
        <v>5609.9369999999999</v>
      </c>
      <c r="F32" s="22">
        <f>SUMIF(case!$N:$N,$A32,case!F:F)</f>
        <v>623.72</v>
      </c>
      <c r="G32" s="22">
        <f>SUMIF(case!$N:$N,$A32,case!G:G)</f>
        <v>68.100999999999999</v>
      </c>
      <c r="H32" s="22">
        <f>SUMIF(case!$N:$N,$A32,case!H:H)</f>
        <v>347.47699999999998</v>
      </c>
      <c r="I32" s="22">
        <f>SUMIF(case!$N:$N,$A32,case!I:I)</f>
        <v>30.891999999999999</v>
      </c>
      <c r="J32" s="22">
        <f>SUMIF(case!$N:$N,$A32,case!J:J)</f>
        <v>1597.0170000000001</v>
      </c>
      <c r="K32" s="22">
        <f>SUMIF(case!$N:$N,$A32,case!K:K)</f>
        <v>0</v>
      </c>
    </row>
    <row r="33" spans="1:11" ht="15.75" customHeight="1" x14ac:dyDescent="0.15">
      <c r="A33" s="3" t="s">
        <v>315</v>
      </c>
      <c r="B33" s="22">
        <f>SUM(B30:B32)</f>
        <v>331310</v>
      </c>
      <c r="C33" s="22">
        <f t="shared" ref="C33:K33" si="6">SUM(C30:C32)</f>
        <v>296765</v>
      </c>
      <c r="D33" s="22">
        <f t="shared" si="6"/>
        <v>109374.155</v>
      </c>
      <c r="E33" s="22">
        <f t="shared" si="6"/>
        <v>107161.92300000001</v>
      </c>
      <c r="F33" s="22">
        <f t="shared" si="6"/>
        <v>138597.76300000001</v>
      </c>
      <c r="G33" s="22">
        <f t="shared" si="6"/>
        <v>108052.868</v>
      </c>
      <c r="H33" s="22">
        <f t="shared" si="6"/>
        <v>20251.177</v>
      </c>
      <c r="I33" s="22">
        <f t="shared" si="6"/>
        <v>49744.367000000006</v>
      </c>
      <c r="J33" s="22">
        <f t="shared" si="6"/>
        <v>29663.987000000001</v>
      </c>
      <c r="K33" s="22">
        <f t="shared" si="6"/>
        <v>8542.9509999999991</v>
      </c>
    </row>
    <row r="34" spans="1:11" ht="15.75" customHeight="1" x14ac:dyDescent="0.15">
      <c r="A34" s="23"/>
    </row>
    <row r="35" spans="1:11" ht="15.75" customHeight="1" x14ac:dyDescent="0.15">
      <c r="A35" s="3" t="s">
        <v>316</v>
      </c>
      <c r="B35" s="22">
        <f>B16+B21+B27+B33</f>
        <v>3790320</v>
      </c>
      <c r="C35" s="22">
        <f t="shared" ref="C35:K35" si="7">C16+C21+C27+C33</f>
        <v>1675063</v>
      </c>
      <c r="D35" s="22">
        <f t="shared" si="7"/>
        <v>1536536.983</v>
      </c>
      <c r="E35" s="22">
        <f t="shared" si="7"/>
        <v>1306409.0049999999</v>
      </c>
      <c r="F35" s="22">
        <f t="shared" si="7"/>
        <v>1310982.149</v>
      </c>
      <c r="G35" s="22">
        <f t="shared" si="7"/>
        <v>741809.91399999999</v>
      </c>
      <c r="H35" s="22">
        <f t="shared" si="7"/>
        <v>790964.51600000006</v>
      </c>
      <c r="I35" s="22">
        <f t="shared" si="7"/>
        <v>788819.42099999997</v>
      </c>
      <c r="J35" s="22">
        <f t="shared" si="7"/>
        <v>774815.3679999999</v>
      </c>
      <c r="K35" s="22">
        <f t="shared" si="7"/>
        <v>768520.01399999997</v>
      </c>
    </row>
    <row r="36" spans="1:11" ht="15.75" customHeight="1" x14ac:dyDescent="0.15">
      <c r="A36" s="23"/>
    </row>
    <row r="37" spans="1:11" ht="15.75" customHeight="1" x14ac:dyDescent="0.15">
      <c r="A37" s="23" t="s">
        <v>317</v>
      </c>
      <c r="B37" s="22">
        <f>case!B95</f>
        <v>3790320</v>
      </c>
      <c r="C37" s="22">
        <f>case!C95</f>
        <v>1675063</v>
      </c>
      <c r="D37" s="22">
        <f>case!D95</f>
        <v>1536536.983</v>
      </c>
      <c r="E37" s="22">
        <f>case!E95</f>
        <v>1308756.7039999999</v>
      </c>
      <c r="F37" s="22">
        <f>case!F95</f>
        <v>1311132.3030000001</v>
      </c>
      <c r="G37" s="22">
        <f>case!G95</f>
        <v>741974.82499999995</v>
      </c>
      <c r="H37" s="22">
        <f>case!H95</f>
        <v>792683.74399999995</v>
      </c>
      <c r="I37" s="22">
        <f>case!I95</f>
        <v>788836.85400000005</v>
      </c>
      <c r="J37" s="22">
        <f>case!J95</f>
        <v>778185.56599999999</v>
      </c>
      <c r="K37" s="22">
        <f>case!K95</f>
        <v>780383.29399999999</v>
      </c>
    </row>
    <row r="38" spans="1:11" ht="15.75" customHeight="1" x14ac:dyDescent="0.15">
      <c r="A38" s="23" t="s">
        <v>318</v>
      </c>
      <c r="B38" s="22">
        <f>B37-B35</f>
        <v>0</v>
      </c>
      <c r="C38" s="22">
        <f t="shared" ref="C38:K38" si="8">C37-C35</f>
        <v>0</v>
      </c>
      <c r="D38" s="22">
        <f t="shared" si="8"/>
        <v>0</v>
      </c>
      <c r="E38" s="22">
        <f t="shared" si="8"/>
        <v>2347.6990000000224</v>
      </c>
      <c r="F38" s="22">
        <f t="shared" si="8"/>
        <v>150.15400000009686</v>
      </c>
      <c r="G38" s="22">
        <f t="shared" si="8"/>
        <v>164.91099999996368</v>
      </c>
      <c r="H38" s="22">
        <f t="shared" si="8"/>
        <v>1719.2279999998864</v>
      </c>
      <c r="I38" s="22">
        <f t="shared" si="8"/>
        <v>17.4330000000773</v>
      </c>
      <c r="J38" s="22">
        <f t="shared" si="8"/>
        <v>3370.1980000000913</v>
      </c>
      <c r="K38" s="22">
        <f t="shared" si="8"/>
        <v>11863.280000000028</v>
      </c>
    </row>
    <row r="39" spans="1:11" ht="15.75" customHeight="1" x14ac:dyDescent="0.15">
      <c r="A39" s="23" t="s">
        <v>319</v>
      </c>
      <c r="B39" s="22">
        <f>case!B2+case!B46</f>
        <v>0</v>
      </c>
      <c r="C39" s="22">
        <f>case!C2+case!C46</f>
        <v>0</v>
      </c>
      <c r="D39" s="22">
        <f>case!D2+case!D46</f>
        <v>0</v>
      </c>
      <c r="E39" s="22">
        <f>case!E2+case!E46</f>
        <v>0</v>
      </c>
      <c r="F39" s="22">
        <f>case!F2+case!F46</f>
        <v>0</v>
      </c>
      <c r="G39" s="22">
        <f>case!G2+case!G46</f>
        <v>0</v>
      </c>
      <c r="H39" s="22">
        <f>case!H2+case!H46</f>
        <v>0</v>
      </c>
      <c r="I39" s="22">
        <f>case!I2+case!I46</f>
        <v>0</v>
      </c>
      <c r="J39" s="22">
        <f>case!J2+case!J46</f>
        <v>0</v>
      </c>
      <c r="K39" s="22">
        <f>case!K2+case!K46</f>
        <v>0</v>
      </c>
    </row>
    <row r="40" spans="1:11" ht="15.75" customHeight="1" x14ac:dyDescent="0.15">
      <c r="A40" s="23" t="s">
        <v>320</v>
      </c>
      <c r="B40" s="22">
        <f>B38+B39</f>
        <v>0</v>
      </c>
      <c r="C40" s="22">
        <f t="shared" ref="C40:J40" si="9">C38+C39</f>
        <v>0</v>
      </c>
      <c r="D40" s="22">
        <f t="shared" si="9"/>
        <v>0</v>
      </c>
      <c r="E40" s="22">
        <f t="shared" si="9"/>
        <v>2347.6990000000224</v>
      </c>
      <c r="F40" s="22">
        <f t="shared" si="9"/>
        <v>150.15400000009686</v>
      </c>
      <c r="G40" s="22">
        <f t="shared" si="9"/>
        <v>164.91099999996368</v>
      </c>
      <c r="H40" s="22">
        <f t="shared" si="9"/>
        <v>1719.2279999998864</v>
      </c>
      <c r="I40" s="22">
        <f t="shared" si="9"/>
        <v>17.4330000000773</v>
      </c>
      <c r="J40" s="22">
        <f t="shared" si="9"/>
        <v>3370.1980000000913</v>
      </c>
      <c r="K40" s="22">
        <f>K38+K39</f>
        <v>11863.280000000028</v>
      </c>
    </row>
    <row r="41" spans="1:11" ht="15.75" customHeight="1" x14ac:dyDescent="0.15">
      <c r="A41" s="23"/>
    </row>
    <row r="42" spans="1:11" ht="15.75" customHeight="1" x14ac:dyDescent="0.15">
      <c r="A42" s="23"/>
    </row>
    <row r="43" spans="1:11" ht="15.75" customHeight="1" x14ac:dyDescent="0.15">
      <c r="A43" s="23"/>
    </row>
    <row r="44" spans="1:11" ht="15.75" customHeight="1" x14ac:dyDescent="0.15">
      <c r="A44" s="3"/>
      <c r="B44" s="36" t="str">
        <f t="shared" ref="B44:K44" si="10">B1</f>
        <v>31/12/2024</v>
      </c>
      <c r="C44" s="36" t="str">
        <f t="shared" si="10"/>
        <v>31/12/2023</v>
      </c>
      <c r="D44" s="36" t="str">
        <f t="shared" si="10"/>
        <v>31/12/2022</v>
      </c>
      <c r="E44" s="36" t="str">
        <f t="shared" si="10"/>
        <v>31/12/2021</v>
      </c>
      <c r="F44" s="36" t="str">
        <f t="shared" si="10"/>
        <v>31/12/2020</v>
      </c>
      <c r="G44" s="36" t="str">
        <f t="shared" si="10"/>
        <v>31/12/2019</v>
      </c>
      <c r="H44" s="36" t="str">
        <f t="shared" si="10"/>
        <v>31/12/2018</v>
      </c>
      <c r="I44" s="36" t="str">
        <f t="shared" si="10"/>
        <v>31/12/2017</v>
      </c>
      <c r="J44" s="36" t="str">
        <f t="shared" si="10"/>
        <v>31/12/2016</v>
      </c>
      <c r="K44" s="36" t="str">
        <f t="shared" si="10"/>
        <v>31/12/2015</v>
      </c>
    </row>
    <row r="45" spans="1:11" s="45" customFormat="1" ht="15.75" customHeight="1" x14ac:dyDescent="0.15">
      <c r="A45" s="43" t="s">
        <v>321</v>
      </c>
    </row>
    <row r="46" spans="1:11" ht="15.75" customHeight="1" x14ac:dyDescent="0.15">
      <c r="A46" s="3" t="s">
        <v>322</v>
      </c>
    </row>
    <row r="47" spans="1:11" ht="15.75" customHeight="1" x14ac:dyDescent="0.15">
      <c r="A47" s="23" t="s">
        <v>323</v>
      </c>
      <c r="B47" s="22">
        <f>SUMIF(case!$N:$N,$A47,case!B:B)</f>
        <v>0</v>
      </c>
      <c r="C47" s="22">
        <f>SUMIF(case!$N:$N,$A47,case!C:C)</f>
        <v>0</v>
      </c>
      <c r="D47" s="22">
        <f>SUMIF(case!$N:$N,$A47,case!D:D)</f>
        <v>0</v>
      </c>
      <c r="E47" s="22">
        <f>SUMIF(case!$N:$N,$A47,case!E:E)</f>
        <v>0</v>
      </c>
      <c r="F47" s="22">
        <f>SUMIF(case!$N:$N,$A47,case!F:F)</f>
        <v>0</v>
      </c>
      <c r="G47" s="22">
        <f>SUMIF(case!$N:$N,$A47,case!G:G)</f>
        <v>0</v>
      </c>
      <c r="H47" s="22">
        <f>SUMIF(case!$N:$N,$A47,case!H:H)</f>
        <v>0</v>
      </c>
      <c r="I47" s="22">
        <f>SUMIF(case!$N:$N,$A47,case!I:I)</f>
        <v>0</v>
      </c>
      <c r="J47" s="22">
        <f>SUMIF(case!$N:$N,$A47,case!J:J)</f>
        <v>0</v>
      </c>
      <c r="K47" s="22">
        <f>SUMIF(case!$N:$N,$A47,case!K:K)</f>
        <v>0</v>
      </c>
    </row>
    <row r="48" spans="1:11" ht="15.75" customHeight="1" x14ac:dyDescent="0.15">
      <c r="A48" s="23" t="s">
        <v>278</v>
      </c>
      <c r="B48" s="22">
        <f>SUMIF(case!$N:$N,$A48,case!B:B)</f>
        <v>250274</v>
      </c>
      <c r="C48" s="22">
        <f>SUMIF(case!$N:$N,$A48,case!C:C)</f>
        <v>182261</v>
      </c>
      <c r="D48" s="22">
        <f>SUMIF(case!$N:$N,$A48,case!D:D)</f>
        <v>252136.23</v>
      </c>
      <c r="E48" s="22">
        <f>SUMIF(case!$N:$N,$A48,case!E:E)</f>
        <v>190182.36300000001</v>
      </c>
      <c r="F48" s="22">
        <f>SUMIF(case!$N:$N,$A48,case!F:F)</f>
        <v>134849.12400000001</v>
      </c>
      <c r="G48" s="22">
        <f>SUMIF(case!$N:$N,$A48,case!G:G)</f>
        <v>139771.209</v>
      </c>
      <c r="H48" s="22">
        <f>SUMIF(case!$N:$N,$A48,case!H:H)</f>
        <v>197078.85800000001</v>
      </c>
      <c r="I48" s="22">
        <f>SUMIF(case!$N:$N,$A48,case!I:I)</f>
        <v>142429.71400000001</v>
      </c>
      <c r="J48" s="22">
        <f>SUMIF(case!$N:$N,$A48,case!J:J)</f>
        <v>140877.26300000001</v>
      </c>
      <c r="K48" s="22">
        <f>SUMIF(case!$N:$N,$A48,case!K:K)</f>
        <v>154221.997</v>
      </c>
    </row>
    <row r="49" spans="1:11" ht="15.75" customHeight="1" x14ac:dyDescent="0.15">
      <c r="A49" s="23" t="s">
        <v>324</v>
      </c>
      <c r="B49" s="22">
        <f>SUMIF(case!$N:$N,$A49,case!B:B)</f>
        <v>0</v>
      </c>
      <c r="C49" s="22">
        <f>SUMIF(case!$N:$N,$A49,case!C:C)</f>
        <v>0</v>
      </c>
      <c r="D49" s="22">
        <f>SUMIF(case!$N:$N,$A49,case!D:D)</f>
        <v>0</v>
      </c>
      <c r="E49" s="22">
        <f>SUMIF(case!$N:$N,$A49,case!E:E)</f>
        <v>0</v>
      </c>
      <c r="F49" s="22">
        <f>SUMIF(case!$N:$N,$A49,case!F:F)</f>
        <v>0</v>
      </c>
      <c r="G49" s="22">
        <f>SUMIF(case!$N:$N,$A49,case!G:G)</f>
        <v>0</v>
      </c>
      <c r="H49" s="22">
        <f>SUMIF(case!$N:$N,$A49,case!H:H)</f>
        <v>0</v>
      </c>
      <c r="I49" s="22">
        <f>SUMIF(case!$N:$N,$A49,case!I:I)</f>
        <v>0</v>
      </c>
      <c r="J49" s="22">
        <f>SUMIF(case!$N:$N,$A49,case!J:J)</f>
        <v>0</v>
      </c>
      <c r="K49" s="22">
        <f>SUMIF(case!$N:$N,$A49,case!K:K)</f>
        <v>0</v>
      </c>
    </row>
    <row r="50" spans="1:11" ht="15.75" customHeight="1" x14ac:dyDescent="0.15">
      <c r="A50" s="23" t="s">
        <v>276</v>
      </c>
      <c r="B50" s="22">
        <f>SUMIF(case!$N:$N,$A50,case!B:B)</f>
        <v>31095</v>
      </c>
      <c r="C50" s="22">
        <f>SUMIF(case!$N:$N,$A50,case!C:C)</f>
        <v>22830</v>
      </c>
      <c r="D50" s="22">
        <f>SUMIF(case!$N:$N,$A50,case!D:D)</f>
        <v>19799.218000000001</v>
      </c>
      <c r="E50" s="22">
        <f>SUMIF(case!$N:$N,$A50,case!E:E)</f>
        <v>19242.402999999998</v>
      </c>
      <c r="F50" s="22">
        <f>SUMIF(case!$N:$N,$A50,case!F:F)</f>
        <v>13505.011</v>
      </c>
      <c r="G50" s="22">
        <f>SUMIF(case!$N:$N,$A50,case!G:G)</f>
        <v>14249.11</v>
      </c>
      <c r="H50" s="22">
        <f>SUMIF(case!$N:$N,$A50,case!H:H)</f>
        <v>11492.700999999999</v>
      </c>
      <c r="I50" s="22">
        <f>SUMIF(case!$N:$N,$A50,case!I:I)</f>
        <v>12174.004999999999</v>
      </c>
      <c r="J50" s="22">
        <f>SUMIF(case!$N:$N,$A50,case!J:J)</f>
        <v>13103.066999999999</v>
      </c>
      <c r="K50" s="22">
        <f>SUMIF(case!$N:$N,$A50,case!K:K)</f>
        <v>11889.772000000001</v>
      </c>
    </row>
    <row r="51" spans="1:11" ht="15.75" customHeight="1" x14ac:dyDescent="0.15">
      <c r="A51" s="3" t="s">
        <v>325</v>
      </c>
      <c r="B51" s="22">
        <f>SUM(B48:B50)</f>
        <v>281369</v>
      </c>
      <c r="C51" s="22">
        <f t="shared" ref="C51:K51" si="11">SUM(C48:C50)</f>
        <v>205091</v>
      </c>
      <c r="D51" s="22">
        <f t="shared" si="11"/>
        <v>271935.44800000003</v>
      </c>
      <c r="E51" s="22">
        <f t="shared" si="11"/>
        <v>209424.766</v>
      </c>
      <c r="F51" s="22">
        <f t="shared" si="11"/>
        <v>148354.13500000001</v>
      </c>
      <c r="G51" s="22">
        <f t="shared" si="11"/>
        <v>154020.31900000002</v>
      </c>
      <c r="H51" s="22">
        <f t="shared" si="11"/>
        <v>208571.55900000001</v>
      </c>
      <c r="I51" s="22">
        <f t="shared" si="11"/>
        <v>154603.71900000001</v>
      </c>
      <c r="J51" s="22">
        <f t="shared" si="11"/>
        <v>153980.33000000002</v>
      </c>
      <c r="K51" s="22">
        <f t="shared" si="11"/>
        <v>166111.769</v>
      </c>
    </row>
    <row r="52" spans="1:11" ht="15.75" customHeight="1" x14ac:dyDescent="0.15">
      <c r="A52" s="23" t="s">
        <v>326</v>
      </c>
      <c r="B52" s="22">
        <f>SUMIF(case!$N:$N,$A52,case!B:B)</f>
        <v>0</v>
      </c>
      <c r="C52" s="22">
        <f>SUMIF(case!$N:$N,$A52,case!C:C)</f>
        <v>0</v>
      </c>
      <c r="D52" s="22">
        <f>SUMIF(case!$N:$N,$A52,case!D:D)</f>
        <v>0</v>
      </c>
      <c r="E52" s="22">
        <f>SUMIF(case!$N:$N,$A52,case!E:E)</f>
        <v>0</v>
      </c>
      <c r="F52" s="22">
        <f>SUMIF(case!$N:$N,$A52,case!F:F)</f>
        <v>0</v>
      </c>
      <c r="G52" s="22">
        <f>SUMIF(case!$N:$N,$A52,case!G:G)</f>
        <v>0</v>
      </c>
      <c r="H52" s="22">
        <f>SUMIF(case!$N:$N,$A52,case!H:H)</f>
        <v>0</v>
      </c>
      <c r="I52" s="22">
        <f>SUMIF(case!$N:$N,$A52,case!I:I)</f>
        <v>0</v>
      </c>
      <c r="J52" s="22">
        <f>SUMIF(case!$N:$N,$A52,case!J:J)</f>
        <v>0</v>
      </c>
      <c r="K52" s="22">
        <f>SUMIF(case!$N:$N,$A52,case!K:K)</f>
        <v>0</v>
      </c>
    </row>
    <row r="53" spans="1:11" ht="15.75" customHeight="1" x14ac:dyDescent="0.15">
      <c r="A53" s="23" t="s">
        <v>273</v>
      </c>
      <c r="B53" s="22">
        <f>SUMIF(case!$N:$N,$A53,case!B:B)</f>
        <v>6126</v>
      </c>
      <c r="C53" s="22">
        <f>SUMIF(case!$N:$N,$A53,case!C:C)</f>
        <v>7190</v>
      </c>
      <c r="D53" s="22">
        <f>SUMIF(case!$N:$N,$A53,case!D:D)</f>
        <v>9844.1450000000004</v>
      </c>
      <c r="E53" s="22">
        <f>SUMIF(case!$N:$N,$A53,case!E:E)</f>
        <v>9804.3629999999994</v>
      </c>
      <c r="F53" s="22">
        <f>SUMIF(case!$N:$N,$A53,case!F:F)</f>
        <v>11127.204</v>
      </c>
      <c r="G53" s="22">
        <f>SUMIF(case!$N:$N,$A53,case!G:G)</f>
        <v>13315.664000000001</v>
      </c>
      <c r="H53" s="22">
        <f>SUMIF(case!$N:$N,$A53,case!H:H)</f>
        <v>14615.308000000001</v>
      </c>
      <c r="I53" s="22">
        <f>SUMIF(case!$N:$N,$A53,case!I:I)</f>
        <v>15818.5</v>
      </c>
      <c r="J53" s="22">
        <f>SUMIF(case!$N:$N,$A53,case!J:J)</f>
        <v>16934.441999999999</v>
      </c>
      <c r="K53" s="22">
        <f>SUMIF(case!$N:$N,$A53,case!K:K)</f>
        <v>17851.923999999999</v>
      </c>
    </row>
    <row r="54" spans="1:11" ht="15.75" customHeight="1" x14ac:dyDescent="0.15">
      <c r="A54" s="23" t="s">
        <v>277</v>
      </c>
      <c r="B54" s="22">
        <f>SUMIF(case!$N:$N,$A54,case!B:B)</f>
        <v>0</v>
      </c>
      <c r="C54" s="22">
        <f>SUMIF(case!$N:$N,$A54,case!C:C)</f>
        <v>0</v>
      </c>
      <c r="D54" s="22">
        <f>SUMIF(case!$N:$N,$A54,case!D:D)</f>
        <v>0</v>
      </c>
      <c r="E54" s="22">
        <f>SUMIF(case!$N:$N,$A54,case!E:E)</f>
        <v>0</v>
      </c>
      <c r="F54" s="22">
        <f>SUMIF(case!$N:$N,$A54,case!F:F)</f>
        <v>0</v>
      </c>
      <c r="G54" s="22">
        <f>SUMIF(case!$N:$N,$A54,case!G:G)</f>
        <v>0</v>
      </c>
      <c r="H54" s="22">
        <f>SUMIF(case!$N:$N,$A54,case!H:H)</f>
        <v>0</v>
      </c>
      <c r="I54" s="22">
        <f>SUMIF(case!$N:$N,$A54,case!I:I)</f>
        <v>0</v>
      </c>
      <c r="J54" s="22">
        <f>SUMIF(case!$N:$N,$A54,case!J:J)</f>
        <v>0</v>
      </c>
      <c r="K54" s="22">
        <f>SUMIF(case!$N:$N,$A54,case!K:K)</f>
        <v>0</v>
      </c>
    </row>
    <row r="55" spans="1:11" ht="15.75" customHeight="1" x14ac:dyDescent="0.15">
      <c r="A55" s="3" t="s">
        <v>327</v>
      </c>
      <c r="B55" s="22">
        <f>SUM(B53:B54)</f>
        <v>6126</v>
      </c>
      <c r="C55" s="22">
        <f t="shared" ref="C55:K55" si="12">SUM(C53:C54)</f>
        <v>7190</v>
      </c>
      <c r="D55" s="22">
        <f t="shared" si="12"/>
        <v>9844.1450000000004</v>
      </c>
      <c r="E55" s="22">
        <f t="shared" si="12"/>
        <v>9804.3629999999994</v>
      </c>
      <c r="F55" s="22">
        <f t="shared" si="12"/>
        <v>11127.204</v>
      </c>
      <c r="G55" s="22">
        <f t="shared" si="12"/>
        <v>13315.664000000001</v>
      </c>
      <c r="H55" s="22">
        <f t="shared" si="12"/>
        <v>14615.308000000001</v>
      </c>
      <c r="I55" s="22">
        <f t="shared" si="12"/>
        <v>15818.5</v>
      </c>
      <c r="J55" s="22">
        <f t="shared" si="12"/>
        <v>16934.441999999999</v>
      </c>
      <c r="K55" s="22">
        <f t="shared" si="12"/>
        <v>17851.923999999999</v>
      </c>
    </row>
    <row r="56" spans="1:11" ht="15.75" customHeight="1" x14ac:dyDescent="0.15">
      <c r="A56" s="3" t="s">
        <v>328</v>
      </c>
      <c r="B56" s="22">
        <f>B51+B55</f>
        <v>287495</v>
      </c>
      <c r="C56" s="22">
        <f t="shared" ref="C56:K56" si="13">C51+C55</f>
        <v>212281</v>
      </c>
      <c r="D56" s="22">
        <f t="shared" si="13"/>
        <v>281779.59300000005</v>
      </c>
      <c r="E56" s="22">
        <f t="shared" si="13"/>
        <v>219229.12900000002</v>
      </c>
      <c r="F56" s="22">
        <f t="shared" si="13"/>
        <v>159481.33900000001</v>
      </c>
      <c r="G56" s="22">
        <f t="shared" si="13"/>
        <v>167335.98300000001</v>
      </c>
      <c r="H56" s="22">
        <f t="shared" si="13"/>
        <v>223186.867</v>
      </c>
      <c r="I56" s="22">
        <f t="shared" si="13"/>
        <v>170422.21900000001</v>
      </c>
      <c r="J56" s="22">
        <f t="shared" si="13"/>
        <v>170914.77200000003</v>
      </c>
      <c r="K56" s="22">
        <f t="shared" si="13"/>
        <v>183963.693</v>
      </c>
    </row>
    <row r="57" spans="1:11" ht="15.75" customHeight="1" x14ac:dyDescent="0.15">
      <c r="A57" s="23"/>
    </row>
    <row r="58" spans="1:11" ht="15.75" customHeight="1" x14ac:dyDescent="0.15">
      <c r="A58" s="3" t="s">
        <v>329</v>
      </c>
    </row>
    <row r="59" spans="1:11" ht="15.75" customHeight="1" x14ac:dyDescent="0.15">
      <c r="A59" s="23" t="s">
        <v>280</v>
      </c>
      <c r="B59" s="22">
        <f>SUMIF(case!$N:$N,$A59,case!B:B)</f>
        <v>1795</v>
      </c>
      <c r="C59" s="22">
        <f>SUMIF(case!$N:$N,$A59,case!C:C)</f>
        <v>780</v>
      </c>
      <c r="D59" s="22">
        <f>SUMIF(case!$N:$N,$A59,case!D:D)</f>
        <v>16209.305</v>
      </c>
      <c r="E59" s="22">
        <f>SUMIF(case!$N:$N,$A59,case!E:E)</f>
        <v>15299.373</v>
      </c>
      <c r="F59" s="22">
        <f>SUMIF(case!$N:$N,$A59,case!F:F)</f>
        <v>37137.14</v>
      </c>
      <c r="G59" s="22">
        <f>SUMIF(case!$N:$N,$A59,case!G:G)</f>
        <v>13404.492</v>
      </c>
      <c r="H59" s="22">
        <f>SUMIF(case!$N:$N,$A59,case!H:H)</f>
        <v>14882.096</v>
      </c>
      <c r="I59" s="22">
        <f>SUMIF(case!$N:$N,$A59,case!I:I)</f>
        <v>15285.431</v>
      </c>
      <c r="J59" s="22">
        <f>SUMIF(case!$N:$N,$A59,case!J:J)</f>
        <v>25003.617999999999</v>
      </c>
      <c r="K59" s="22">
        <f>SUMIF(case!$N:$N,$A59,case!K:K)</f>
        <v>14389.177</v>
      </c>
    </row>
    <row r="60" spans="1:11" ht="15.75" customHeight="1" x14ac:dyDescent="0.15">
      <c r="A60" s="23" t="s">
        <v>271</v>
      </c>
      <c r="B60" s="22">
        <f>SUMIF(case!$N:$N,$A60,case!B:B)</f>
        <v>80578</v>
      </c>
      <c r="C60" s="22">
        <f>SUMIF(case!$N:$N,$A60,case!C:C)</f>
        <v>24669</v>
      </c>
      <c r="D60" s="22">
        <f>SUMIF(case!$N:$N,$A60,case!D:D)</f>
        <v>17588.982</v>
      </c>
      <c r="E60" s="22">
        <f>SUMIF(case!$N:$N,$A60,case!E:E)</f>
        <v>16566.298999999999</v>
      </c>
      <c r="F60" s="22">
        <f>SUMIF(case!$N:$N,$A60,case!F:F)</f>
        <v>16422.796999999999</v>
      </c>
      <c r="G60" s="22">
        <f>SUMIF(case!$N:$N,$A60,case!G:G)</f>
        <v>0</v>
      </c>
      <c r="H60" s="22">
        <f>SUMIF(case!$N:$N,$A60,case!H:H)</f>
        <v>0</v>
      </c>
      <c r="I60" s="22">
        <f>SUMIF(case!$N:$N,$A60,case!I:I)</f>
        <v>0</v>
      </c>
      <c r="J60" s="22">
        <f>SUMIF(case!$N:$N,$A60,case!J:J)</f>
        <v>0</v>
      </c>
      <c r="K60" s="22">
        <f>SUMIF(case!$N:$N,$A60,case!K:K)</f>
        <v>0</v>
      </c>
    </row>
    <row r="61" spans="1:11" ht="15.75" customHeight="1" x14ac:dyDescent="0.15">
      <c r="A61" s="23" t="s">
        <v>270</v>
      </c>
      <c r="B61" s="22">
        <f>SUMIF(case!$N:$N,$A61,case!B:B)</f>
        <v>52524</v>
      </c>
      <c r="C61" s="22">
        <f>SUMIF(case!$N:$N,$A61,case!C:C)</f>
        <v>16494</v>
      </c>
      <c r="D61" s="22">
        <f>SUMIF(case!$N:$N,$A61,case!D:D)</f>
        <v>30000.27</v>
      </c>
      <c r="E61" s="22">
        <f>SUMIF(case!$N:$N,$A61,case!E:E)</f>
        <v>27563.205999999998</v>
      </c>
      <c r="F61" s="22">
        <f>SUMIF(case!$N:$N,$A61,case!F:F)</f>
        <v>30289.56</v>
      </c>
      <c r="G61" s="22">
        <f>SUMIF(case!$N:$N,$A61,case!G:G)</f>
        <v>35059.684999999998</v>
      </c>
      <c r="H61" s="22">
        <f>SUMIF(case!$N:$N,$A61,case!H:H)</f>
        <v>32071.222000000002</v>
      </c>
      <c r="I61" s="22">
        <f>SUMIF(case!$N:$N,$A61,case!I:I)</f>
        <v>26043.48</v>
      </c>
      <c r="J61" s="22">
        <f>SUMIF(case!$N:$N,$A61,case!J:J)</f>
        <v>16890.149000000001</v>
      </c>
      <c r="K61" s="22">
        <f>SUMIF(case!$N:$N,$A61,case!K:K)</f>
        <v>9555.9650000000001</v>
      </c>
    </row>
    <row r="62" spans="1:11" ht="15.75" customHeight="1" x14ac:dyDescent="0.15">
      <c r="A62" s="3" t="s">
        <v>330</v>
      </c>
      <c r="B62" s="22">
        <f>SUM(B59:B61)</f>
        <v>134897</v>
      </c>
      <c r="C62" s="22">
        <f t="shared" ref="C62:K62" si="14">SUM(C59:C61)</f>
        <v>41943</v>
      </c>
      <c r="D62" s="22">
        <f t="shared" si="14"/>
        <v>63798.557000000001</v>
      </c>
      <c r="E62" s="22">
        <f t="shared" si="14"/>
        <v>59428.877999999997</v>
      </c>
      <c r="F62" s="22">
        <f t="shared" si="14"/>
        <v>83849.497000000003</v>
      </c>
      <c r="G62" s="22">
        <f t="shared" si="14"/>
        <v>48464.176999999996</v>
      </c>
      <c r="H62" s="22">
        <f t="shared" si="14"/>
        <v>46953.317999999999</v>
      </c>
      <c r="I62" s="22">
        <f t="shared" si="14"/>
        <v>41328.911</v>
      </c>
      <c r="J62" s="22">
        <f t="shared" si="14"/>
        <v>41893.767</v>
      </c>
      <c r="K62" s="22">
        <f t="shared" si="14"/>
        <v>23945.142</v>
      </c>
    </row>
    <row r="63" spans="1:11" ht="15.75" customHeight="1" x14ac:dyDescent="0.15">
      <c r="A63" s="23"/>
    </row>
    <row r="64" spans="1:11" ht="15.75" customHeight="1" x14ac:dyDescent="0.15">
      <c r="A64" s="3" t="s">
        <v>331</v>
      </c>
    </row>
    <row r="65" spans="1:11" ht="15.75" customHeight="1" x14ac:dyDescent="0.15">
      <c r="A65" s="23" t="s">
        <v>279</v>
      </c>
      <c r="B65" s="22">
        <f>SUMIF(case!$N:$N,$A65,case!B:B)</f>
        <v>0</v>
      </c>
      <c r="C65" s="22">
        <f>SUMIF(case!$N:$N,$A65,case!C:C)</f>
        <v>0</v>
      </c>
      <c r="D65" s="22">
        <f>SUMIF(case!$N:$N,$A65,case!D:D)</f>
        <v>395029.18599999999</v>
      </c>
      <c r="E65" s="22">
        <f>SUMIF(case!$N:$N,$A65,case!E:E)</f>
        <v>174280.429</v>
      </c>
      <c r="F65" s="22">
        <f>SUMIF(case!$N:$N,$A65,case!F:F)</f>
        <v>141526.408</v>
      </c>
      <c r="G65" s="22">
        <f>SUMIF(case!$N:$N,$A65,case!G:G)</f>
        <v>103931.448</v>
      </c>
      <c r="H65" s="22">
        <f>SUMIF(case!$N:$N,$A65,case!H:H)</f>
        <v>67952.994000000006</v>
      </c>
      <c r="I65" s="22">
        <f>SUMIF(case!$N:$N,$A65,case!I:I)</f>
        <v>46501.775000000001</v>
      </c>
      <c r="J65" s="22">
        <f>SUMIF(case!$N:$N,$A65,case!J:J)</f>
        <v>54122.252</v>
      </c>
      <c r="K65" s="22">
        <f>SUMIF(case!$N:$N,$A65,case!K:K)</f>
        <v>49593.983999999997</v>
      </c>
    </row>
    <row r="66" spans="1:11" ht="15.75" customHeight="1" x14ac:dyDescent="0.15">
      <c r="A66" s="3" t="s">
        <v>332</v>
      </c>
      <c r="B66" s="22">
        <f>B65</f>
        <v>0</v>
      </c>
      <c r="C66" s="22">
        <f t="shared" ref="C66:K66" si="15">C65</f>
        <v>0</v>
      </c>
      <c r="D66" s="22">
        <f t="shared" si="15"/>
        <v>395029.18599999999</v>
      </c>
      <c r="E66" s="22">
        <f t="shared" si="15"/>
        <v>174280.429</v>
      </c>
      <c r="F66" s="22">
        <f t="shared" si="15"/>
        <v>141526.408</v>
      </c>
      <c r="G66" s="22">
        <f t="shared" si="15"/>
        <v>103931.448</v>
      </c>
      <c r="H66" s="22">
        <f t="shared" si="15"/>
        <v>67952.994000000006</v>
      </c>
      <c r="I66" s="22">
        <f t="shared" si="15"/>
        <v>46501.775000000001</v>
      </c>
      <c r="J66" s="22">
        <f t="shared" si="15"/>
        <v>54122.252</v>
      </c>
      <c r="K66" s="22">
        <f t="shared" si="15"/>
        <v>49593.983999999997</v>
      </c>
    </row>
    <row r="67" spans="1:11" ht="15.75" customHeight="1" x14ac:dyDescent="0.15">
      <c r="A67" s="23"/>
    </row>
    <row r="68" spans="1:11" ht="15.75" customHeight="1" x14ac:dyDescent="0.15">
      <c r="A68" s="3" t="s">
        <v>333</v>
      </c>
    </row>
    <row r="69" spans="1:11" ht="15.75" customHeight="1" x14ac:dyDescent="0.15">
      <c r="A69" s="23" t="s">
        <v>275</v>
      </c>
      <c r="B69" s="22">
        <f>SUMIF(case!$N:$N,$A69,case!B:B)</f>
        <v>1425629</v>
      </c>
      <c r="C69" s="22">
        <f>SUMIF(case!$N:$N,$A69,case!C:C)</f>
        <v>703519</v>
      </c>
      <c r="D69" s="22">
        <f>SUMIF(case!$N:$N,$A69,case!D:D)</f>
        <v>0</v>
      </c>
      <c r="E69" s="22">
        <f>SUMIF(case!$N:$N,$A69,case!E:E)</f>
        <v>725617.17700000003</v>
      </c>
      <c r="F69" s="22">
        <f>SUMIF(case!$N:$N,$A69,case!F:F)</f>
        <v>780492.16799999995</v>
      </c>
      <c r="G69" s="22">
        <f>SUMIF(case!$N:$N,$A69,case!G:G)</f>
        <v>0</v>
      </c>
      <c r="H69" s="22">
        <f>SUMIF(case!$N:$N,$A69,case!H:H)</f>
        <v>0</v>
      </c>
      <c r="I69" s="22">
        <f>SUMIF(case!$N:$N,$A69,case!I:I)</f>
        <v>55779.955999999998</v>
      </c>
      <c r="J69" s="22">
        <f>SUMIF(case!$N:$N,$A69,case!J:J)</f>
        <v>79869.755999999994</v>
      </c>
      <c r="K69" s="22">
        <f>SUMIF(case!$N:$N,$A69,case!K:K)</f>
        <v>103275.89599999999</v>
      </c>
    </row>
    <row r="70" spans="1:11" ht="15.75" customHeight="1" x14ac:dyDescent="0.15">
      <c r="A70" s="23" t="s">
        <v>274</v>
      </c>
      <c r="B70" s="22">
        <f>SUMIF(case!$N:$N,$A70,case!B:B)</f>
        <v>99517</v>
      </c>
      <c r="C70" s="22">
        <f>SUMIF(case!$N:$N,$A70,case!C:C)</f>
        <v>62490</v>
      </c>
      <c r="D70" s="22">
        <f>SUMIF(case!$N:$N,$A70,case!D:D)</f>
        <v>25075.841</v>
      </c>
      <c r="E70" s="22">
        <f>SUMIF(case!$N:$N,$A70,case!E:E)</f>
        <v>12409.266</v>
      </c>
      <c r="F70" s="22">
        <f>SUMIF(case!$N:$N,$A70,case!F:F)</f>
        <v>18711.334999999999</v>
      </c>
      <c r="G70" s="22">
        <f>SUMIF(case!$N:$N,$A70,case!G:G)</f>
        <v>4.9219999999999997</v>
      </c>
      <c r="H70" s="22">
        <f>SUMIF(case!$N:$N,$A70,case!H:H)</f>
        <v>20464.468000000001</v>
      </c>
      <c r="I70" s="22">
        <f>SUMIF(case!$N:$N,$A70,case!I:I)</f>
        <v>99975.350999999995</v>
      </c>
      <c r="J70" s="22">
        <f>SUMIF(case!$N:$N,$A70,case!J:J)</f>
        <v>79477.820000000007</v>
      </c>
      <c r="K70" s="22">
        <f>SUMIF(case!$N:$N,$A70,case!K:K)</f>
        <v>100505.09699999999</v>
      </c>
    </row>
    <row r="71" spans="1:11" ht="15.75" customHeight="1" x14ac:dyDescent="0.15">
      <c r="A71" s="23" t="s">
        <v>334</v>
      </c>
      <c r="B71" s="22">
        <f>SUMIF(case!$N:$N,$A71,case!B:B)</f>
        <v>0</v>
      </c>
      <c r="C71" s="22">
        <f>SUMIF(case!$N:$N,$A71,case!C:C)</f>
        <v>0</v>
      </c>
      <c r="D71" s="22">
        <f>SUMIF(case!$N:$N,$A71,case!D:D)</f>
        <v>0</v>
      </c>
      <c r="E71" s="22">
        <f>SUMIF(case!$N:$N,$A71,case!E:E)</f>
        <v>0</v>
      </c>
      <c r="F71" s="22">
        <f>SUMIF(case!$N:$N,$A71,case!F:F)</f>
        <v>0</v>
      </c>
      <c r="G71" s="22">
        <f>SUMIF(case!$N:$N,$A71,case!G:G)</f>
        <v>0</v>
      </c>
      <c r="H71" s="22">
        <f>SUMIF(case!$N:$N,$A71,case!H:H)</f>
        <v>0</v>
      </c>
      <c r="I71" s="22">
        <f>SUMIF(case!$N:$N,$A71,case!I:I)</f>
        <v>0</v>
      </c>
      <c r="J71" s="22">
        <f>SUMIF(case!$N:$N,$A71,case!J:J)</f>
        <v>0</v>
      </c>
      <c r="K71" s="22">
        <f>SUMIF(case!$N:$N,$A71,case!K:K)</f>
        <v>0</v>
      </c>
    </row>
    <row r="72" spans="1:11" ht="15.75" customHeight="1" x14ac:dyDescent="0.15">
      <c r="A72" s="23" t="s">
        <v>272</v>
      </c>
      <c r="B72" s="22">
        <f>SUMIF(case!$N:$N,$A72,case!B:B)</f>
        <v>1959</v>
      </c>
      <c r="C72" s="22">
        <f>SUMIF(case!$N:$N,$A72,case!C:C)</f>
        <v>16010</v>
      </c>
      <c r="D72" s="22">
        <f>SUMIF(case!$N:$N,$A72,case!D:D)</f>
        <v>14734.732</v>
      </c>
      <c r="E72" s="22">
        <f>SUMIF(case!$N:$N,$A72,case!E:E)</f>
        <v>620.45799999999997</v>
      </c>
      <c r="F72" s="22">
        <f>SUMIF(case!$N:$N,$A72,case!F:F)</f>
        <v>2147.741</v>
      </c>
      <c r="G72" s="22">
        <f>SUMIF(case!$N:$N,$A72,case!G:G)</f>
        <v>136.01300000000001</v>
      </c>
      <c r="H72" s="22">
        <f>SUMIF(case!$N:$N,$A72,case!H:H)</f>
        <v>12.057</v>
      </c>
      <c r="I72" s="22">
        <f>SUMIF(case!$N:$N,$A72,case!I:I)</f>
        <v>532.53399999999999</v>
      </c>
      <c r="J72" s="22">
        <f>SUMIF(case!$N:$N,$A72,case!J:J)</f>
        <v>157.47200000000001</v>
      </c>
      <c r="K72" s="22">
        <f>SUMIF(case!$N:$N,$A72,case!K:K)</f>
        <v>0</v>
      </c>
    </row>
    <row r="73" spans="1:11" ht="15.75" customHeight="1" x14ac:dyDescent="0.15">
      <c r="A73" s="3" t="s">
        <v>335</v>
      </c>
      <c r="B73" s="22">
        <f>SUM(B69:B72)</f>
        <v>1527105</v>
      </c>
      <c r="C73" s="22">
        <f t="shared" ref="C73:K73" si="16">SUM(C69:C72)</f>
        <v>782019</v>
      </c>
      <c r="D73" s="22">
        <f t="shared" si="16"/>
        <v>39810.573000000004</v>
      </c>
      <c r="E73" s="22">
        <f t="shared" si="16"/>
        <v>738646.90099999995</v>
      </c>
      <c r="F73" s="22">
        <f t="shared" si="16"/>
        <v>801351.24399999995</v>
      </c>
      <c r="G73" s="22">
        <f t="shared" si="16"/>
        <v>140.935</v>
      </c>
      <c r="H73" s="22">
        <f t="shared" si="16"/>
        <v>20476.525000000001</v>
      </c>
      <c r="I73" s="22">
        <f t="shared" si="16"/>
        <v>156287.84100000001</v>
      </c>
      <c r="J73" s="22">
        <f t="shared" si="16"/>
        <v>159505.04800000001</v>
      </c>
      <c r="K73" s="22">
        <f t="shared" si="16"/>
        <v>203780.99299999999</v>
      </c>
    </row>
    <row r="74" spans="1:11" ht="15.75" customHeight="1" x14ac:dyDescent="0.15">
      <c r="A74" s="23"/>
    </row>
    <row r="75" spans="1:11" ht="15.75" customHeight="1" x14ac:dyDescent="0.15">
      <c r="A75" s="3" t="s">
        <v>336</v>
      </c>
    </row>
    <row r="76" spans="1:11" ht="15.75" customHeight="1" x14ac:dyDescent="0.15">
      <c r="A76" s="23" t="s">
        <v>251</v>
      </c>
      <c r="B76" s="22">
        <f>SUMIF(case!$N:$N,$A76,case!B:B)</f>
        <v>988576</v>
      </c>
      <c r="C76" s="22">
        <f>SUMIF(case!$N:$N,$A76,case!C:C)</f>
        <v>550601</v>
      </c>
      <c r="D76" s="22">
        <f>SUMIF(case!$N:$N,$A76,case!D:D)</f>
        <v>619570.353</v>
      </c>
      <c r="E76" s="22">
        <f>SUMIF(case!$N:$N,$A76,case!E:E)</f>
        <v>-2284.8530000000001</v>
      </c>
      <c r="F76" s="22">
        <f>SUMIF(case!$N:$N,$A76,case!F:F)</f>
        <v>-88.58</v>
      </c>
      <c r="G76" s="22">
        <f>SUMIF(case!$N:$N,$A76,case!G:G)</f>
        <v>76982.659</v>
      </c>
      <c r="H76" s="22">
        <f>SUMIF(case!$N:$N,$A76,case!H:H)</f>
        <v>83876.349000000002</v>
      </c>
      <c r="I76" s="22">
        <f>SUMIF(case!$N:$N,$A76,case!I:I)</f>
        <v>3667.587</v>
      </c>
      <c r="J76" s="22">
        <f>SUMIF(case!$N:$N,$A76,case!J:J)</f>
        <v>-3266.3009999999999</v>
      </c>
      <c r="K76" s="22">
        <f>SUMIF(case!$N:$N,$A76,case!K:K)</f>
        <v>-11756.079999999998</v>
      </c>
    </row>
    <row r="77" spans="1:11" ht="15.75" customHeight="1" x14ac:dyDescent="0.15">
      <c r="A77" s="23" t="s">
        <v>337</v>
      </c>
      <c r="B77" s="22">
        <f>SUM(B78:B82)</f>
        <v>852247</v>
      </c>
      <c r="C77" s="22">
        <f t="shared" ref="C77:J77" si="17">SUM(C78:C82)</f>
        <v>88219</v>
      </c>
      <c r="D77" s="22">
        <f t="shared" si="17"/>
        <v>136548.72099999999</v>
      </c>
      <c r="E77" s="22">
        <f t="shared" si="17"/>
        <v>117108.52099999999</v>
      </c>
      <c r="F77" s="22">
        <f t="shared" si="17"/>
        <v>124862.24099999998</v>
      </c>
      <c r="G77" s="22">
        <f t="shared" si="17"/>
        <v>344954.71199999994</v>
      </c>
      <c r="H77" s="22">
        <f t="shared" si="17"/>
        <v>348518.46299999993</v>
      </c>
      <c r="I77" s="22">
        <f t="shared" si="17"/>
        <v>370611.08799999999</v>
      </c>
      <c r="J77" s="22">
        <f t="shared" si="17"/>
        <v>351645.82999999996</v>
      </c>
      <c r="K77" s="22">
        <f>SUM(K78:K82)</f>
        <v>318992.28200000001</v>
      </c>
    </row>
    <row r="78" spans="1:11" ht="15.75" customHeight="1" x14ac:dyDescent="0.15">
      <c r="A78" s="23" t="s">
        <v>265</v>
      </c>
      <c r="B78" s="22">
        <f>SUMIF(case!$N:$N,$A78,case!B:B)</f>
        <v>100241</v>
      </c>
      <c r="C78" s="22">
        <f>SUMIF(case!$N:$N,$A78,case!C:C)</f>
        <v>100241</v>
      </c>
      <c r="D78" s="22">
        <f>SUMIF(case!$N:$N,$A78,case!D:D)</f>
        <v>100241.674</v>
      </c>
      <c r="E78" s="22">
        <f>SUMIF(case!$N:$N,$A78,case!E:E)</f>
        <v>100241.674</v>
      </c>
      <c r="F78" s="22">
        <f>SUMIF(case!$N:$N,$A78,case!F:F)</f>
        <v>100241.674</v>
      </c>
      <c r="G78" s="22">
        <f>SUMIF(case!$N:$N,$A78,case!G:G)</f>
        <v>91829.358000000007</v>
      </c>
      <c r="H78" s="22">
        <f>SUMIF(case!$N:$N,$A78,case!H:H)</f>
        <v>91829.358000000007</v>
      </c>
      <c r="I78" s="22">
        <f>SUMIF(case!$N:$N,$A78,case!I:I)</f>
        <v>91829.358000000007</v>
      </c>
      <c r="J78" s="22">
        <f>SUMIF(case!$N:$N,$A78,case!J:J)</f>
        <v>91829.358000000007</v>
      </c>
      <c r="K78" s="22">
        <f>SUMIF(case!$N:$N,$A78,case!K:K)</f>
        <v>91829.358000000007</v>
      </c>
    </row>
    <row r="79" spans="1:11" ht="15.75" customHeight="1" x14ac:dyDescent="0.15">
      <c r="A79" s="23" t="s">
        <v>267</v>
      </c>
      <c r="B79" s="22">
        <f>SUMIF(case!$N:$N,$A79,case!B:B)</f>
        <v>1076923</v>
      </c>
      <c r="C79" s="22">
        <f>SUMIF(case!$N:$N,$A79,case!C:C)</f>
        <v>52270</v>
      </c>
      <c r="D79" s="22">
        <f>SUMIF(case!$N:$N,$A79,case!D:D)</f>
        <v>3345.6149999999907</v>
      </c>
      <c r="E79" s="22">
        <f>SUMIF(case!$N:$N,$A79,case!E:E)</f>
        <v>10181.986999999994</v>
      </c>
      <c r="F79" s="22">
        <f>SUMIF(case!$N:$N,$A79,case!F:F)</f>
        <v>65610.638999999996</v>
      </c>
      <c r="G79" s="22">
        <f>SUMIF(case!$N:$N,$A79,case!G:G)</f>
        <v>237217.19999999998</v>
      </c>
      <c r="H79" s="22">
        <f>SUMIF(case!$N:$N,$A79,case!H:H)</f>
        <v>235309.67299999998</v>
      </c>
      <c r="I79" s="22">
        <f>SUMIF(case!$N:$N,$A79,case!I:I)</f>
        <v>214344.40399999998</v>
      </c>
      <c r="J79" s="22">
        <f>SUMIF(case!$N:$N,$A79,case!J:J)</f>
        <v>189690.899</v>
      </c>
      <c r="K79" s="22">
        <f>SUMIF(case!$N:$N,$A79,case!K:K)</f>
        <v>172816.59099999999</v>
      </c>
    </row>
    <row r="80" spans="1:11" ht="15.75" customHeight="1" x14ac:dyDescent="0.15">
      <c r="A80" s="23" t="s">
        <v>266</v>
      </c>
      <c r="B80" s="22">
        <f>SUMIF(case!$N:$N,$A80,case!B:B)</f>
        <v>0</v>
      </c>
      <c r="C80" s="22">
        <f>SUMIF(case!$N:$N,$A80,case!C:C)</f>
        <v>0</v>
      </c>
      <c r="D80" s="22">
        <f>SUMIF(case!$N:$N,$A80,case!D:D)</f>
        <v>15208.960999999999</v>
      </c>
      <c r="E80" s="22">
        <f>SUMIF(case!$N:$N,$A80,case!E:E)</f>
        <v>18021.232</v>
      </c>
      <c r="F80" s="22">
        <f>SUMIF(case!$N:$N,$A80,case!F:F)</f>
        <v>14438.58</v>
      </c>
      <c r="G80" s="22">
        <f>SUMIF(case!$N:$N,$A80,case!G:G)</f>
        <v>15471.903</v>
      </c>
      <c r="H80" s="22">
        <f>SUMIF(case!$N:$N,$A80,case!H:H)</f>
        <v>15471.903</v>
      </c>
      <c r="I80" s="22">
        <f>SUMIF(case!$N:$N,$A80,case!I:I)</f>
        <v>15471.903</v>
      </c>
      <c r="J80" s="22">
        <f>SUMIF(case!$N:$N,$A80,case!J:J)</f>
        <v>15471.903</v>
      </c>
      <c r="K80" s="22">
        <f>SUMIF(case!$N:$N,$A80,case!K:K)</f>
        <v>15471.903</v>
      </c>
    </row>
    <row r="81" spans="1:11" ht="15.75" customHeight="1" x14ac:dyDescent="0.15">
      <c r="A81" s="23" t="s">
        <v>255</v>
      </c>
      <c r="B81" s="22">
        <f>SUMIF(case!$N:$N,$A81,case!B:B)</f>
        <v>0</v>
      </c>
      <c r="C81" s="22">
        <f>SUMIF(case!$N:$N,$A81,case!C:C)</f>
        <v>0</v>
      </c>
      <c r="D81" s="22">
        <f>SUMIF(case!$N:$N,$A81,case!D:D)</f>
        <v>0</v>
      </c>
      <c r="E81" s="22">
        <f>SUMIF(case!$N:$N,$A81,case!E:E)</f>
        <v>0</v>
      </c>
      <c r="F81" s="22">
        <f>SUMIF(case!$N:$N,$A81,case!F:F)</f>
        <v>0</v>
      </c>
      <c r="G81" s="22">
        <f>SUMIF(case!$N:$N,$A81,case!G:G)</f>
        <v>0</v>
      </c>
      <c r="H81" s="22">
        <f>SUMIF(case!$N:$N,$A81,case!H:H)</f>
        <v>0</v>
      </c>
      <c r="I81" s="22">
        <f>SUMIF(case!$N:$N,$A81,case!I:I)</f>
        <v>0</v>
      </c>
      <c r="J81" s="22">
        <f>SUMIF(case!$N:$N,$A81,case!J:J)</f>
        <v>0</v>
      </c>
      <c r="K81" s="22">
        <f>SUMIF(case!$N:$N,$A81,case!K:K)</f>
        <v>0</v>
      </c>
    </row>
    <row r="82" spans="1:11" ht="15.75" customHeight="1" x14ac:dyDescent="0.15">
      <c r="A82" s="23" t="s">
        <v>268</v>
      </c>
      <c r="B82" s="22">
        <f>SUMIF(case!$N:$N,$A82,case!B:B)</f>
        <v>-324917</v>
      </c>
      <c r="C82" s="22">
        <f>SUMIF(case!$N:$N,$A82,case!C:C)</f>
        <v>-64292</v>
      </c>
      <c r="D82" s="22">
        <f>SUMIF(case!$N:$N,$A82,case!D:D)</f>
        <v>17752.471000000001</v>
      </c>
      <c r="E82" s="22">
        <f>SUMIF(case!$N:$N,$A82,case!E:E)</f>
        <v>-11336.371999999999</v>
      </c>
      <c r="F82" s="22">
        <f>SUMIF(case!$N:$N,$A82,case!F:F)</f>
        <v>-55428.652000000002</v>
      </c>
      <c r="G82" s="22">
        <f>SUMIF(case!$N:$N,$A82,case!G:G)</f>
        <v>436.25099999999998</v>
      </c>
      <c r="H82" s="22">
        <f>SUMIF(case!$N:$N,$A82,case!H:H)</f>
        <v>5907.5290000000005</v>
      </c>
      <c r="I82" s="22">
        <f>SUMIF(case!$N:$N,$A82,case!I:I)</f>
        <v>48965.423000000003</v>
      </c>
      <c r="J82" s="22">
        <f>SUMIF(case!$N:$N,$A82,case!J:J)</f>
        <v>54653.67</v>
      </c>
      <c r="K82" s="22">
        <f>SUMIF(case!$N:$N,$A82,case!K:K)</f>
        <v>38874.43</v>
      </c>
    </row>
    <row r="83" spans="1:11" ht="15.75" customHeight="1" x14ac:dyDescent="0.15">
      <c r="A83" s="23" t="s">
        <v>269</v>
      </c>
      <c r="B83" s="22">
        <f>SUMIF(case!$N:$N,$A83,case!B:B)</f>
        <v>0</v>
      </c>
      <c r="C83" s="22">
        <f>SUMIF(case!$N:$N,$A83,case!C:C)</f>
        <v>0</v>
      </c>
      <c r="D83" s="22">
        <f>SUMIF(case!$N:$N,$A83,case!D:D)</f>
        <v>0</v>
      </c>
      <c r="E83" s="22">
        <f>SUMIF(case!$N:$N,$A83,case!E:E)</f>
        <v>0</v>
      </c>
      <c r="F83" s="22">
        <f>SUMIF(case!$N:$N,$A83,case!F:F)</f>
        <v>0</v>
      </c>
      <c r="G83" s="22">
        <f>SUMIF(case!$N:$N,$A83,case!G:G)</f>
        <v>0</v>
      </c>
      <c r="H83" s="22">
        <f>SUMIF(case!$N:$N,$A83,case!H:H)</f>
        <v>0</v>
      </c>
      <c r="I83" s="22">
        <f>SUMIF(case!$N:$N,$A83,case!I:I)</f>
        <v>0</v>
      </c>
      <c r="J83" s="22">
        <f>SUMIF(case!$N:$N,$A83,case!J:J)</f>
        <v>0</v>
      </c>
      <c r="K83" s="22">
        <f>SUMIF(case!$N:$N,$A83,case!K:K)</f>
        <v>0</v>
      </c>
    </row>
    <row r="84" spans="1:11" ht="15.75" customHeight="1" x14ac:dyDescent="0.15">
      <c r="A84" s="3" t="s">
        <v>338</v>
      </c>
      <c r="B84" s="22">
        <f>B76+B77+B83</f>
        <v>1840823</v>
      </c>
      <c r="C84" s="22">
        <f t="shared" ref="C84:J84" si="18">C76+C77+C83</f>
        <v>638820</v>
      </c>
      <c r="D84" s="22">
        <f t="shared" si="18"/>
        <v>756119.07400000002</v>
      </c>
      <c r="E84" s="22">
        <f t="shared" si="18"/>
        <v>114823.66799999999</v>
      </c>
      <c r="F84" s="22">
        <f t="shared" si="18"/>
        <v>124773.66099999998</v>
      </c>
      <c r="G84" s="22">
        <f t="shared" si="18"/>
        <v>421937.37099999993</v>
      </c>
      <c r="H84" s="22">
        <f t="shared" si="18"/>
        <v>432394.81199999992</v>
      </c>
      <c r="I84" s="22">
        <f t="shared" si="18"/>
        <v>374278.67499999999</v>
      </c>
      <c r="J84" s="22">
        <f t="shared" si="18"/>
        <v>348379.52899999998</v>
      </c>
      <c r="K84" s="22">
        <f>K76+K77+K83</f>
        <v>307236.20199999999</v>
      </c>
    </row>
    <row r="85" spans="1:11" ht="15.75" customHeight="1" x14ac:dyDescent="0.15">
      <c r="A85" s="23"/>
    </row>
    <row r="86" spans="1:11" ht="15.75" customHeight="1" x14ac:dyDescent="0.15">
      <c r="A86" s="3" t="s">
        <v>339</v>
      </c>
      <c r="B86" s="22">
        <f>B56+B62+B66+B73+B84</f>
        <v>3790320</v>
      </c>
      <c r="C86" s="22">
        <f t="shared" ref="C86:K86" si="19">C56+C62+C66+C73+C84</f>
        <v>1675063</v>
      </c>
      <c r="D86" s="22">
        <f t="shared" si="19"/>
        <v>1536536.983</v>
      </c>
      <c r="E86" s="22">
        <f t="shared" si="19"/>
        <v>1306409.0049999999</v>
      </c>
      <c r="F86" s="22">
        <f t="shared" si="19"/>
        <v>1310982.149</v>
      </c>
      <c r="G86" s="22">
        <f t="shared" si="19"/>
        <v>741809.91399999987</v>
      </c>
      <c r="H86" s="22">
        <f t="shared" si="19"/>
        <v>790964.51599999995</v>
      </c>
      <c r="I86" s="22">
        <f t="shared" si="19"/>
        <v>788819.42100000009</v>
      </c>
      <c r="J86" s="22">
        <f t="shared" si="19"/>
        <v>774815.36800000002</v>
      </c>
      <c r="K86" s="22">
        <f t="shared" si="19"/>
        <v>768520.01399999997</v>
      </c>
    </row>
    <row r="87" spans="1:11" ht="15.75" customHeight="1" x14ac:dyDescent="0.15">
      <c r="A87" s="3"/>
    </row>
    <row r="88" spans="1:11" ht="15.75" customHeight="1" x14ac:dyDescent="0.15">
      <c r="A88" s="23" t="s">
        <v>317</v>
      </c>
      <c r="B88" s="22">
        <f>case!B168</f>
        <v>3790320</v>
      </c>
      <c r="C88" s="22">
        <f>case!C168</f>
        <v>1675063</v>
      </c>
      <c r="D88" s="22">
        <f>case!D168</f>
        <v>1536536.983</v>
      </c>
      <c r="E88" s="22">
        <f>case!E168</f>
        <v>1308756.7039999999</v>
      </c>
      <c r="F88" s="22">
        <f>case!F168</f>
        <v>1311132.3030000001</v>
      </c>
      <c r="G88" s="22">
        <f>case!G168</f>
        <v>741974.82499999995</v>
      </c>
      <c r="H88" s="22">
        <f>case!H168</f>
        <v>792683.74399999995</v>
      </c>
      <c r="I88" s="22">
        <f>case!I168</f>
        <v>788836.85400000005</v>
      </c>
      <c r="J88" s="22">
        <f>case!J168</f>
        <v>778185.56599999999</v>
      </c>
      <c r="K88" s="22">
        <f>case!K168</f>
        <v>780383.29399999999</v>
      </c>
    </row>
    <row r="89" spans="1:11" ht="15.75" customHeight="1" x14ac:dyDescent="0.15">
      <c r="A89" s="24" t="s">
        <v>340</v>
      </c>
      <c r="B89" s="22">
        <f>B88-B86</f>
        <v>0</v>
      </c>
      <c r="C89" s="22">
        <f t="shared" ref="C89:K89" si="20">C88-C86</f>
        <v>0</v>
      </c>
      <c r="D89" s="22">
        <f t="shared" si="20"/>
        <v>0</v>
      </c>
      <c r="E89" s="22">
        <f t="shared" si="20"/>
        <v>2347.6990000000224</v>
      </c>
      <c r="F89" s="22">
        <f t="shared" si="20"/>
        <v>150.15400000009686</v>
      </c>
      <c r="G89" s="22">
        <f t="shared" si="20"/>
        <v>164.91100000008009</v>
      </c>
      <c r="H89" s="22">
        <f t="shared" si="20"/>
        <v>1719.2280000000028</v>
      </c>
      <c r="I89" s="22">
        <f t="shared" si="20"/>
        <v>17.432999999960884</v>
      </c>
      <c r="J89" s="22">
        <f t="shared" si="20"/>
        <v>3370.1979999999749</v>
      </c>
      <c r="K89" s="22">
        <f t="shared" si="20"/>
        <v>11863.280000000028</v>
      </c>
    </row>
    <row r="90" spans="1:11" ht="15.75" customHeight="1" x14ac:dyDescent="0.15">
      <c r="A90" s="23" t="s">
        <v>341</v>
      </c>
      <c r="B90" s="22">
        <f>B35-B86</f>
        <v>0</v>
      </c>
      <c r="C90" s="22">
        <f t="shared" ref="C90:K90" si="21">C35-C86</f>
        <v>0</v>
      </c>
      <c r="D90" s="22">
        <f t="shared" si="21"/>
        <v>0</v>
      </c>
      <c r="E90" s="22">
        <f t="shared" si="21"/>
        <v>0</v>
      </c>
      <c r="F90" s="22">
        <f t="shared" si="21"/>
        <v>0</v>
      </c>
      <c r="G90" s="22">
        <f t="shared" si="21"/>
        <v>0</v>
      </c>
      <c r="H90" s="22">
        <f t="shared" si="21"/>
        <v>0</v>
      </c>
      <c r="I90" s="22">
        <f t="shared" si="21"/>
        <v>0</v>
      </c>
      <c r="J90" s="22">
        <f t="shared" si="21"/>
        <v>0</v>
      </c>
      <c r="K90" s="22">
        <f t="shared" si="21"/>
        <v>0</v>
      </c>
    </row>
    <row r="91" spans="1:11" ht="15.75" customHeight="1" x14ac:dyDescent="0.15">
      <c r="A91" s="23"/>
    </row>
    <row r="92" spans="1:11" ht="15.75" customHeight="1" x14ac:dyDescent="0.15">
      <c r="A92" s="3" t="s">
        <v>342</v>
      </c>
    </row>
    <row r="93" spans="1:11" ht="15.75" customHeight="1" x14ac:dyDescent="0.15">
      <c r="A93" s="23" t="s">
        <v>343</v>
      </c>
      <c r="B93" s="22">
        <f>B16-B56+B21-B62</f>
        <v>2020790</v>
      </c>
      <c r="C93" s="22">
        <f t="shared" ref="C93:K93" si="22">C16-C56+C21-C62</f>
        <v>564221</v>
      </c>
      <c r="D93" s="22">
        <f t="shared" si="22"/>
        <v>241143.17300000004</v>
      </c>
      <c r="E93" s="22">
        <f t="shared" si="22"/>
        <v>251944.66400000002</v>
      </c>
      <c r="F93" s="22">
        <f t="shared" si="22"/>
        <v>288059.56700000004</v>
      </c>
      <c r="G93" s="22">
        <f t="shared" si="22"/>
        <v>164186.08499999996</v>
      </c>
      <c r="H93" s="22">
        <f t="shared" si="22"/>
        <v>218225.45800000007</v>
      </c>
      <c r="I93" s="22">
        <f t="shared" si="22"/>
        <v>232002.05699999994</v>
      </c>
      <c r="J93" s="22">
        <f t="shared" si="22"/>
        <v>229795.73099999997</v>
      </c>
      <c r="K93" s="22">
        <f t="shared" si="22"/>
        <v>249554.54300000001</v>
      </c>
    </row>
    <row r="94" spans="1:11" ht="15.75" customHeight="1" x14ac:dyDescent="0.15">
      <c r="A94" s="23" t="s">
        <v>344</v>
      </c>
      <c r="B94" s="22">
        <f>B27-B66</f>
        <v>1015828</v>
      </c>
      <c r="C94" s="22">
        <f t="shared" ref="C94:K94" si="23">C27-C66</f>
        <v>559853</v>
      </c>
      <c r="D94" s="22">
        <f t="shared" si="23"/>
        <v>445412.3189999999</v>
      </c>
      <c r="E94" s="22">
        <f t="shared" si="23"/>
        <v>494363.98200000008</v>
      </c>
      <c r="F94" s="22">
        <f t="shared" si="23"/>
        <v>499467.57500000001</v>
      </c>
      <c r="G94" s="22">
        <f t="shared" si="23"/>
        <v>149839.353</v>
      </c>
      <c r="H94" s="22">
        <f t="shared" si="23"/>
        <v>214394.70199999999</v>
      </c>
      <c r="I94" s="22">
        <f t="shared" si="23"/>
        <v>248820.09199999998</v>
      </c>
      <c r="J94" s="22">
        <f t="shared" si="23"/>
        <v>248424.85899999997</v>
      </c>
      <c r="K94" s="22">
        <f t="shared" si="23"/>
        <v>252919.701</v>
      </c>
    </row>
    <row r="95" spans="1:11" ht="15.75" customHeight="1" x14ac:dyDescent="0.15">
      <c r="A95" s="23" t="s">
        <v>345</v>
      </c>
      <c r="B95" s="22">
        <f>B33-B73</f>
        <v>-1195795</v>
      </c>
      <c r="C95" s="22">
        <f t="shared" ref="C95:K95" si="24">C33-C73</f>
        <v>-485254</v>
      </c>
      <c r="D95" s="22">
        <f t="shared" si="24"/>
        <v>69563.581999999995</v>
      </c>
      <c r="E95" s="22">
        <f t="shared" si="24"/>
        <v>-631484.97799999989</v>
      </c>
      <c r="F95" s="22">
        <f t="shared" si="24"/>
        <v>-662753.48099999991</v>
      </c>
      <c r="G95" s="22">
        <f t="shared" si="24"/>
        <v>107911.933</v>
      </c>
      <c r="H95" s="22">
        <f t="shared" si="24"/>
        <v>-225.34800000000178</v>
      </c>
      <c r="I95" s="22">
        <f t="shared" si="24"/>
        <v>-106543.47400000002</v>
      </c>
      <c r="J95" s="22">
        <f t="shared" si="24"/>
        <v>-129841.06100000002</v>
      </c>
      <c r="K95" s="22">
        <f t="shared" si="24"/>
        <v>-195238.04199999999</v>
      </c>
    </row>
    <row r="96" spans="1:11" ht="15.75" customHeight="1" x14ac:dyDescent="0.15">
      <c r="A96" s="23" t="s">
        <v>346</v>
      </c>
      <c r="B96" s="22">
        <f>B84</f>
        <v>1840823</v>
      </c>
      <c r="C96" s="22">
        <f t="shared" ref="C96:K96" si="25">C84</f>
        <v>638820</v>
      </c>
      <c r="D96" s="22">
        <f t="shared" si="25"/>
        <v>756119.07400000002</v>
      </c>
      <c r="E96" s="22">
        <f t="shared" si="25"/>
        <v>114823.66799999999</v>
      </c>
      <c r="F96" s="22">
        <f t="shared" si="25"/>
        <v>124773.66099999998</v>
      </c>
      <c r="G96" s="22">
        <f t="shared" si="25"/>
        <v>421937.37099999993</v>
      </c>
      <c r="H96" s="22">
        <f t="shared" si="25"/>
        <v>432394.81199999992</v>
      </c>
      <c r="I96" s="22">
        <f t="shared" si="25"/>
        <v>374278.67499999999</v>
      </c>
      <c r="J96" s="22">
        <f t="shared" si="25"/>
        <v>348379.52899999998</v>
      </c>
      <c r="K96" s="22">
        <f t="shared" si="25"/>
        <v>307236.20199999999</v>
      </c>
    </row>
    <row r="97" spans="1:11" ht="15.75" customHeight="1" x14ac:dyDescent="0.15">
      <c r="A97" s="23" t="s">
        <v>347</v>
      </c>
      <c r="B97" s="22">
        <f>B35</f>
        <v>3790320</v>
      </c>
      <c r="C97" s="22">
        <f t="shared" ref="C97:K97" si="26">C35</f>
        <v>1675063</v>
      </c>
      <c r="D97" s="22">
        <f t="shared" si="26"/>
        <v>1536536.983</v>
      </c>
      <c r="E97" s="22">
        <f t="shared" si="26"/>
        <v>1306409.0049999999</v>
      </c>
      <c r="F97" s="22">
        <f t="shared" si="26"/>
        <v>1310982.149</v>
      </c>
      <c r="G97" s="22">
        <f t="shared" si="26"/>
        <v>741809.91399999999</v>
      </c>
      <c r="H97" s="22">
        <f t="shared" si="26"/>
        <v>790964.51600000006</v>
      </c>
      <c r="I97" s="22">
        <f t="shared" si="26"/>
        <v>788819.42099999997</v>
      </c>
      <c r="J97" s="22">
        <f t="shared" si="26"/>
        <v>774815.3679999999</v>
      </c>
      <c r="K97" s="22">
        <f t="shared" si="26"/>
        <v>768520.01399999997</v>
      </c>
    </row>
    <row r="98" spans="1:11" ht="15.75" customHeight="1" x14ac:dyDescent="0.15">
      <c r="A98" s="23" t="s">
        <v>348</v>
      </c>
      <c r="B98" s="22">
        <f>B86</f>
        <v>3790320</v>
      </c>
      <c r="C98" s="22">
        <f t="shared" ref="C98:K98" si="27">C86</f>
        <v>1675063</v>
      </c>
      <c r="D98" s="22">
        <f t="shared" si="27"/>
        <v>1536536.983</v>
      </c>
      <c r="E98" s="22">
        <f t="shared" si="27"/>
        <v>1306409.0049999999</v>
      </c>
      <c r="F98" s="22">
        <f t="shared" si="27"/>
        <v>1310982.149</v>
      </c>
      <c r="G98" s="22">
        <f t="shared" si="27"/>
        <v>741809.91399999987</v>
      </c>
      <c r="H98" s="22">
        <f t="shared" si="27"/>
        <v>790964.51599999995</v>
      </c>
      <c r="I98" s="22">
        <f t="shared" si="27"/>
        <v>788819.42100000009</v>
      </c>
      <c r="J98" s="22">
        <f t="shared" si="27"/>
        <v>774815.36800000002</v>
      </c>
      <c r="K98" s="22">
        <f t="shared" si="27"/>
        <v>768520.01399999997</v>
      </c>
    </row>
    <row r="99" spans="1:11" ht="15.75" customHeight="1" x14ac:dyDescent="0.15">
      <c r="A99" s="23" t="s">
        <v>320</v>
      </c>
      <c r="B99" s="22">
        <f>B97-B98</f>
        <v>0</v>
      </c>
      <c r="C99" s="22">
        <f t="shared" ref="C99:K99" si="28">C97-C98</f>
        <v>0</v>
      </c>
      <c r="D99" s="22">
        <f t="shared" si="28"/>
        <v>0</v>
      </c>
      <c r="E99" s="22">
        <f t="shared" si="28"/>
        <v>0</v>
      </c>
      <c r="F99" s="22">
        <f t="shared" si="28"/>
        <v>0</v>
      </c>
      <c r="G99" s="22">
        <f t="shared" si="28"/>
        <v>0</v>
      </c>
      <c r="H99" s="22">
        <f t="shared" si="28"/>
        <v>0</v>
      </c>
      <c r="I99" s="22">
        <f t="shared" si="28"/>
        <v>0</v>
      </c>
      <c r="J99" s="22">
        <f t="shared" si="28"/>
        <v>0</v>
      </c>
      <c r="K99" s="22">
        <f t="shared" si="28"/>
        <v>0</v>
      </c>
    </row>
    <row r="100" spans="1:11" ht="15.75" customHeight="1" x14ac:dyDescent="0.15">
      <c r="A100" s="23"/>
    </row>
    <row r="101" spans="1:11" ht="15.75" customHeight="1" x14ac:dyDescent="0.15">
      <c r="A101" s="25" t="s">
        <v>349</v>
      </c>
      <c r="B101" s="22">
        <f>B8-B51</f>
        <v>273612</v>
      </c>
      <c r="C101" s="22">
        <f t="shared" ref="C101:K101" si="29">C8-C51</f>
        <v>270958</v>
      </c>
      <c r="D101" s="22">
        <f t="shared" si="29"/>
        <v>-76865.320000000036</v>
      </c>
      <c r="E101" s="22">
        <f t="shared" si="29"/>
        <v>-28446.097999999998</v>
      </c>
      <c r="F101" s="22">
        <f t="shared" si="29"/>
        <v>31598.684000000008</v>
      </c>
      <c r="G101" s="22">
        <f t="shared" si="29"/>
        <v>37996.185999999958</v>
      </c>
      <c r="H101" s="22">
        <f t="shared" si="29"/>
        <v>98368.217000000004</v>
      </c>
      <c r="I101" s="22">
        <f t="shared" si="29"/>
        <v>101159.454</v>
      </c>
      <c r="J101" s="22">
        <f t="shared" si="29"/>
        <v>118710.00699999998</v>
      </c>
      <c r="K101" s="22">
        <f t="shared" si="29"/>
        <v>112990.82599999997</v>
      </c>
    </row>
    <row r="102" spans="1:11" ht="15.75" customHeight="1" x14ac:dyDescent="0.15">
      <c r="A102" s="25" t="s">
        <v>350</v>
      </c>
      <c r="B102" s="22">
        <f>B16-B56</f>
        <v>2107491</v>
      </c>
      <c r="C102" s="22">
        <f t="shared" ref="C102:K102" si="30">C16-C56</f>
        <v>574483</v>
      </c>
      <c r="D102" s="22">
        <f t="shared" si="30"/>
        <v>235103.67600000004</v>
      </c>
      <c r="E102" s="22">
        <f t="shared" si="30"/>
        <v>271607.53200000001</v>
      </c>
      <c r="F102" s="22">
        <f t="shared" si="30"/>
        <v>328893.36600000004</v>
      </c>
      <c r="G102" s="22">
        <f t="shared" si="30"/>
        <v>192367.36699999997</v>
      </c>
      <c r="H102" s="22">
        <f t="shared" si="30"/>
        <v>245329.96000000005</v>
      </c>
      <c r="I102" s="22">
        <f t="shared" si="30"/>
        <v>256538.42099999994</v>
      </c>
      <c r="J102" s="22">
        <f t="shared" si="30"/>
        <v>261481.92499999996</v>
      </c>
      <c r="K102" s="22">
        <f t="shared" si="30"/>
        <v>264605.65700000001</v>
      </c>
    </row>
    <row r="103" spans="1:11" ht="15.75" customHeight="1" x14ac:dyDescent="0.15">
      <c r="A103" s="25" t="s">
        <v>453</v>
      </c>
      <c r="B103" s="22">
        <f>-B95</f>
        <v>1195795</v>
      </c>
      <c r="C103" s="22">
        <f>-C95</f>
        <v>485254</v>
      </c>
      <c r="D103" s="22">
        <f>-D95</f>
        <v>-69563.581999999995</v>
      </c>
      <c r="E103" s="22">
        <f>-E95</f>
        <v>631484.97799999989</v>
      </c>
      <c r="F103" s="22">
        <f>-F95</f>
        <v>662753.48099999991</v>
      </c>
      <c r="G103" s="22">
        <f>-G95</f>
        <v>-107911.933</v>
      </c>
      <c r="H103" s="22">
        <f>-H95</f>
        <v>225.34800000000178</v>
      </c>
      <c r="I103" s="22">
        <f>-I95</f>
        <v>106543.47400000002</v>
      </c>
      <c r="J103" s="22">
        <f>-J95</f>
        <v>129841.06100000002</v>
      </c>
      <c r="K103" s="22">
        <f>-K95</f>
        <v>195238.04199999999</v>
      </c>
    </row>
    <row r="104" spans="1:11" ht="15.75" customHeight="1" x14ac:dyDescent="0.15">
      <c r="A104" s="23" t="s">
        <v>351</v>
      </c>
      <c r="B104" s="22">
        <f>B93+B94</f>
        <v>3036618</v>
      </c>
      <c r="C104" s="22">
        <f>C93+C94</f>
        <v>1124074</v>
      </c>
      <c r="D104" s="22">
        <f>D93+D94</f>
        <v>686555.49199999997</v>
      </c>
      <c r="E104" s="22">
        <f>E93+E94</f>
        <v>746308.64600000007</v>
      </c>
      <c r="F104" s="22">
        <f>F93+F94</f>
        <v>787527.14199999999</v>
      </c>
      <c r="G104" s="22">
        <f>G93+G94</f>
        <v>314025.43799999997</v>
      </c>
      <c r="H104" s="22">
        <f>H93+H94</f>
        <v>432620.16000000003</v>
      </c>
      <c r="I104" s="22">
        <f>I93+I94</f>
        <v>480822.14899999992</v>
      </c>
      <c r="J104" s="22">
        <f>J93+J94</f>
        <v>478220.58999999997</v>
      </c>
      <c r="K104" s="22">
        <f>K93+K94</f>
        <v>502474.24400000001</v>
      </c>
    </row>
    <row r="105" spans="1:11" ht="15.75" customHeight="1" x14ac:dyDescent="0.15">
      <c r="A105" s="23" t="s">
        <v>352</v>
      </c>
      <c r="B105" s="22">
        <f>B96+B103</f>
        <v>3036618</v>
      </c>
      <c r="C105" s="22">
        <f>C96+C103</f>
        <v>1124074</v>
      </c>
      <c r="D105" s="22">
        <f>D96+D103</f>
        <v>686555.49200000009</v>
      </c>
      <c r="E105" s="22">
        <f>E96+E103</f>
        <v>746308.64599999983</v>
      </c>
      <c r="F105" s="22">
        <f>F96+F103</f>
        <v>787527.14199999988</v>
      </c>
      <c r="G105" s="22">
        <f>G96+G103</f>
        <v>314025.43799999991</v>
      </c>
      <c r="H105" s="22">
        <f>H96+H103</f>
        <v>432620.15999999992</v>
      </c>
      <c r="I105" s="22">
        <f>I96+I103</f>
        <v>480822.14899999998</v>
      </c>
      <c r="J105" s="22">
        <f>J96+J103</f>
        <v>478220.58999999997</v>
      </c>
      <c r="K105" s="22">
        <f>K96+K103</f>
        <v>502474.24399999995</v>
      </c>
    </row>
    <row r="106" spans="1:11" ht="15.75" customHeight="1" x14ac:dyDescent="0.15">
      <c r="A106" s="23" t="s">
        <v>353</v>
      </c>
      <c r="B106" s="22">
        <f>B104-B105</f>
        <v>0</v>
      </c>
      <c r="C106" s="22">
        <f t="shared" ref="C106:K106" si="31">C104-C105</f>
        <v>0</v>
      </c>
      <c r="D106" s="22">
        <f t="shared" si="31"/>
        <v>0</v>
      </c>
      <c r="E106" s="22">
        <f t="shared" si="31"/>
        <v>0</v>
      </c>
      <c r="F106" s="22">
        <f t="shared" si="31"/>
        <v>0</v>
      </c>
      <c r="G106" s="22">
        <f t="shared" si="31"/>
        <v>0</v>
      </c>
      <c r="H106" s="22">
        <f t="shared" si="31"/>
        <v>0</v>
      </c>
      <c r="I106" s="22">
        <f t="shared" si="31"/>
        <v>0</v>
      </c>
      <c r="J106" s="22">
        <f t="shared" si="31"/>
        <v>0</v>
      </c>
      <c r="K106" s="22">
        <f t="shared" si="31"/>
        <v>0</v>
      </c>
    </row>
    <row r="107" spans="1:11" ht="15.75" customHeight="1" x14ac:dyDescent="0.15">
      <c r="A107" s="23"/>
    </row>
    <row r="108" spans="1:11" ht="15.75" customHeight="1" x14ac:dyDescent="0.15">
      <c r="A108" s="23"/>
      <c r="B108" s="16" t="str">
        <f>B1</f>
        <v>31/12/2024</v>
      </c>
      <c r="C108" s="16" t="str">
        <f>C1</f>
        <v>31/12/2023</v>
      </c>
      <c r="D108" s="16" t="str">
        <f>D1</f>
        <v>31/12/2022</v>
      </c>
      <c r="E108" s="16" t="str">
        <f>E1</f>
        <v>31/12/2021</v>
      </c>
      <c r="F108" s="16" t="str">
        <f>F1</f>
        <v>31/12/2020</v>
      </c>
      <c r="G108" s="16" t="str">
        <f>G1</f>
        <v>31/12/2019</v>
      </c>
      <c r="H108" s="16" t="str">
        <f>H1</f>
        <v>31/12/2018</v>
      </c>
      <c r="I108" s="16" t="str">
        <f>I1</f>
        <v>31/12/2017</v>
      </c>
      <c r="J108" s="16" t="str">
        <f>J1</f>
        <v>31/12/2016</v>
      </c>
      <c r="K108" s="16" t="str">
        <f>K1</f>
        <v>31/12/2015</v>
      </c>
    </row>
    <row r="109" spans="1:11" ht="15.75" customHeight="1" x14ac:dyDescent="0.15">
      <c r="A109" s="43" t="s">
        <v>354</v>
      </c>
    </row>
    <row r="110" spans="1:11" ht="15.75" customHeight="1" x14ac:dyDescent="0.15">
      <c r="A110" s="3" t="s">
        <v>355</v>
      </c>
    </row>
    <row r="111" spans="1:11" ht="15.75" customHeight="1" x14ac:dyDescent="0.15">
      <c r="A111" s="23" t="s">
        <v>281</v>
      </c>
      <c r="B111" s="22">
        <f>SUMIF(case!$N:$N,$A111,case!B:B)-B127</f>
        <v>700351</v>
      </c>
      <c r="C111" s="22">
        <f>SUMIF(case!$N:$N,$A111,case!C:C)-C127</f>
        <v>567524</v>
      </c>
      <c r="D111" s="22">
        <f>SUMIF(case!$N:$N,$A111,case!D:D)-D127</f>
        <v>731617.36700000009</v>
      </c>
      <c r="E111" s="22">
        <f>SUMIF(case!$N:$N,$A111,case!E:E)-E127</f>
        <v>575309.42799999996</v>
      </c>
      <c r="F111" s="22">
        <f>SUMIF(case!$N:$N,$A111,case!F:F)-F127</f>
        <v>470766.30099999998</v>
      </c>
      <c r="G111" s="22">
        <f>SUMIF(case!$N:$N,$A111,case!G:G)-G127</f>
        <v>599353.34899999993</v>
      </c>
      <c r="H111" s="22">
        <f>SUMIF(case!$N:$N,$A111,case!H:H)-H127</f>
        <v>601111.28299999994</v>
      </c>
      <c r="I111" s="22">
        <f>SUMIF(case!$N:$N,$A111,case!I:I)-I127</f>
        <v>658456.38</v>
      </c>
      <c r="J111" s="22">
        <f>SUMIF(case!$N:$N,$A111,case!J:J)-J127</f>
        <v>649016.10900000005</v>
      </c>
      <c r="K111" s="22">
        <f>SUMIF(case!$N:$N,$A111,case!K:K)-K127</f>
        <v>617897.50099999993</v>
      </c>
    </row>
    <row r="112" spans="1:11" ht="15.75" customHeight="1" x14ac:dyDescent="0.15">
      <c r="A112" s="23" t="s">
        <v>356</v>
      </c>
    </row>
    <row r="113" spans="1:11" ht="15.75" customHeight="1" x14ac:dyDescent="0.15">
      <c r="A113" s="23" t="s">
        <v>286</v>
      </c>
      <c r="B113" s="22">
        <f>SUMIF(case!$N:$N,$A113,case!B:B)</f>
        <v>-294635</v>
      </c>
      <c r="C113" s="22">
        <f>SUMIF(case!$N:$N,$A113,case!C:C)</f>
        <v>-233853</v>
      </c>
      <c r="D113" s="22">
        <f>SUMIF(case!$N:$N,$A113,case!D:D)</f>
        <v>-369324.92</v>
      </c>
      <c r="E113" s="22">
        <f>SUMIF(case!$N:$N,$A113,case!E:E)</f>
        <v>-286223.41899999999</v>
      </c>
      <c r="F113" s="22">
        <f>SUMIF(case!$N:$N,$A113,case!F:F)</f>
        <v>-212362.41899999999</v>
      </c>
      <c r="G113" s="22">
        <f>SUMIF(case!$N:$N,$A113,case!G:G)</f>
        <v>-251077.60200000001</v>
      </c>
      <c r="H113" s="22">
        <f>SUMIF(case!$N:$N,$A113,case!H:H)</f>
        <v>-354468.08799999999</v>
      </c>
      <c r="I113" s="22">
        <f>SUMIF(case!$N:$N,$A113,case!I:I)</f>
        <v>-310414.15299999999</v>
      </c>
      <c r="J113" s="22">
        <f>SUMIF(case!$N:$N,$A113,case!J:J)</f>
        <v>-308669.76</v>
      </c>
      <c r="K113" s="22">
        <f>SUMIF(case!$N:$N,$A113,case!K:K)</f>
        <v>-314184.40100000001</v>
      </c>
    </row>
    <row r="114" spans="1:11" ht="15.75" customHeight="1" x14ac:dyDescent="0.15">
      <c r="A114" s="23" t="s">
        <v>287</v>
      </c>
      <c r="B114" s="22">
        <f>SUMIF(case!$N:$N,$A114,case!B:B)</f>
        <v>-186379</v>
      </c>
      <c r="C114" s="22">
        <f>SUMIF(case!$N:$N,$A114,case!C:C)</f>
        <v>-150974</v>
      </c>
      <c r="D114" s="22">
        <f>SUMIF(case!$N:$N,$A114,case!D:D)</f>
        <v>-233037.49799999999</v>
      </c>
      <c r="E114" s="22">
        <f>SUMIF(case!$N:$N,$A114,case!E:E)</f>
        <v>-152791.55900000001</v>
      </c>
      <c r="F114" s="22">
        <f>SUMIF(case!$N:$N,$A114,case!F:F)</f>
        <v>-136499.391</v>
      </c>
      <c r="G114" s="22">
        <f>SUMIF(case!$N:$N,$A114,case!G:G)</f>
        <v>-138892.42199999999</v>
      </c>
      <c r="H114" s="22">
        <f>SUMIF(case!$N:$N,$A114,case!H:H)</f>
        <v>-130598.713</v>
      </c>
      <c r="I114" s="22">
        <f>SUMIF(case!$N:$N,$A114,case!I:I)</f>
        <v>-123574.18700000001</v>
      </c>
      <c r="J114" s="22">
        <f>SUMIF(case!$N:$N,$A114,case!J:J)</f>
        <v>-132183.02799999999</v>
      </c>
      <c r="K114" s="22">
        <f>SUMIF(case!$N:$N,$A114,case!K:K)</f>
        <v>-134109.93700000001</v>
      </c>
    </row>
    <row r="115" spans="1:11" ht="15.75" customHeight="1" x14ac:dyDescent="0.15">
      <c r="A115" s="23" t="s">
        <v>288</v>
      </c>
      <c r="B115" s="22">
        <f>SUMIF(case!$N:$N,$A115,case!B:B)</f>
        <v>0</v>
      </c>
      <c r="C115" s="22">
        <f>SUMIF(case!$N:$N,$A115,case!C:C)</f>
        <v>0</v>
      </c>
      <c r="D115" s="22">
        <f>SUMIF(case!$N:$N,$A115,case!D:D)</f>
        <v>-9817.73</v>
      </c>
      <c r="E115" s="22">
        <f>SUMIF(case!$N:$N,$A115,case!E:E)</f>
        <v>-10480.972</v>
      </c>
      <c r="F115" s="22">
        <f>SUMIF(case!$N:$N,$A115,case!F:F)</f>
        <v>-9122.4560000000001</v>
      </c>
      <c r="G115" s="22">
        <f>SUMIF(case!$N:$N,$A115,case!G:G)</f>
        <v>-10345.315000000001</v>
      </c>
      <c r="H115" s="22">
        <f>SUMIF(case!$N:$N,$A115,case!H:H)</f>
        <v>-9457.3119999999999</v>
      </c>
      <c r="I115" s="22">
        <f>SUMIF(case!$N:$N,$A115,case!I:I)</f>
        <v>-15010.611999999999</v>
      </c>
      <c r="J115" s="22">
        <f>SUMIF(case!$N:$N,$A115,case!J:J)</f>
        <v>-14467.255999999999</v>
      </c>
      <c r="K115" s="22">
        <f>SUMIF(case!$N:$N,$A115,case!K:K)</f>
        <v>-5282.0609999999997</v>
      </c>
    </row>
    <row r="116" spans="1:11" ht="15.75" customHeight="1" x14ac:dyDescent="0.15">
      <c r="A116" s="23" t="s">
        <v>357</v>
      </c>
      <c r="B116" s="22">
        <f>SUM(B113:B115)</f>
        <v>-481014</v>
      </c>
      <c r="C116" s="22">
        <f t="shared" ref="C116:K116" si="32">SUM(C113:C115)</f>
        <v>-384827</v>
      </c>
      <c r="D116" s="22">
        <f t="shared" si="32"/>
        <v>-612180.14799999993</v>
      </c>
      <c r="E116" s="22">
        <f t="shared" si="32"/>
        <v>-449495.95</v>
      </c>
      <c r="F116" s="22">
        <f t="shared" si="32"/>
        <v>-357984.266</v>
      </c>
      <c r="G116" s="22">
        <f t="shared" si="32"/>
        <v>-400315.33899999998</v>
      </c>
      <c r="H116" s="22">
        <f t="shared" si="32"/>
        <v>-494524.11299999995</v>
      </c>
      <c r="I116" s="22">
        <f t="shared" si="32"/>
        <v>-448998.95199999999</v>
      </c>
      <c r="J116" s="22">
        <f t="shared" si="32"/>
        <v>-455320.04399999999</v>
      </c>
      <c r="K116" s="22">
        <f t="shared" si="32"/>
        <v>-453576.39899999998</v>
      </c>
    </row>
    <row r="117" spans="1:11" ht="15.75" customHeight="1" x14ac:dyDescent="0.15">
      <c r="A117" s="23" t="s">
        <v>292</v>
      </c>
      <c r="B117" s="22">
        <f>SUMIF(case!$N:$N,$A117,case!B:B)</f>
        <v>0</v>
      </c>
      <c r="C117" s="22">
        <f>SUMIF(case!$N:$N,$A117,case!C:C)</f>
        <v>0</v>
      </c>
      <c r="D117" s="22">
        <f>SUMIF(case!$N:$N,$A117,case!D:D)</f>
        <v>-3920.5720000000001</v>
      </c>
      <c r="E117" s="22">
        <f>SUMIF(case!$N:$N,$A117,case!E:E)</f>
        <v>7298.4579999999996</v>
      </c>
      <c r="F117" s="22">
        <f>SUMIF(case!$N:$N,$A117,case!F:F)</f>
        <v>1366.336</v>
      </c>
      <c r="G117" s="22">
        <f>SUMIF(case!$N:$N,$A117,case!G:G)</f>
        <v>-39220.777000000002</v>
      </c>
      <c r="H117" s="22">
        <f>SUMIF(case!$N:$N,$A117,case!H:H)</f>
        <v>39490.86</v>
      </c>
      <c r="I117" s="22">
        <f>SUMIF(case!$N:$N,$A117,case!I:I)</f>
        <v>-1762.672</v>
      </c>
      <c r="J117" s="22">
        <f>SUMIF(case!$N:$N,$A117,case!J:J)</f>
        <v>79.873000000000005</v>
      </c>
      <c r="K117" s="22">
        <f>SUMIF(case!$N:$N,$A117,case!K:K)</f>
        <v>3289.3319999999999</v>
      </c>
    </row>
    <row r="118" spans="1:11" ht="15.75" customHeight="1" x14ac:dyDescent="0.15">
      <c r="A118" s="23" t="s">
        <v>282</v>
      </c>
      <c r="B118" s="22">
        <f>SUMIF(case!$N:$N,$A118,case!B:B)</f>
        <v>9700</v>
      </c>
      <c r="C118" s="22">
        <f>SUMIF(case!$N:$N,$A118,case!C:C)</f>
        <v>-18892</v>
      </c>
      <c r="D118" s="22">
        <f>SUMIF(case!$N:$N,$A118,case!D:D)</f>
        <v>25197.522000000001</v>
      </c>
      <c r="E118" s="22">
        <f>SUMIF(case!$N:$N,$A118,case!E:E)</f>
        <v>12046.266</v>
      </c>
      <c r="F118" s="22">
        <f>SUMIF(case!$N:$N,$A118,case!F:F)</f>
        <v>1685.1220000000001</v>
      </c>
      <c r="G118" s="22">
        <f>SUMIF(case!$N:$N,$A118,case!G:G)</f>
        <v>-7328.6350000000002</v>
      </c>
      <c r="H118" s="22">
        <f>SUMIF(case!$N:$N,$A118,case!H:H)</f>
        <v>3923.395</v>
      </c>
      <c r="I118" s="22">
        <f>SUMIF(case!$N:$N,$A118,case!I:I)</f>
        <v>-6827.4930000000004</v>
      </c>
      <c r="J118" s="22">
        <f>SUMIF(case!$N:$N,$A118,case!J:J)</f>
        <v>3840.038</v>
      </c>
      <c r="K118" s="22">
        <f>SUMIF(case!$N:$N,$A118,case!K:K)</f>
        <v>-246</v>
      </c>
    </row>
    <row r="119" spans="1:11" ht="15.75" customHeight="1" x14ac:dyDescent="0.15">
      <c r="A119" s="23" t="s">
        <v>283</v>
      </c>
      <c r="B119" s="22">
        <f>SUMIF(case!$N:$N,$A119,case!B:B)</f>
        <v>0</v>
      </c>
      <c r="C119" s="22">
        <f>SUMIF(case!$N:$N,$A119,case!C:C)</f>
        <v>0</v>
      </c>
      <c r="D119" s="22">
        <f>SUMIF(case!$N:$N,$A119,case!D:D)</f>
        <v>0</v>
      </c>
      <c r="E119" s="22">
        <f>SUMIF(case!$N:$N,$A119,case!E:E)</f>
        <v>0</v>
      </c>
      <c r="F119" s="22">
        <f>SUMIF(case!$N:$N,$A119,case!F:F)</f>
        <v>0</v>
      </c>
      <c r="G119" s="22">
        <f>SUMIF(case!$N:$N,$A119,case!G:G)</f>
        <v>0</v>
      </c>
      <c r="H119" s="22">
        <f>SUMIF(case!$N:$N,$A119,case!H:H)</f>
        <v>0</v>
      </c>
      <c r="I119" s="22">
        <f>SUMIF(case!$N:$N,$A119,case!I:I)</f>
        <v>0</v>
      </c>
      <c r="J119" s="22">
        <f>SUMIF(case!$N:$N,$A119,case!J:J)</f>
        <v>0</v>
      </c>
      <c r="K119" s="22">
        <f>SUMIF(case!$N:$N,$A119,case!K:K)</f>
        <v>0</v>
      </c>
    </row>
    <row r="120" spans="1:11" ht="15.75" customHeight="1" x14ac:dyDescent="0.15">
      <c r="A120" s="23" t="s">
        <v>358</v>
      </c>
      <c r="B120" s="22">
        <f>B116+B117+B118+B119</f>
        <v>-471314</v>
      </c>
      <c r="C120" s="22">
        <f t="shared" ref="C120:K120" si="33">C116+C117+C118+C119</f>
        <v>-403719</v>
      </c>
      <c r="D120" s="22">
        <f t="shared" si="33"/>
        <v>-590903.19799999997</v>
      </c>
      <c r="E120" s="22">
        <f t="shared" si="33"/>
        <v>-430151.22600000002</v>
      </c>
      <c r="F120" s="22">
        <f t="shared" si="33"/>
        <v>-354932.80800000002</v>
      </c>
      <c r="G120" s="22">
        <f t="shared" si="33"/>
        <v>-446864.75099999999</v>
      </c>
      <c r="H120" s="22">
        <f t="shared" si="33"/>
        <v>-451109.85799999995</v>
      </c>
      <c r="I120" s="22">
        <f t="shared" si="33"/>
        <v>-457589.11700000003</v>
      </c>
      <c r="J120" s="22">
        <f t="shared" si="33"/>
        <v>-451400.13299999997</v>
      </c>
      <c r="K120" s="22">
        <f t="shared" si="33"/>
        <v>-450533.06699999998</v>
      </c>
    </row>
    <row r="121" spans="1:11" ht="15.75" customHeight="1" x14ac:dyDescent="0.15">
      <c r="A121" s="23" t="s">
        <v>359</v>
      </c>
      <c r="B121" s="22">
        <f>B111+B120</f>
        <v>229037</v>
      </c>
      <c r="C121" s="22">
        <f t="shared" ref="C121:K121" si="34">C111+C120</f>
        <v>163805</v>
      </c>
      <c r="D121" s="22">
        <f t="shared" si="34"/>
        <v>140714.16900000011</v>
      </c>
      <c r="E121" s="22">
        <f t="shared" si="34"/>
        <v>145158.20199999993</v>
      </c>
      <c r="F121" s="22">
        <f t="shared" si="34"/>
        <v>115833.49299999996</v>
      </c>
      <c r="G121" s="22">
        <f t="shared" si="34"/>
        <v>152488.59799999994</v>
      </c>
      <c r="H121" s="22">
        <f t="shared" si="34"/>
        <v>150001.42499999999</v>
      </c>
      <c r="I121" s="22">
        <f t="shared" si="34"/>
        <v>200867.26299999998</v>
      </c>
      <c r="J121" s="22">
        <f t="shared" si="34"/>
        <v>197615.97600000008</v>
      </c>
      <c r="K121" s="22">
        <f t="shared" si="34"/>
        <v>167364.43399999995</v>
      </c>
    </row>
    <row r="122" spans="1:11" ht="15.75" customHeight="1" x14ac:dyDescent="0.15">
      <c r="A122" s="23" t="s">
        <v>289</v>
      </c>
      <c r="B122" s="22">
        <f>SUMIF(case!$N:$N,$A122,case!B:B)</f>
        <v>-109862</v>
      </c>
      <c r="C122" s="22">
        <f>SUMIF(case!$N:$N,$A122,case!C:C)</f>
        <v>-81692</v>
      </c>
      <c r="D122" s="22">
        <f>SUMIF(case!$N:$N,$A122,case!D:D)</f>
        <v>-103269.478</v>
      </c>
      <c r="E122" s="22">
        <f>SUMIF(case!$N:$N,$A122,case!E:E)</f>
        <v>-99862.975000000006</v>
      </c>
      <c r="F122" s="22">
        <f>SUMIF(case!$N:$N,$A122,case!F:F)</f>
        <v>-85109.024999999994</v>
      </c>
      <c r="G122" s="22">
        <f>SUMIF(case!$N:$N,$A122,case!G:G)</f>
        <v>-93196.070999999996</v>
      </c>
      <c r="H122" s="22">
        <f>SUMIF(case!$N:$N,$A122,case!H:H)</f>
        <v>-87542.437000000005</v>
      </c>
      <c r="I122" s="22">
        <f>SUMIF(case!$N:$N,$A122,case!I:I)</f>
        <v>-89605.232999999993</v>
      </c>
      <c r="J122" s="22">
        <f>SUMIF(case!$N:$N,$A122,case!J:J)</f>
        <v>-91396.603000000003</v>
      </c>
      <c r="K122" s="22">
        <f>SUMIF(case!$N:$N,$A122,case!K:K)</f>
        <v>-88636.918000000005</v>
      </c>
    </row>
    <row r="123" spans="1:11" ht="15.75" customHeight="1" x14ac:dyDescent="0.15">
      <c r="A123" s="23" t="s">
        <v>360</v>
      </c>
      <c r="B123" s="22">
        <f>B121+B122</f>
        <v>119175</v>
      </c>
      <c r="C123" s="22">
        <f t="shared" ref="C123:K123" si="35">C121+C122</f>
        <v>82113</v>
      </c>
      <c r="D123" s="22">
        <f t="shared" si="35"/>
        <v>37444.691000000108</v>
      </c>
      <c r="E123" s="22">
        <f t="shared" si="35"/>
        <v>45295.226999999926</v>
      </c>
      <c r="F123" s="22">
        <f t="shared" si="35"/>
        <v>30724.467999999964</v>
      </c>
      <c r="G123" s="22">
        <f t="shared" si="35"/>
        <v>59292.526999999944</v>
      </c>
      <c r="H123" s="22">
        <f t="shared" si="35"/>
        <v>62458.987999999983</v>
      </c>
      <c r="I123" s="22">
        <f t="shared" si="35"/>
        <v>111262.02999999998</v>
      </c>
      <c r="J123" s="22">
        <f t="shared" si="35"/>
        <v>106219.37300000008</v>
      </c>
      <c r="K123" s="22">
        <f t="shared" si="35"/>
        <v>78727.515999999945</v>
      </c>
    </row>
    <row r="124" spans="1:11" ht="15.75" customHeight="1" x14ac:dyDescent="0.15">
      <c r="A124" s="23" t="s">
        <v>290</v>
      </c>
      <c r="B124" s="22">
        <f>SUMIF(case!$N:$N,$A124,case!B:B)</f>
        <v>-51303</v>
      </c>
      <c r="C124" s="22">
        <f>SUMIF(case!$N:$N,$A124,case!C:C)</f>
        <v>-32661</v>
      </c>
      <c r="D124" s="22">
        <f>SUMIF(case!$N:$N,$A124,case!D:D)</f>
        <v>-35625.263000000006</v>
      </c>
      <c r="E124" s="22">
        <f>SUMIF(case!$N:$N,$A124,case!E:E)</f>
        <v>-31971.206999999999</v>
      </c>
      <c r="F124" s="22">
        <f>SUMIF(case!$N:$N,$A124,case!F:F)</f>
        <v>-26000.365000000002</v>
      </c>
      <c r="G124" s="22">
        <f>SUMIF(case!$N:$N,$A124,case!G:G)</f>
        <v>-21147.856</v>
      </c>
      <c r="H124" s="22">
        <f>SUMIF(case!$N:$N,$A124,case!H:H)</f>
        <v>-26935.278000000002</v>
      </c>
      <c r="I124" s="22">
        <f>SUMIF(case!$N:$N,$A124,case!I:I)</f>
        <v>-31141.093000000001</v>
      </c>
      <c r="J124" s="22">
        <f>SUMIF(case!$N:$N,$A124,case!J:J)</f>
        <v>-29022.259000000002</v>
      </c>
      <c r="K124" s="22">
        <f>SUMIF(case!$N:$N,$A124,case!K:K)</f>
        <v>-22820.98</v>
      </c>
    </row>
    <row r="125" spans="1:11" ht="15.75" customHeight="1" x14ac:dyDescent="0.15">
      <c r="A125" s="23" t="s">
        <v>361</v>
      </c>
      <c r="B125" s="22">
        <f>B123+B124</f>
        <v>67872</v>
      </c>
      <c r="C125" s="22">
        <f t="shared" ref="C125:K125" si="36">C123+C124</f>
        <v>49452</v>
      </c>
      <c r="D125" s="22">
        <f t="shared" si="36"/>
        <v>1819.4280000001017</v>
      </c>
      <c r="E125" s="22">
        <f t="shared" si="36"/>
        <v>13324.019999999928</v>
      </c>
      <c r="F125" s="22">
        <f t="shared" si="36"/>
        <v>4724.1029999999628</v>
      </c>
      <c r="G125" s="22">
        <f t="shared" si="36"/>
        <v>38144.670999999944</v>
      </c>
      <c r="H125" s="22">
        <f t="shared" si="36"/>
        <v>35523.709999999977</v>
      </c>
      <c r="I125" s="22">
        <f t="shared" si="36"/>
        <v>80120.936999999976</v>
      </c>
      <c r="J125" s="22">
        <f t="shared" si="36"/>
        <v>77197.114000000074</v>
      </c>
      <c r="K125" s="22">
        <f t="shared" si="36"/>
        <v>55906.535999999949</v>
      </c>
    </row>
    <row r="126" spans="1:11" ht="15.75" customHeight="1" x14ac:dyDescent="0.15">
      <c r="A126" s="23" t="s">
        <v>284</v>
      </c>
      <c r="B126" s="22">
        <f>SUMIF(case!$N:$N,$A126,case!B:B)</f>
        <v>4659</v>
      </c>
      <c r="C126" s="22">
        <f>SUMIF(case!$N:$N,$A126,case!C:C)</f>
        <v>3685</v>
      </c>
      <c r="D126" s="22">
        <f>SUMIF(case!$N:$N,$A126,case!D:D)</f>
        <v>809.38199999999995</v>
      </c>
      <c r="E126" s="22">
        <f>SUMIF(case!$N:$N,$A126,case!E:E)</f>
        <v>1326.432</v>
      </c>
      <c r="F126" s="22">
        <f>SUMIF(case!$N:$N,$A126,case!F:F)</f>
        <v>1595.6669999999999</v>
      </c>
      <c r="G126" s="22">
        <f>SUMIF(case!$N:$N,$A126,case!G:G)</f>
        <v>909.42899999999997</v>
      </c>
      <c r="H126" s="22">
        <f>SUMIF(case!$N:$N,$A126,case!H:H)</f>
        <v>1371.615</v>
      </c>
      <c r="I126" s="22">
        <f>SUMIF(case!$N:$N,$A126,case!I:I)</f>
        <v>784.82500000000005</v>
      </c>
      <c r="J126" s="22">
        <f>SUMIF(case!$N:$N,$A126,case!J:J)</f>
        <v>317.24799999999999</v>
      </c>
      <c r="K126" s="22">
        <f>SUMIF(case!$N:$N,$A126,case!K:K)</f>
        <v>535.27700000000004</v>
      </c>
    </row>
    <row r="127" spans="1:11" ht="15.75" customHeight="1" x14ac:dyDescent="0.15">
      <c r="A127" s="23" t="s">
        <v>285</v>
      </c>
      <c r="B127" s="22">
        <f>SUMIF(case!$N:$N,$A127,case!B:B)</f>
        <v>2123</v>
      </c>
      <c r="C127" s="22">
        <f>SUMIF(case!$N:$N,$A127,case!C:C)</f>
        <v>9121</v>
      </c>
      <c r="D127" s="22">
        <f>SUMIF(case!$N:$N,$A127,case!D:D)</f>
        <v>20889.058000000001</v>
      </c>
      <c r="E127" s="22">
        <f>SUMIF(case!$N:$N,$A127,case!E:E)</f>
        <v>143.67699999999999</v>
      </c>
      <c r="F127" s="22">
        <f>SUMIF(case!$N:$N,$A127,case!F:F)</f>
        <v>377.92200000000003</v>
      </c>
      <c r="G127" s="22">
        <f>SUMIF(case!$N:$N,$A127,case!G:G)</f>
        <v>141.16200000000001</v>
      </c>
      <c r="H127" s="22">
        <f>SUMIF(case!$N:$N,$A127,case!H:H)</f>
        <v>816.35699999999997</v>
      </c>
      <c r="I127" s="22">
        <f>SUMIF(case!$N:$N,$A127,case!I:I)</f>
        <v>703.74900000000002</v>
      </c>
      <c r="J127" s="22">
        <f>SUMIF(case!$N:$N,$A127,case!J:J)</f>
        <v>70.302999999999997</v>
      </c>
      <c r="K127" s="22">
        <f>SUMIF(case!$N:$N,$A127,case!K:K)</f>
        <v>85.563000000000002</v>
      </c>
    </row>
    <row r="128" spans="1:11" ht="15.75" customHeight="1" x14ac:dyDescent="0.15">
      <c r="A128" s="23" t="s">
        <v>362</v>
      </c>
      <c r="B128" s="22">
        <f>SUMIF(case!$N:$N,$A128,case!B:B)</f>
        <v>0</v>
      </c>
      <c r="C128" s="22">
        <f>SUMIF(case!$N:$N,$A128,case!C:C)</f>
        <v>0</v>
      </c>
      <c r="D128" s="22">
        <f>SUMIF(case!$N:$N,$A128,case!D:D)</f>
        <v>0</v>
      </c>
      <c r="E128" s="22">
        <f>SUMIF(case!$N:$N,$A128,case!E:E)</f>
        <v>0</v>
      </c>
      <c r="F128" s="22">
        <f>SUMIF(case!$N:$N,$A128,case!F:F)</f>
        <v>0</v>
      </c>
      <c r="G128" s="22">
        <f>SUMIF(case!$N:$N,$A128,case!G:G)</f>
        <v>0</v>
      </c>
      <c r="H128" s="22">
        <f>SUMIF(case!$N:$N,$A128,case!H:H)</f>
        <v>0</v>
      </c>
      <c r="I128" s="22">
        <f>SUMIF(case!$N:$N,$A128,case!I:I)</f>
        <v>0</v>
      </c>
      <c r="J128" s="22">
        <f>SUMIF(case!$N:$N,$A128,case!J:J)</f>
        <v>0</v>
      </c>
      <c r="K128" s="22">
        <f>SUMIF(case!$N:$N,$A128,case!K:K)</f>
        <v>0</v>
      </c>
    </row>
    <row r="129" spans="1:11" ht="15.75" customHeight="1" x14ac:dyDescent="0.15">
      <c r="A129" s="23" t="s">
        <v>291</v>
      </c>
      <c r="B129" s="22">
        <f>SUMIF(case!$N:$N,$A129,case!B:B)</f>
        <v>0</v>
      </c>
      <c r="C129" s="22">
        <f>SUMIF(case!$N:$N,$A129,case!C:C)</f>
        <v>-1783</v>
      </c>
      <c r="D129" s="22">
        <f>SUMIF(case!$N:$N,$A129,case!D:D)</f>
        <v>-8130.5929999999998</v>
      </c>
      <c r="E129" s="22">
        <f>SUMIF(case!$N:$N,$A129,case!E:E)</f>
        <v>-2527.6030000000001</v>
      </c>
      <c r="F129" s="22">
        <f>SUMIF(case!$N:$N,$A129,case!F:F)</f>
        <v>0</v>
      </c>
      <c r="G129" s="22">
        <f>SUMIF(case!$N:$N,$A129,case!G:G)</f>
        <v>-5735.6289999999999</v>
      </c>
      <c r="H129" s="22">
        <f>SUMIF(case!$N:$N,$A129,case!H:H)</f>
        <v>-1157.0170000000001</v>
      </c>
      <c r="I129" s="22">
        <f>SUMIF(case!$N:$N,$A129,case!I:I)</f>
        <v>-768.48</v>
      </c>
      <c r="J129" s="22">
        <f>SUMIF(case!$N:$N,$A129,case!J:J)</f>
        <v>-3566.5630000000001</v>
      </c>
      <c r="K129" s="22">
        <f>SUMIF(case!$N:$N,$A129,case!K:K)</f>
        <v>-1328.079</v>
      </c>
    </row>
    <row r="130" spans="1:11" ht="15.75" customHeight="1" x14ac:dyDescent="0.15">
      <c r="A130" s="23" t="s">
        <v>293</v>
      </c>
      <c r="B130" s="22">
        <f>SUMIF(case!$N:$N,$A130,case!B:B)</f>
        <v>-14118</v>
      </c>
      <c r="C130" s="22">
        <f>SUMIF(case!$N:$N,$A130,case!C:C)</f>
        <v>-3285</v>
      </c>
      <c r="D130" s="22">
        <f>SUMIF(case!$N:$N,$A130,case!D:D)</f>
        <v>-4092.991</v>
      </c>
      <c r="E130" s="22">
        <f>SUMIF(case!$N:$N,$A130,case!E:E)</f>
        <v>-2977.7139999999999</v>
      </c>
      <c r="F130" s="22">
        <f>SUMIF(case!$N:$N,$A130,case!F:F)</f>
        <v>-3433.51</v>
      </c>
      <c r="G130" s="22">
        <f>SUMIF(case!$N:$N,$A130,case!G:G)</f>
        <v>-2795.8530000000001</v>
      </c>
      <c r="H130" s="22">
        <f>SUMIF(case!$N:$N,$A130,case!H:H)</f>
        <v>-2837.0990000000002</v>
      </c>
      <c r="I130" s="22">
        <f>SUMIF(case!$N:$N,$A130,case!I:I)</f>
        <v>-3542.3220000000001</v>
      </c>
      <c r="J130" s="22">
        <f>SUMIF(case!$N:$N,$A130,case!J:J)</f>
        <v>-3164.8119999999999</v>
      </c>
      <c r="K130" s="22">
        <f>SUMIF(case!$N:$N,$A130,case!K:K)</f>
        <v>-3265.4569999999999</v>
      </c>
    </row>
    <row r="131" spans="1:11" ht="15.75" customHeight="1" x14ac:dyDescent="0.15">
      <c r="A131" s="3" t="s">
        <v>363</v>
      </c>
      <c r="B131" s="22">
        <f>B125+B126+B127+B130+B129+B128</f>
        <v>60536</v>
      </c>
      <c r="C131" s="22">
        <f t="shared" ref="C131:K131" si="37">C125+C126+C127+C130+C129+C128</f>
        <v>57190</v>
      </c>
      <c r="D131" s="22">
        <f t="shared" si="37"/>
        <v>11294.284000000102</v>
      </c>
      <c r="E131" s="22">
        <f t="shared" si="37"/>
        <v>9288.811999999929</v>
      </c>
      <c r="F131" s="22">
        <f t="shared" si="37"/>
        <v>3264.1819999999625</v>
      </c>
      <c r="G131" s="22">
        <f t="shared" si="37"/>
        <v>30663.779999999933</v>
      </c>
      <c r="H131" s="22">
        <f t="shared" si="37"/>
        <v>33717.56599999997</v>
      </c>
      <c r="I131" s="22">
        <f t="shared" si="37"/>
        <v>77298.708999999973</v>
      </c>
      <c r="J131" s="22">
        <f t="shared" si="37"/>
        <v>70853.290000000081</v>
      </c>
      <c r="K131" s="22">
        <f t="shared" si="37"/>
        <v>51933.839999999953</v>
      </c>
    </row>
    <row r="132" spans="1:11" ht="15.75" customHeight="1" x14ac:dyDescent="0.15">
      <c r="A132" s="23"/>
    </row>
    <row r="133" spans="1:11" ht="15.75" customHeight="1" x14ac:dyDescent="0.15">
      <c r="A133" s="23" t="s">
        <v>381</v>
      </c>
      <c r="B133" s="22">
        <f>case!B201</f>
        <v>60536</v>
      </c>
      <c r="C133" s="22">
        <f>case!C201</f>
        <v>57190</v>
      </c>
      <c r="D133" s="22">
        <f>case!D201</f>
        <v>11294.284</v>
      </c>
      <c r="E133" s="22">
        <f>case!E201</f>
        <v>9288.8119999999999</v>
      </c>
      <c r="F133" s="22">
        <f>case!F201</f>
        <v>3264.1819999999998</v>
      </c>
      <c r="G133" s="22">
        <f>case!G201</f>
        <v>30663.78</v>
      </c>
      <c r="H133" s="22">
        <f>case!H201</f>
        <v>33717.565999999999</v>
      </c>
      <c r="I133" s="22">
        <f>case!I201</f>
        <v>77298.709000000003</v>
      </c>
      <c r="J133" s="22">
        <f>case!J201</f>
        <v>70853.289999999994</v>
      </c>
      <c r="K133" s="22">
        <f>case!K201</f>
        <v>51933.84</v>
      </c>
    </row>
    <row r="134" spans="1:11" ht="15.75" customHeight="1" x14ac:dyDescent="0.15">
      <c r="A134" s="23" t="s">
        <v>364</v>
      </c>
      <c r="B134" s="22">
        <f>B131-B133</f>
        <v>0</v>
      </c>
      <c r="C134" s="22">
        <f t="shared" ref="C134:K134" si="38">C131-C133</f>
        <v>0</v>
      </c>
      <c r="D134" s="22">
        <f t="shared" si="38"/>
        <v>1.0186340659856796E-10</v>
      </c>
      <c r="E134" s="22">
        <f t="shared" si="38"/>
        <v>-7.0940586738288403E-11</v>
      </c>
      <c r="F134" s="22">
        <f t="shared" si="38"/>
        <v>-3.7289282772690058E-11</v>
      </c>
      <c r="G134" s="22">
        <f t="shared" si="38"/>
        <v>-6.5483618527650833E-11</v>
      </c>
      <c r="H134" s="22">
        <f t="shared" si="38"/>
        <v>0</v>
      </c>
      <c r="I134" s="22">
        <f t="shared" si="38"/>
        <v>0</v>
      </c>
      <c r="J134" s="22">
        <f t="shared" si="38"/>
        <v>0</v>
      </c>
      <c r="K134" s="22">
        <f t="shared" si="38"/>
        <v>0</v>
      </c>
    </row>
    <row r="135" spans="1:11" ht="15.75" customHeight="1" x14ac:dyDescent="0.15">
      <c r="A135" s="23"/>
    </row>
    <row r="136" spans="1:11" ht="15.75" customHeight="1" x14ac:dyDescent="0.15">
      <c r="A136" s="3" t="s">
        <v>365</v>
      </c>
    </row>
    <row r="137" spans="1:11" ht="15.75" customHeight="1" x14ac:dyDescent="0.15">
      <c r="A137" s="23" t="s">
        <v>295</v>
      </c>
      <c r="B137" s="22">
        <f>SUMIF(case!$N:$N,$A137,case!B:B)</f>
        <v>29006</v>
      </c>
      <c r="C137" s="22">
        <f>SUMIF(case!$N:$N,$A137,case!C:C)</f>
        <v>22875</v>
      </c>
      <c r="D137" s="22">
        <f>SUMIF(case!$N:$N,$A137,case!D:D)</f>
        <v>7976.72</v>
      </c>
      <c r="E137" s="22">
        <f>SUMIF(case!$N:$N,$A137,case!E:E)</f>
        <v>6455.6469999999999</v>
      </c>
      <c r="F137" s="22">
        <f>SUMIF(case!$N:$N,$A137,case!F:F)</f>
        <v>7773.098</v>
      </c>
      <c r="G137" s="22">
        <f>SUMIF(case!$N:$N,$A137,case!G:G)</f>
        <v>851.75099999999998</v>
      </c>
      <c r="H137" s="22">
        <f>SUMIF(case!$N:$N,$A137,case!H:H)</f>
        <v>1026.672</v>
      </c>
      <c r="I137" s="22">
        <f>SUMIF(case!$N:$N,$A137,case!I:I)</f>
        <v>1144.6680000000001</v>
      </c>
      <c r="J137" s="22">
        <f>SUMIF(case!$N:$N,$A137,case!J:J)</f>
        <v>450.45099999999996</v>
      </c>
      <c r="K137" s="22">
        <f>SUMIF(case!$N:$N,$A137,case!K:K)</f>
        <v>1503.171</v>
      </c>
    </row>
    <row r="138" spans="1:11" ht="15.75" customHeight="1" x14ac:dyDescent="0.15">
      <c r="A138" s="23" t="s">
        <v>296</v>
      </c>
      <c r="B138" s="22">
        <f>SUMIF(case!$N:$N,$A138,case!B:B)</f>
        <v>-355850</v>
      </c>
      <c r="C138" s="22">
        <f>SUMIF(case!$N:$N,$A138,case!C:C)</f>
        <v>-135795</v>
      </c>
      <c r="D138" s="22">
        <f>SUMIF(case!$N:$N,$A138,case!D:D)</f>
        <v>-57535.862000000001</v>
      </c>
      <c r="E138" s="22">
        <f>SUMIF(case!$N:$N,$A138,case!E:E)</f>
        <v>-41740</v>
      </c>
      <c r="F138" s="22">
        <f>SUMIF(case!$N:$N,$A138,case!F:F)</f>
        <v>-69507.698999999993</v>
      </c>
      <c r="G138" s="22">
        <f>SUMIF(case!$N:$N,$A138,case!G:G)</f>
        <v>-5823.7510000000002</v>
      </c>
      <c r="H138" s="22">
        <f>SUMIF(case!$N:$N,$A138,case!H:H)</f>
        <v>-4557.97</v>
      </c>
      <c r="I138" s="22">
        <f>SUMIF(case!$N:$N,$A138,case!I:I)</f>
        <v>-2723.6190000000001</v>
      </c>
      <c r="J138" s="22">
        <f>SUMIF(case!$N:$N,$A138,case!J:J)</f>
        <v>-3414.9189999999999</v>
      </c>
      <c r="K138" s="22">
        <f>SUMIF(case!$N:$N,$A138,case!K:K)</f>
        <v>-4104.1790000000001</v>
      </c>
    </row>
    <row r="139" spans="1:11" ht="15.75" customHeight="1" x14ac:dyDescent="0.15">
      <c r="A139" s="23" t="s">
        <v>297</v>
      </c>
      <c r="B139" s="22">
        <f>SUMIF(case!$N:$N,$A139,case!B:B)</f>
        <v>-7042</v>
      </c>
      <c r="C139" s="22">
        <f>SUMIF(case!$N:$N,$A139,case!C:C)</f>
        <v>-316</v>
      </c>
      <c r="D139" s="22">
        <f>SUMIF(case!$N:$N,$A139,case!D:D)</f>
        <v>8093.152</v>
      </c>
      <c r="E139" s="22">
        <f>SUMIF(case!$N:$N,$A139,case!E:E)</f>
        <v>1818.09</v>
      </c>
      <c r="F139" s="22">
        <f>SUMIF(case!$N:$N,$A139,case!F:F)</f>
        <v>-3710.2080000000001</v>
      </c>
      <c r="G139" s="22">
        <f>SUMIF(case!$N:$N,$A139,case!G:G)</f>
        <v>773.02800000000002</v>
      </c>
      <c r="H139" s="22">
        <f>SUMIF(case!$N:$N,$A139,case!H:H)</f>
        <v>151.423</v>
      </c>
      <c r="I139" s="22">
        <f>SUMIF(case!$N:$N,$A139,case!I:I)</f>
        <v>-4055.5830000000001</v>
      </c>
      <c r="J139" s="22">
        <f>SUMIF(case!$N:$N,$A139,case!J:J)</f>
        <v>107.50700000000001</v>
      </c>
      <c r="K139" s="22">
        <f>SUMIF(case!$N:$N,$A139,case!K:K)</f>
        <v>-830.7</v>
      </c>
    </row>
    <row r="140" spans="1:11" ht="15.75" customHeight="1" x14ac:dyDescent="0.15">
      <c r="A140" s="23" t="s">
        <v>366</v>
      </c>
      <c r="B140" s="22">
        <f>SUM(B137:B139)</f>
        <v>-333886</v>
      </c>
      <c r="C140" s="22">
        <f t="shared" ref="C140:K140" si="39">SUM(C137:C139)</f>
        <v>-113236</v>
      </c>
      <c r="D140" s="22">
        <f t="shared" si="39"/>
        <v>-41465.99</v>
      </c>
      <c r="E140" s="22">
        <f t="shared" si="39"/>
        <v>-33466.263000000006</v>
      </c>
      <c r="F140" s="22">
        <f t="shared" si="39"/>
        <v>-65444.808999999994</v>
      </c>
      <c r="G140" s="22">
        <f t="shared" si="39"/>
        <v>-4198.9719999999998</v>
      </c>
      <c r="H140" s="22">
        <f t="shared" si="39"/>
        <v>-3379.875</v>
      </c>
      <c r="I140" s="22">
        <f t="shared" si="39"/>
        <v>-5634.5339999999997</v>
      </c>
      <c r="J140" s="22">
        <f t="shared" si="39"/>
        <v>-2856.9609999999998</v>
      </c>
      <c r="K140" s="22">
        <f t="shared" si="39"/>
        <v>-3431.7079999999996</v>
      </c>
    </row>
    <row r="141" spans="1:11" ht="15.75" customHeight="1" x14ac:dyDescent="0.15">
      <c r="A141" s="3" t="s">
        <v>367</v>
      </c>
      <c r="B141" s="22">
        <f>B131+B140</f>
        <v>-273350</v>
      </c>
      <c r="C141" s="22">
        <f t="shared" ref="C141:K141" si="40">C131+C140</f>
        <v>-56046</v>
      </c>
      <c r="D141" s="22">
        <f t="shared" si="40"/>
        <v>-30171.705999999896</v>
      </c>
      <c r="E141" s="22">
        <f t="shared" si="40"/>
        <v>-24177.451000000077</v>
      </c>
      <c r="F141" s="22">
        <f t="shared" si="40"/>
        <v>-62180.62700000003</v>
      </c>
      <c r="G141" s="22">
        <f t="shared" si="40"/>
        <v>26464.807999999932</v>
      </c>
      <c r="H141" s="22">
        <f t="shared" si="40"/>
        <v>30337.69099999997</v>
      </c>
      <c r="I141" s="22">
        <f t="shared" si="40"/>
        <v>71664.174999999974</v>
      </c>
      <c r="J141" s="22">
        <f t="shared" si="40"/>
        <v>67996.329000000085</v>
      </c>
      <c r="K141" s="22">
        <f t="shared" si="40"/>
        <v>48502.131999999954</v>
      </c>
    </row>
    <row r="142" spans="1:11" ht="15.75" customHeight="1" x14ac:dyDescent="0.15">
      <c r="A142" s="23"/>
    </row>
    <row r="143" spans="1:11" ht="15.75" customHeight="1" x14ac:dyDescent="0.15">
      <c r="A143" s="3" t="s">
        <v>368</v>
      </c>
    </row>
    <row r="144" spans="1:11" ht="15.75" customHeight="1" x14ac:dyDescent="0.15">
      <c r="A144" s="23" t="s">
        <v>294</v>
      </c>
      <c r="B144" s="22">
        <f>SUMIF(case!$N:$N,$A144,case!B:B)</f>
        <v>2000</v>
      </c>
      <c r="C144" s="22">
        <f>SUMIF(case!$N:$N,$A144,case!C:C)</f>
        <v>475</v>
      </c>
      <c r="D144" s="22">
        <f>SUMIF(case!$N:$N,$A144,case!D:D)</f>
        <v>53000</v>
      </c>
      <c r="E144" s="22">
        <f>SUMIF(case!$N:$N,$A144,case!E:E)</f>
        <v>15827.805</v>
      </c>
      <c r="F144" s="22">
        <f>SUMIF(case!$N:$N,$A144,case!F:F)</f>
        <v>7825.268</v>
      </c>
      <c r="G144" s="22">
        <f>SUMIF(case!$N:$N,$A144,case!G:G)</f>
        <v>6793.7470000000003</v>
      </c>
      <c r="H144" s="22">
        <f>SUMIF(case!$N:$N,$A144,case!H:H)</f>
        <v>6812.8969999999999</v>
      </c>
      <c r="I144" s="22">
        <f>SUMIF(case!$N:$N,$A144,case!I:I)</f>
        <v>7560.9319999999998</v>
      </c>
      <c r="J144" s="22">
        <f>SUMIF(case!$N:$N,$A144,case!J:J)</f>
        <v>7605.4920000000002</v>
      </c>
      <c r="K144" s="22">
        <f>SUMIF(case!$N:$N,$A144,case!K:K)</f>
        <v>6245.6940000000004</v>
      </c>
    </row>
    <row r="145" spans="1:11" ht="15.75" customHeight="1" x14ac:dyDescent="0.15">
      <c r="A145" s="23" t="s">
        <v>298</v>
      </c>
      <c r="B145" s="22">
        <f>SUMIF(case!$N:$N,$A145,case!B:B)</f>
        <v>-45154</v>
      </c>
      <c r="C145" s="22">
        <f>SUMIF(case!$N:$N,$A145,case!C:C)</f>
        <v>-7288</v>
      </c>
      <c r="D145" s="22">
        <f>SUMIF(case!$N:$N,$A145,case!D:D)</f>
        <v>-13681.922</v>
      </c>
      <c r="E145" s="22">
        <f>SUMIF(case!$N:$N,$A145,case!E:E)</f>
        <v>-129.52099999999996</v>
      </c>
      <c r="F145" s="22">
        <f>SUMIF(case!$N:$N,$A145,case!F:F)</f>
        <v>-781.99099999999999</v>
      </c>
      <c r="G145" s="22">
        <f>SUMIF(case!$N:$N,$A145,case!G:G)</f>
        <v>-20718.443000000003</v>
      </c>
      <c r="H145" s="22">
        <f>SUMIF(case!$N:$N,$A145,case!H:H)</f>
        <v>-26525.807000000001</v>
      </c>
      <c r="I145" s="22">
        <f>SUMIF(case!$N:$N,$A145,case!I:I)</f>
        <v>-17939.43</v>
      </c>
      <c r="J145" s="22">
        <f>SUMIF(case!$N:$N,$A145,case!J:J)</f>
        <v>1439.5450000000001</v>
      </c>
      <c r="K145" s="22">
        <f>SUMIF(case!$N:$N,$A145,case!K:K)</f>
        <v>410.81199999999899</v>
      </c>
    </row>
    <row r="146" spans="1:11" ht="15.75" customHeight="1" x14ac:dyDescent="0.15">
      <c r="A146" s="3" t="s">
        <v>369</v>
      </c>
      <c r="B146" s="22">
        <f>SUM(B144:B145)</f>
        <v>-43154</v>
      </c>
      <c r="C146" s="22">
        <f t="shared" ref="C146:K146" si="41">SUM(C144:C145)</f>
        <v>-6813</v>
      </c>
      <c r="D146" s="22">
        <f t="shared" si="41"/>
        <v>39318.078000000001</v>
      </c>
      <c r="E146" s="22">
        <f t="shared" si="41"/>
        <v>15698.284</v>
      </c>
      <c r="F146" s="22">
        <f t="shared" si="41"/>
        <v>7043.277</v>
      </c>
      <c r="G146" s="22">
        <f t="shared" si="41"/>
        <v>-13924.696000000004</v>
      </c>
      <c r="H146" s="22">
        <f t="shared" si="41"/>
        <v>-19712.91</v>
      </c>
      <c r="I146" s="22">
        <f t="shared" si="41"/>
        <v>-10378.498</v>
      </c>
      <c r="J146" s="22">
        <f t="shared" si="41"/>
        <v>9045.0370000000003</v>
      </c>
      <c r="K146" s="22">
        <f t="shared" si="41"/>
        <v>6656.5059999999994</v>
      </c>
    </row>
    <row r="147" spans="1:11" ht="15.75" customHeight="1" x14ac:dyDescent="0.15">
      <c r="A147" s="23"/>
    </row>
    <row r="148" spans="1:11" ht="15.75" customHeight="1" x14ac:dyDescent="0.15">
      <c r="A148" s="26" t="s">
        <v>370</v>
      </c>
      <c r="B148" s="22">
        <f>B141+B146</f>
        <v>-316504</v>
      </c>
      <c r="C148" s="22">
        <f t="shared" ref="C148:K148" si="42">C141+C146</f>
        <v>-62859</v>
      </c>
      <c r="D148" s="22">
        <f t="shared" si="42"/>
        <v>9146.3720000001049</v>
      </c>
      <c r="E148" s="22">
        <f t="shared" si="42"/>
        <v>-8479.1670000000777</v>
      </c>
      <c r="F148" s="22">
        <f t="shared" si="42"/>
        <v>-55137.350000000028</v>
      </c>
      <c r="G148" s="22">
        <f t="shared" si="42"/>
        <v>12540.111999999928</v>
      </c>
      <c r="H148" s="22">
        <f t="shared" si="42"/>
        <v>10624.78099999997</v>
      </c>
      <c r="I148" s="22">
        <f t="shared" si="42"/>
        <v>61285.676999999974</v>
      </c>
      <c r="J148" s="22">
        <f t="shared" si="42"/>
        <v>77041.366000000082</v>
      </c>
      <c r="K148" s="22">
        <f t="shared" si="42"/>
        <v>55158.637999999955</v>
      </c>
    </row>
    <row r="149" spans="1:11" ht="15.75" customHeight="1" x14ac:dyDescent="0.15">
      <c r="A149" s="26" t="s">
        <v>299</v>
      </c>
      <c r="B149" s="22">
        <f>SUMIF(case!$N:$N,$A149,case!B:B)</f>
        <v>-8413</v>
      </c>
      <c r="C149" s="22">
        <f>SUMIF(case!$N:$N,$A149,case!C:C)</f>
        <v>-1433</v>
      </c>
      <c r="D149" s="22">
        <f>SUMIF(case!$N:$N,$A149,case!D:D)</f>
        <v>8606.0990000000002</v>
      </c>
      <c r="E149" s="22">
        <f>SUMIF(case!$N:$N,$A149,case!E:E)</f>
        <v>-2857.2049999999999</v>
      </c>
      <c r="F149" s="22">
        <f>SUMIF(case!$N:$N,$A149,case!F:F)</f>
        <v>-291.30200000000002</v>
      </c>
      <c r="G149" s="22">
        <f>SUMIF(case!$N:$N,$A149,case!G:G)</f>
        <v>-12103.861000000001</v>
      </c>
      <c r="H149" s="22">
        <f>SUMIF(case!$N:$N,$A149,case!H:H)</f>
        <v>-4717.2520000000004</v>
      </c>
      <c r="I149" s="22">
        <f>SUMIF(case!$N:$N,$A149,case!I:I)</f>
        <v>-12320.254000000001</v>
      </c>
      <c r="J149" s="22">
        <f>SUMIF(case!$N:$N,$A149,case!J:J)</f>
        <v>-22387.696</v>
      </c>
      <c r="K149" s="22">
        <f>SUMIF(case!$N:$N,$A149,case!K:K)</f>
        <v>-16284.208000000001</v>
      </c>
    </row>
    <row r="150" spans="1:11" ht="15.75" customHeight="1" x14ac:dyDescent="0.15">
      <c r="A150" s="27" t="s">
        <v>371</v>
      </c>
      <c r="B150" s="22">
        <f>B148+B149</f>
        <v>-324917</v>
      </c>
      <c r="C150" s="22">
        <f t="shared" ref="C150:K150" si="43">C148+C149</f>
        <v>-64292</v>
      </c>
      <c r="D150" s="22">
        <f t="shared" si="43"/>
        <v>17752.471000000107</v>
      </c>
      <c r="E150" s="22">
        <f t="shared" si="43"/>
        <v>-11336.372000000078</v>
      </c>
      <c r="F150" s="22">
        <f t="shared" si="43"/>
        <v>-55428.652000000031</v>
      </c>
      <c r="G150" s="22">
        <f t="shared" si="43"/>
        <v>436.25099999992744</v>
      </c>
      <c r="H150" s="22">
        <f t="shared" si="43"/>
        <v>5907.5289999999695</v>
      </c>
      <c r="I150" s="22">
        <f t="shared" si="43"/>
        <v>48965.422999999973</v>
      </c>
      <c r="J150" s="22">
        <f t="shared" si="43"/>
        <v>54653.670000000086</v>
      </c>
      <c r="K150" s="22">
        <f t="shared" si="43"/>
        <v>38874.429999999957</v>
      </c>
    </row>
    <row r="151" spans="1:11" ht="15.75" customHeight="1" x14ac:dyDescent="0.15">
      <c r="A151" s="23"/>
    </row>
    <row r="152" spans="1:11" ht="15.75" customHeight="1" x14ac:dyDescent="0.15">
      <c r="A152" s="23" t="s">
        <v>372</v>
      </c>
      <c r="B152" s="22">
        <f>case!B249</f>
        <v>-324917</v>
      </c>
      <c r="C152" s="22">
        <f>case!C249</f>
        <v>-64292</v>
      </c>
      <c r="D152" s="22">
        <f>case!D249</f>
        <v>17752.471000000001</v>
      </c>
      <c r="E152" s="22">
        <f>case!E249</f>
        <v>-11336.371999999999</v>
      </c>
      <c r="F152" s="22">
        <f>case!F249</f>
        <v>-55428.652000000002</v>
      </c>
      <c r="G152" s="22">
        <f>case!G249</f>
        <v>436.25099999999998</v>
      </c>
      <c r="H152" s="22">
        <f>case!H249</f>
        <v>5907.5290000000005</v>
      </c>
      <c r="I152" s="22">
        <f>case!I249</f>
        <v>48965.423000000003</v>
      </c>
      <c r="J152" s="22">
        <f>case!J249</f>
        <v>54653.67</v>
      </c>
      <c r="K152" s="22">
        <f>case!K249</f>
        <v>38874.43</v>
      </c>
    </row>
    <row r="153" spans="1:11" ht="15.75" customHeight="1" x14ac:dyDescent="0.15">
      <c r="A153" s="23" t="s">
        <v>373</v>
      </c>
      <c r="B153" s="22">
        <f>B152-B150</f>
        <v>0</v>
      </c>
      <c r="C153" s="22">
        <f t="shared" ref="C153:K153" si="44">C152-C150</f>
        <v>0</v>
      </c>
      <c r="D153" s="22">
        <f t="shared" si="44"/>
        <v>-1.0550138540565968E-10</v>
      </c>
      <c r="E153" s="22">
        <f t="shared" si="44"/>
        <v>7.8216544352471828E-11</v>
      </c>
      <c r="F153" s="22">
        <f t="shared" si="44"/>
        <v>0</v>
      </c>
      <c r="G153" s="22">
        <f t="shared" si="44"/>
        <v>7.2532202466391027E-11</v>
      </c>
      <c r="H153" s="22">
        <f t="shared" si="44"/>
        <v>3.092281986027956E-11</v>
      </c>
      <c r="I153" s="22">
        <f t="shared" si="44"/>
        <v>0</v>
      </c>
      <c r="J153" s="22">
        <f t="shared" si="44"/>
        <v>-8.7311491370201111E-11</v>
      </c>
      <c r="K153" s="22">
        <f t="shared" si="44"/>
        <v>0</v>
      </c>
    </row>
    <row r="154" spans="1:11" ht="15.75" customHeight="1" x14ac:dyDescent="0.15">
      <c r="A154" s="23" t="s">
        <v>374</v>
      </c>
      <c r="B154" s="22">
        <f>B150-B82</f>
        <v>0</v>
      </c>
      <c r="C154" s="22">
        <f>C150-C82</f>
        <v>0</v>
      </c>
      <c r="D154" s="22">
        <f>D150-D82</f>
        <v>1.0550138540565968E-10</v>
      </c>
      <c r="E154" s="22">
        <f>E150-E82</f>
        <v>-7.8216544352471828E-11</v>
      </c>
      <c r="F154" s="22">
        <f>F150-F82</f>
        <v>0</v>
      </c>
      <c r="G154" s="22">
        <f>G150-G82</f>
        <v>-7.2532202466391027E-11</v>
      </c>
      <c r="H154" s="22">
        <f>H150-H82</f>
        <v>-3.092281986027956E-11</v>
      </c>
      <c r="I154" s="22">
        <f>I150-I82</f>
        <v>0</v>
      </c>
      <c r="J154" s="22">
        <f>J150-J82</f>
        <v>8.7311491370201111E-11</v>
      </c>
      <c r="K154" s="22">
        <f>K150-K82</f>
        <v>0</v>
      </c>
    </row>
    <row r="155" spans="1:11" ht="15.75" customHeight="1" x14ac:dyDescent="0.15">
      <c r="A155" s="28"/>
    </row>
    <row r="156" spans="1:11" ht="15.75" customHeight="1" x14ac:dyDescent="0.15">
      <c r="A156" s="23" t="s">
        <v>375</v>
      </c>
      <c r="B156" s="46">
        <f t="shared" ref="B156:K156" si="45">B149/B148</f>
        <v>2.6581022672699239E-2</v>
      </c>
      <c r="C156" s="46">
        <f t="shared" si="45"/>
        <v>2.2797053723412716E-2</v>
      </c>
      <c r="D156" s="46">
        <f t="shared" si="45"/>
        <v>0.94093034921386332</v>
      </c>
      <c r="E156" s="46">
        <f t="shared" si="45"/>
        <v>0.33696765260077716</v>
      </c>
      <c r="F156" s="46">
        <f t="shared" si="45"/>
        <v>5.2832063927627983E-3</v>
      </c>
      <c r="G156" s="46">
        <f t="shared" si="45"/>
        <v>-0.96521155472934139</v>
      </c>
      <c r="H156" s="46">
        <f t="shared" si="45"/>
        <v>-0.44398581015458238</v>
      </c>
      <c r="I156" s="46">
        <f t="shared" si="45"/>
        <v>-0.20102990785269462</v>
      </c>
      <c r="J156" s="46">
        <f t="shared" si="45"/>
        <v>-0.29059318600347733</v>
      </c>
      <c r="K156" s="46">
        <f t="shared" si="45"/>
        <v>-0.29522498361906641</v>
      </c>
    </row>
    <row r="157" spans="1:11" ht="15.75" customHeight="1" x14ac:dyDescent="0.15">
      <c r="A157" s="23" t="s">
        <v>376</v>
      </c>
      <c r="B157" s="22">
        <f t="shared" ref="B157:K157" si="46">B156*B140</f>
        <v>-8875.0313360968576</v>
      </c>
      <c r="C157" s="22">
        <f t="shared" si="46"/>
        <v>-2581.4471754243623</v>
      </c>
      <c r="D157" s="22">
        <f t="shared" si="46"/>
        <v>-39016.608451198561</v>
      </c>
      <c r="E157" s="22">
        <f t="shared" si="46"/>
        <v>-11277.048084430244</v>
      </c>
      <c r="F157" s="22">
        <f t="shared" si="46"/>
        <v>-345.75843328194031</v>
      </c>
      <c r="G157" s="22">
        <f t="shared" si="46"/>
        <v>4052.8962923849717</v>
      </c>
      <c r="H157" s="22">
        <f t="shared" si="46"/>
        <v>1500.6165400962191</v>
      </c>
      <c r="I157" s="22">
        <f t="shared" si="46"/>
        <v>1132.7098508128747</v>
      </c>
      <c r="J157" s="22">
        <f t="shared" si="46"/>
        <v>830.21339927768054</v>
      </c>
      <c r="K157" s="22">
        <f t="shared" si="46"/>
        <v>1013.1259380854191</v>
      </c>
    </row>
    <row r="162" spans="1:11" ht="15.75" customHeight="1" x14ac:dyDescent="0.15">
      <c r="A162" s="1" t="s">
        <v>617</v>
      </c>
      <c r="B162" s="22">
        <f>B102+(B21-B62)</f>
        <v>2020790</v>
      </c>
      <c r="C162" s="22">
        <f t="shared" ref="C162:K162" si="47">C102+(C21-C62)</f>
        <v>564221</v>
      </c>
      <c r="D162" s="22">
        <f t="shared" si="47"/>
        <v>241143.17300000004</v>
      </c>
      <c r="E162" s="22">
        <f t="shared" si="47"/>
        <v>251944.66399999999</v>
      </c>
      <c r="F162" s="22">
        <f t="shared" si="47"/>
        <v>288059.56700000004</v>
      </c>
      <c r="G162" s="22">
        <f t="shared" si="47"/>
        <v>164186.08499999996</v>
      </c>
      <c r="H162" s="22">
        <f t="shared" si="47"/>
        <v>218225.45800000004</v>
      </c>
      <c r="I162" s="22">
        <f t="shared" si="47"/>
        <v>232002.05699999994</v>
      </c>
      <c r="J162" s="22">
        <f t="shared" si="47"/>
        <v>229795.73099999997</v>
      </c>
      <c r="K162" s="22">
        <f t="shared" si="47"/>
        <v>249554.54300000001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77"/>
  <sheetViews>
    <sheetView tabSelected="1" topLeftCell="A35" workbookViewId="0">
      <selection activeCell="B66" sqref="B66"/>
    </sheetView>
  </sheetViews>
  <sheetFormatPr baseColWidth="10" defaultColWidth="12.6640625" defaultRowHeight="15.75" customHeight="1" x14ac:dyDescent="0.15"/>
  <cols>
    <col min="1" max="1" width="2.1640625" style="65" bestFit="1" customWidth="1"/>
    <col min="2" max="2" width="68" style="65" bestFit="1" customWidth="1"/>
    <col min="3" max="12" width="16.6640625" customWidth="1"/>
  </cols>
  <sheetData>
    <row r="1" spans="1:12" ht="15.75" customHeight="1" x14ac:dyDescent="0.15">
      <c r="A1" s="47"/>
      <c r="B1" s="48" t="s">
        <v>382</v>
      </c>
      <c r="C1" s="21" t="str">
        <f>case!B1</f>
        <v>31/12/2024</v>
      </c>
      <c r="D1" s="21" t="str">
        <f>case!C1</f>
        <v>31/12/2023</v>
      </c>
      <c r="E1" s="21" t="str">
        <f>case!D1</f>
        <v>31/12/2022</v>
      </c>
      <c r="F1" s="21" t="str">
        <f>case!E1</f>
        <v>31/12/2021</v>
      </c>
      <c r="G1" s="21" t="str">
        <f>case!F1</f>
        <v>31/12/2020</v>
      </c>
      <c r="H1" s="21" t="str">
        <f>case!G1</f>
        <v>31/12/2019</v>
      </c>
      <c r="I1" s="21" t="str">
        <f>case!H1</f>
        <v>31/12/2018</v>
      </c>
      <c r="J1" s="21" t="str">
        <f>case!I1</f>
        <v>31/12/2017</v>
      </c>
      <c r="K1" s="21" t="str">
        <f>case!J1</f>
        <v>31/12/2016</v>
      </c>
      <c r="L1" s="21" t="str">
        <f>case!K1</f>
        <v>31/12/2015</v>
      </c>
    </row>
    <row r="2" spans="1:12" ht="15.75" customHeight="1" x14ac:dyDescent="0.15">
      <c r="A2" s="49"/>
      <c r="B2" s="50" t="s">
        <v>383</v>
      </c>
    </row>
    <row r="3" spans="1:12" ht="15.75" customHeight="1" x14ac:dyDescent="0.15">
      <c r="A3" s="51"/>
      <c r="B3" s="52" t="s">
        <v>384</v>
      </c>
    </row>
    <row r="4" spans="1:12" ht="15.75" customHeight="1" x14ac:dyDescent="0.15">
      <c r="A4" s="53" t="s">
        <v>385</v>
      </c>
      <c r="B4" s="52" t="s">
        <v>386</v>
      </c>
      <c r="C4" s="66">
        <f>'RC'!B131</f>
        <v>60536</v>
      </c>
      <c r="D4" s="66">
        <f>'RC'!C131</f>
        <v>57190</v>
      </c>
      <c r="E4" s="66">
        <f>'RC'!D131</f>
        <v>11294.284000000102</v>
      </c>
      <c r="F4" s="66">
        <f>'RC'!E131</f>
        <v>9288.811999999929</v>
      </c>
      <c r="G4" s="66">
        <f>'RC'!F131</f>
        <v>3264.1819999999625</v>
      </c>
      <c r="H4" s="66">
        <f>'RC'!G131</f>
        <v>30663.779999999933</v>
      </c>
      <c r="I4" s="66">
        <f>'RC'!H131</f>
        <v>33717.56599999997</v>
      </c>
      <c r="J4" s="66">
        <f>'RC'!I131</f>
        <v>77298.708999999973</v>
      </c>
      <c r="K4" s="66">
        <f>'RC'!J131</f>
        <v>70853.290000000081</v>
      </c>
      <c r="L4" s="66">
        <f>'RC'!K131</f>
        <v>51933.839999999953</v>
      </c>
    </row>
    <row r="5" spans="1:12" ht="15.75" customHeight="1" x14ac:dyDescent="0.15">
      <c r="A5" s="51" t="s">
        <v>387</v>
      </c>
      <c r="B5" s="52" t="s">
        <v>388</v>
      </c>
      <c r="C5" s="66">
        <f>'RC'!B146</f>
        <v>-43154</v>
      </c>
      <c r="D5" s="66">
        <f>'RC'!C146</f>
        <v>-6813</v>
      </c>
      <c r="E5" s="66">
        <f>'RC'!D146</f>
        <v>39318.078000000001</v>
      </c>
      <c r="F5" s="66">
        <f>'RC'!E146</f>
        <v>15698.284</v>
      </c>
      <c r="G5" s="66">
        <f>'RC'!F146</f>
        <v>7043.277</v>
      </c>
      <c r="H5" s="66">
        <f>'RC'!G146</f>
        <v>-13924.696000000004</v>
      </c>
      <c r="I5" s="66">
        <f>'RC'!H146</f>
        <v>-19712.91</v>
      </c>
      <c r="J5" s="66">
        <f>'RC'!I146</f>
        <v>-10378.498</v>
      </c>
      <c r="K5" s="66">
        <f>'RC'!J146</f>
        <v>9045.0370000000003</v>
      </c>
      <c r="L5" s="66">
        <f>'RC'!K146</f>
        <v>6656.5059999999994</v>
      </c>
    </row>
    <row r="6" spans="1:12" ht="15.75" customHeight="1" x14ac:dyDescent="0.15">
      <c r="A6" s="53" t="s">
        <v>385</v>
      </c>
      <c r="B6" s="52" t="s">
        <v>389</v>
      </c>
      <c r="C6" s="66">
        <f>-'RC'!B124</f>
        <v>51303</v>
      </c>
      <c r="D6" s="66">
        <f>-'RC'!C124</f>
        <v>32661</v>
      </c>
      <c r="E6" s="66">
        <f>-'RC'!D124</f>
        <v>35625.263000000006</v>
      </c>
      <c r="F6" s="66">
        <f>-'RC'!E124</f>
        <v>31971.206999999999</v>
      </c>
      <c r="G6" s="66">
        <f>-'RC'!F124</f>
        <v>26000.365000000002</v>
      </c>
      <c r="H6" s="66">
        <f>-'RC'!G124</f>
        <v>21147.856</v>
      </c>
      <c r="I6" s="66">
        <f>-'RC'!H124</f>
        <v>26935.278000000002</v>
      </c>
      <c r="J6" s="66">
        <f>-'RC'!I124</f>
        <v>31141.093000000001</v>
      </c>
      <c r="K6" s="66">
        <f>-'RC'!J124</f>
        <v>29022.259000000002</v>
      </c>
      <c r="L6" s="66">
        <f>-'RC'!K124</f>
        <v>22820.98</v>
      </c>
    </row>
    <row r="7" spans="1:12" ht="15.75" customHeight="1" x14ac:dyDescent="0.15">
      <c r="A7" s="53" t="s">
        <v>390</v>
      </c>
      <c r="B7" s="52" t="s">
        <v>391</v>
      </c>
      <c r="C7" s="66">
        <f>-('RC'!B149+'RC'!B157)</f>
        <v>17288.031336096858</v>
      </c>
      <c r="D7" s="66">
        <f>-('RC'!C149+'RC'!C157)</f>
        <v>4014.4471754243623</v>
      </c>
      <c r="E7" s="66">
        <f>-('RC'!D149+'RC'!D157)</f>
        <v>30410.509451198559</v>
      </c>
      <c r="F7" s="66">
        <f>-('RC'!E149+'RC'!E157)</f>
        <v>14134.253084430244</v>
      </c>
      <c r="G7" s="66">
        <f>-('RC'!F149+'RC'!F157)</f>
        <v>637.06043328194028</v>
      </c>
      <c r="H7" s="66">
        <f>-('RC'!G149+'RC'!G157)</f>
        <v>8050.9647076150286</v>
      </c>
      <c r="I7" s="66">
        <f>-('RC'!H149+'RC'!H157)</f>
        <v>3216.6354599037813</v>
      </c>
      <c r="J7" s="66">
        <f>-('RC'!I149+'RC'!I157)</f>
        <v>11187.544149187126</v>
      </c>
      <c r="K7" s="66">
        <f>-('RC'!J149+'RC'!J157)</f>
        <v>21557.48260072232</v>
      </c>
      <c r="L7" s="66">
        <f>-('RC'!K149+'RC'!K157)</f>
        <v>15271.082061914582</v>
      </c>
    </row>
    <row r="8" spans="1:12" ht="15.75" customHeight="1" x14ac:dyDescent="0.15">
      <c r="A8" s="54" t="s">
        <v>392</v>
      </c>
      <c r="B8" s="55" t="s">
        <v>393</v>
      </c>
      <c r="C8" s="19">
        <f>C4+C5+C6-C7</f>
        <v>51396.968663903142</v>
      </c>
      <c r="D8" s="19">
        <f t="shared" ref="D8:L8" si="0">D4+D5+D6-D7</f>
        <v>79023.552824575643</v>
      </c>
      <c r="E8" s="19">
        <f t="shared" si="0"/>
        <v>55827.115548801557</v>
      </c>
      <c r="F8" s="19">
        <f t="shared" si="0"/>
        <v>42824.049915569682</v>
      </c>
      <c r="G8" s="19">
        <f t="shared" si="0"/>
        <v>35670.763566718022</v>
      </c>
      <c r="H8" s="19">
        <f t="shared" si="0"/>
        <v>29835.975292384901</v>
      </c>
      <c r="I8" s="19">
        <f t="shared" si="0"/>
        <v>37723.298540096192</v>
      </c>
      <c r="J8" s="19">
        <f t="shared" si="0"/>
        <v>86873.759850812843</v>
      </c>
      <c r="K8" s="19">
        <f t="shared" si="0"/>
        <v>87363.103399277767</v>
      </c>
      <c r="L8" s="19">
        <f t="shared" si="0"/>
        <v>66140.243938085376</v>
      </c>
    </row>
    <row r="9" spans="1:12" ht="15.75" customHeight="1" x14ac:dyDescent="0.15">
      <c r="A9" s="51"/>
      <c r="B9" s="52" t="s">
        <v>394</v>
      </c>
    </row>
    <row r="10" spans="1:12" ht="15.75" customHeight="1" x14ac:dyDescent="0.15">
      <c r="A10" s="51"/>
      <c r="B10" s="52" t="s">
        <v>395</v>
      </c>
    </row>
    <row r="11" spans="1:12" ht="15.75" customHeight="1" x14ac:dyDescent="0.15">
      <c r="A11" s="51" t="s">
        <v>390</v>
      </c>
      <c r="B11" s="52" t="s">
        <v>396</v>
      </c>
      <c r="C11" s="66">
        <f>-1*('RC'!B5-'RC'!C5)</f>
        <v>-11669</v>
      </c>
      <c r="D11" s="66">
        <f>-1*('RC'!C5-'RC'!D5)</f>
        <v>-66503.281000000003</v>
      </c>
      <c r="E11" s="66">
        <f>-1*('RC'!D5-'RC'!E5)</f>
        <v>6007.6939999999995</v>
      </c>
      <c r="F11" s="66">
        <f>-1*('RC'!E5-'RC'!F5)</f>
        <v>19372.563999999998</v>
      </c>
      <c r="G11" s="66">
        <f>-1*('RC'!F5-'RC'!G5)</f>
        <v>20998.652000000002</v>
      </c>
      <c r="H11" s="66">
        <f>-1*('RC'!G5-'RC'!H5)</f>
        <v>66205.882999999987</v>
      </c>
      <c r="I11" s="66">
        <f>-1*('RC'!H5-'RC'!I5)</f>
        <v>-7062.6959999999817</v>
      </c>
      <c r="J11" s="66">
        <f>-1*('RC'!I5-'RC'!J5)</f>
        <v>9376.9269999999815</v>
      </c>
      <c r="K11" s="66">
        <f>-1*('RC'!J5-'RC'!K5)</f>
        <v>3424.2630000000063</v>
      </c>
      <c r="L11" s="66">
        <f>-1*('RC'!K5-'RC'!L5)</f>
        <v>-142030.00599999999</v>
      </c>
    </row>
    <row r="12" spans="1:12" ht="15.75" customHeight="1" x14ac:dyDescent="0.15">
      <c r="A12" s="51" t="s">
        <v>390</v>
      </c>
      <c r="B12" s="52" t="s">
        <v>397</v>
      </c>
      <c r="C12" s="66">
        <f>-1*('RC'!B6-'RC'!C6)</f>
        <v>-13102</v>
      </c>
      <c r="D12" s="66">
        <f>-1*('RC'!C6-'RC'!D6)</f>
        <v>35695.142999999982</v>
      </c>
      <c r="E12" s="66">
        <f>-1*('RC'!D6-'RC'!E6)</f>
        <v>-21276.949999999983</v>
      </c>
      <c r="F12" s="66">
        <f>-1*('RC'!E6-'RC'!F6)</f>
        <v>-10044.80799999999</v>
      </c>
      <c r="G12" s="66">
        <f>-1*('RC'!F6-'RC'!G6)</f>
        <v>-3051.4580000000133</v>
      </c>
      <c r="H12" s="66">
        <f>-1*('RC'!G6-'RC'!H6)</f>
        <v>46549.412000000011</v>
      </c>
      <c r="I12" s="66">
        <f>-1*('RC'!H6-'RC'!I6)</f>
        <v>-43414.255000000005</v>
      </c>
      <c r="J12" s="66">
        <f>-1*('RC'!I6-'RC'!J6)</f>
        <v>8590.1639999999898</v>
      </c>
      <c r="K12" s="66">
        <f>-1*('RC'!J6-'RC'!K6)</f>
        <v>-3919.9089999999851</v>
      </c>
      <c r="L12" s="66">
        <f>-1*('RC'!K6-'RC'!L6)</f>
        <v>-127191.33900000001</v>
      </c>
    </row>
    <row r="13" spans="1:12" ht="15.75" customHeight="1" x14ac:dyDescent="0.15">
      <c r="A13" s="51" t="s">
        <v>390</v>
      </c>
      <c r="B13" s="52" t="s">
        <v>398</v>
      </c>
      <c r="C13" s="66">
        <f>-1*('RC'!B7-'RC'!C7)</f>
        <v>-54161</v>
      </c>
      <c r="D13" s="66">
        <f>-1*('RC'!C7-'RC'!D7)</f>
        <v>-250170.734</v>
      </c>
      <c r="E13" s="66">
        <f>-1*('RC'!D7-'RC'!E7)</f>
        <v>1177.7960000000021</v>
      </c>
      <c r="F13" s="66">
        <f>-1*('RC'!E7-'RC'!F7)</f>
        <v>-10353.605000000001</v>
      </c>
      <c r="G13" s="66">
        <f>-1*('RC'!F7-'RC'!G7)</f>
        <v>-5883.5079999999998</v>
      </c>
      <c r="H13" s="66">
        <f>-1*('RC'!G7-'RC'!H7)</f>
        <v>2167.9759999999992</v>
      </c>
      <c r="I13" s="66">
        <f>-1*('RC'!H7-'RC'!I7)</f>
        <v>-699.65199999999913</v>
      </c>
      <c r="J13" s="66">
        <f>-1*('RC'!I7-'RC'!J7)</f>
        <v>-1039.9270000000006</v>
      </c>
      <c r="K13" s="66">
        <f>-1*('RC'!J7-'RC'!K7)</f>
        <v>6907.9040000000005</v>
      </c>
      <c r="L13" s="66">
        <f>-1*('RC'!K7-'RC'!L7)</f>
        <v>-9881.25</v>
      </c>
    </row>
    <row r="14" spans="1:12" ht="15.75" customHeight="1" x14ac:dyDescent="0.15">
      <c r="A14" s="53" t="s">
        <v>385</v>
      </c>
      <c r="B14" s="52" t="s">
        <v>399</v>
      </c>
      <c r="C14" s="66">
        <f>'RC'!B48-'RC'!C48</f>
        <v>68013</v>
      </c>
      <c r="D14" s="66">
        <f>'RC'!C48-'RC'!D48</f>
        <v>-69875.23000000001</v>
      </c>
      <c r="E14" s="66">
        <f>'RC'!D48-'RC'!E48</f>
        <v>61953.866999999998</v>
      </c>
      <c r="F14" s="66">
        <f>'RC'!E48-'RC'!F48</f>
        <v>55333.239000000001</v>
      </c>
      <c r="G14" s="66">
        <f>'RC'!F48-'RC'!G48</f>
        <v>-4922.0849999999919</v>
      </c>
      <c r="H14" s="66">
        <f>'RC'!G48-'RC'!H48</f>
        <v>-57307.649000000005</v>
      </c>
      <c r="I14" s="66">
        <f>'RC'!H48-'RC'!I48</f>
        <v>54649.144</v>
      </c>
      <c r="J14" s="66">
        <f>'RC'!I48-'RC'!J48</f>
        <v>1552.4510000000009</v>
      </c>
      <c r="K14" s="66">
        <f>'RC'!J48-'RC'!K48</f>
        <v>-13344.733999999997</v>
      </c>
      <c r="L14" s="66">
        <f>'RC'!K48-'RC'!L48</f>
        <v>154221.997</v>
      </c>
    </row>
    <row r="15" spans="1:12" ht="15.75" customHeight="1" x14ac:dyDescent="0.15">
      <c r="A15" s="53" t="s">
        <v>385</v>
      </c>
      <c r="B15" s="52" t="s">
        <v>400</v>
      </c>
      <c r="C15" s="66">
        <f>'RC'!B50-'RC'!C50</f>
        <v>8265</v>
      </c>
      <c r="D15" s="66">
        <f>'RC'!C50-'RC'!D50</f>
        <v>3030.7819999999992</v>
      </c>
      <c r="E15" s="66">
        <f>'RC'!D50-'RC'!E50</f>
        <v>556.81500000000233</v>
      </c>
      <c r="F15" s="66">
        <f>'RC'!E50-'RC'!F50</f>
        <v>5737.391999999998</v>
      </c>
      <c r="G15" s="66">
        <f>'RC'!F50-'RC'!G50</f>
        <v>-744.09900000000016</v>
      </c>
      <c r="H15" s="66">
        <f>'RC'!G50-'RC'!H50</f>
        <v>2756.4090000000015</v>
      </c>
      <c r="I15" s="66">
        <f>'RC'!H50-'RC'!I50</f>
        <v>-681.30400000000009</v>
      </c>
      <c r="J15" s="66">
        <f>'RC'!I50-'RC'!J50</f>
        <v>-929.0619999999999</v>
      </c>
      <c r="K15" s="66">
        <f>'RC'!J50-'RC'!K50</f>
        <v>1213.2949999999983</v>
      </c>
      <c r="L15" s="66">
        <f>'RC'!K50-'RC'!L50</f>
        <v>11889.772000000001</v>
      </c>
    </row>
    <row r="16" spans="1:12" ht="15.75" customHeight="1" x14ac:dyDescent="0.15">
      <c r="A16" s="51" t="s">
        <v>390</v>
      </c>
      <c r="B16" s="52" t="s">
        <v>401</v>
      </c>
      <c r="C16" s="66">
        <f>-1*('RC'!B21-'RC'!C21)</f>
        <v>-16515</v>
      </c>
      <c r="D16" s="66">
        <f>-1*('RC'!C21-'RC'!D21)</f>
        <v>38157.054000000004</v>
      </c>
      <c r="E16" s="66">
        <f>-1*('RC'!D21-'RC'!E21)</f>
        <v>-30072.044000000009</v>
      </c>
      <c r="F16" s="66">
        <f>-1*('RC'!E21-'RC'!F21)</f>
        <v>3249.6880000000092</v>
      </c>
      <c r="G16" s="66">
        <f>-1*('RC'!F21-'RC'!G21)</f>
        <v>-22732.803000000004</v>
      </c>
      <c r="H16" s="66">
        <f>-1*('RC'!G21-'RC'!H21)</f>
        <v>-434.07900000000154</v>
      </c>
      <c r="I16" s="66">
        <f>-1*('RC'!H21-'RC'!I21)</f>
        <v>-3056.2690000000002</v>
      </c>
      <c r="J16" s="66">
        <f>-1*('RC'!I21-'RC'!J21)</f>
        <v>-6584.9739999999983</v>
      </c>
      <c r="K16" s="66">
        <f>-1*('RC'!J21-'RC'!K21)</f>
        <v>-1313.5450000000001</v>
      </c>
      <c r="L16" s="66">
        <f>-1*('RC'!K21-'RC'!L21)</f>
        <v>-8894.0280000000002</v>
      </c>
    </row>
    <row r="17" spans="1:12" ht="15.75" customHeight="1" x14ac:dyDescent="0.15">
      <c r="A17" s="53" t="s">
        <v>385</v>
      </c>
      <c r="B17" s="52" t="s">
        <v>402</v>
      </c>
      <c r="C17" s="66">
        <f>'RC'!B62-'RC'!C62</f>
        <v>92954</v>
      </c>
      <c r="D17" s="66">
        <f>'RC'!C62-'RC'!D62</f>
        <v>-21855.557000000001</v>
      </c>
      <c r="E17" s="66">
        <f>'RC'!D62-'RC'!E62</f>
        <v>4369.6790000000037</v>
      </c>
      <c r="F17" s="66">
        <f>'RC'!E62-'RC'!F62</f>
        <v>-24420.619000000006</v>
      </c>
      <c r="G17" s="66">
        <f>'RC'!F62-'RC'!G62</f>
        <v>35385.320000000007</v>
      </c>
      <c r="H17" s="66">
        <f>'RC'!G62-'RC'!H62</f>
        <v>1510.8589999999967</v>
      </c>
      <c r="I17" s="66">
        <f>'RC'!H62-'RC'!I62</f>
        <v>5624.4069999999992</v>
      </c>
      <c r="J17" s="66">
        <f>'RC'!I62-'RC'!J62</f>
        <v>-564.85599999999977</v>
      </c>
      <c r="K17" s="66">
        <f>'RC'!J62-'RC'!K62</f>
        <v>17948.625</v>
      </c>
      <c r="L17" s="66">
        <f>'RC'!K62-'RC'!L62</f>
        <v>23945.142</v>
      </c>
    </row>
    <row r="18" spans="1:12" s="74" customFormat="1" ht="15.75" customHeight="1" x14ac:dyDescent="0.15">
      <c r="A18" s="56" t="s">
        <v>392</v>
      </c>
      <c r="B18" s="57" t="s">
        <v>403</v>
      </c>
      <c r="C18" s="19">
        <f>SUM(C11:C17)</f>
        <v>73785</v>
      </c>
      <c r="D18" s="19">
        <f t="shared" ref="D18:L18" si="1">SUM(D11:D17)</f>
        <v>-331521.82300000009</v>
      </c>
      <c r="E18" s="19">
        <f t="shared" si="1"/>
        <v>22716.857000000018</v>
      </c>
      <c r="F18" s="19">
        <f t="shared" si="1"/>
        <v>38873.85100000001</v>
      </c>
      <c r="G18" s="19">
        <f t="shared" si="1"/>
        <v>19050.019</v>
      </c>
      <c r="H18" s="19">
        <f t="shared" si="1"/>
        <v>61448.810999999987</v>
      </c>
      <c r="I18" s="19">
        <f t="shared" si="1"/>
        <v>5359.3750000000109</v>
      </c>
      <c r="J18" s="19">
        <f t="shared" si="1"/>
        <v>10400.722999999973</v>
      </c>
      <c r="K18" s="19">
        <f t="shared" si="1"/>
        <v>10915.899000000023</v>
      </c>
      <c r="L18" s="19">
        <f t="shared" si="1"/>
        <v>-97939.71199999997</v>
      </c>
    </row>
    <row r="19" spans="1:12" ht="15.75" customHeight="1" x14ac:dyDescent="0.15">
      <c r="A19" s="53" t="s">
        <v>385</v>
      </c>
      <c r="B19" s="52" t="s">
        <v>404</v>
      </c>
      <c r="C19" s="66">
        <f>'RC'!B53-'RC'!C53</f>
        <v>-1064</v>
      </c>
      <c r="D19" s="66">
        <f>'RC'!C53-'RC'!D53</f>
        <v>-2654.1450000000004</v>
      </c>
      <c r="E19" s="66">
        <f>'RC'!D53-'RC'!E53</f>
        <v>39.782000000001062</v>
      </c>
      <c r="F19" s="66">
        <f>'RC'!E53-'RC'!F53</f>
        <v>-1322.8410000000003</v>
      </c>
      <c r="G19" s="66">
        <f>'RC'!F53-'RC'!G53</f>
        <v>-2188.4600000000009</v>
      </c>
      <c r="H19" s="66">
        <f>'RC'!G53-'RC'!H53</f>
        <v>-1299.6440000000002</v>
      </c>
      <c r="I19" s="66">
        <f>'RC'!H53-'RC'!I53</f>
        <v>-1203.1919999999991</v>
      </c>
      <c r="J19" s="66">
        <f>'RC'!I53-'RC'!J53</f>
        <v>-1115.9419999999991</v>
      </c>
      <c r="K19" s="66">
        <f>'RC'!J53-'RC'!K53</f>
        <v>-917.48199999999997</v>
      </c>
      <c r="L19" s="66">
        <f>'RC'!K53-'RC'!L53</f>
        <v>17851.923999999999</v>
      </c>
    </row>
    <row r="20" spans="1:12" ht="15.75" customHeight="1" x14ac:dyDescent="0.15">
      <c r="A20" s="53" t="s">
        <v>390</v>
      </c>
      <c r="B20" s="52" t="s">
        <v>405</v>
      </c>
      <c r="C20" s="66">
        <f>-1*('RC'!B15-'RC'!C15)</f>
        <v>0</v>
      </c>
      <c r="D20" s="66">
        <f>-1*('RC'!C15-'RC'!D15)</f>
        <v>10782.128000000001</v>
      </c>
      <c r="E20" s="66">
        <f>-1*('RC'!D15-'RC'!E15)</f>
        <v>-10438.693000000001</v>
      </c>
      <c r="F20" s="66">
        <f>-1*('RC'!E15-'RC'!F15)</f>
        <v>27.25</v>
      </c>
      <c r="G20" s="66">
        <f>-1*('RC'!F15-'RC'!G15)</f>
        <v>-45.88900000000001</v>
      </c>
      <c r="H20" s="66">
        <f>-1*('RC'!G15-'RC'!H15)</f>
        <v>-42.819999999999993</v>
      </c>
      <c r="I20" s="66">
        <f>-1*('RC'!H15-'RC'!I15)</f>
        <v>-3.7180000000000177</v>
      </c>
      <c r="J20" s="66">
        <f>-1*('RC'!I15-'RC'!J15)</f>
        <v>12.81800000000004</v>
      </c>
      <c r="K20" s="66">
        <f>-1*('RC'!J15-'RC'!K15)</f>
        <v>-4.2360000000000468</v>
      </c>
      <c r="L20" s="66">
        <f>-1*('RC'!K15-'RC'!L15)</f>
        <v>-286.83999999999997</v>
      </c>
    </row>
    <row r="21" spans="1:12" ht="15.75" customHeight="1" x14ac:dyDescent="0.15">
      <c r="A21" s="58" t="s">
        <v>385</v>
      </c>
      <c r="B21" s="59" t="s">
        <v>406</v>
      </c>
      <c r="C21" s="66">
        <f>'RC'!B54-'RC'!C54</f>
        <v>0</v>
      </c>
      <c r="D21" s="66">
        <f>'RC'!C54-'RC'!D54</f>
        <v>0</v>
      </c>
      <c r="E21" s="66">
        <f>'RC'!D54-'RC'!E54</f>
        <v>0</v>
      </c>
      <c r="F21" s="66">
        <f>'RC'!E54-'RC'!F54</f>
        <v>0</v>
      </c>
      <c r="G21" s="66">
        <f>'RC'!F54-'RC'!G54</f>
        <v>0</v>
      </c>
      <c r="H21" s="66">
        <f>'RC'!G54-'RC'!H54</f>
        <v>0</v>
      </c>
      <c r="I21" s="66">
        <f>'RC'!H54-'RC'!I54</f>
        <v>0</v>
      </c>
      <c r="J21" s="66">
        <f>'RC'!I54-'RC'!J54</f>
        <v>0</v>
      </c>
      <c r="K21" s="66">
        <f>'RC'!J54-'RC'!K54</f>
        <v>0</v>
      </c>
      <c r="L21" s="66">
        <f>'RC'!K54-'RC'!L54</f>
        <v>0</v>
      </c>
    </row>
    <row r="22" spans="1:12" ht="15.75" customHeight="1" x14ac:dyDescent="0.15">
      <c r="A22" s="60" t="s">
        <v>392</v>
      </c>
      <c r="B22" s="61" t="s">
        <v>407</v>
      </c>
      <c r="C22" s="66">
        <f>SUM(C18:C21)</f>
        <v>72721</v>
      </c>
      <c r="D22" s="66">
        <f t="shared" ref="D22:L22" si="2">SUM(D18:D21)</f>
        <v>-323393.84000000008</v>
      </c>
      <c r="E22" s="66">
        <f t="shared" si="2"/>
        <v>12317.946000000016</v>
      </c>
      <c r="F22" s="66">
        <f t="shared" si="2"/>
        <v>37578.260000000009</v>
      </c>
      <c r="G22" s="66">
        <f t="shared" si="2"/>
        <v>16815.670000000002</v>
      </c>
      <c r="H22" s="66">
        <f t="shared" si="2"/>
        <v>60106.346999999987</v>
      </c>
      <c r="I22" s="66">
        <f t="shared" si="2"/>
        <v>4152.465000000012</v>
      </c>
      <c r="J22" s="66">
        <f t="shared" si="2"/>
        <v>9297.5989999999729</v>
      </c>
      <c r="K22" s="66">
        <f t="shared" si="2"/>
        <v>9994.1810000000223</v>
      </c>
      <c r="L22" s="66">
        <f t="shared" si="2"/>
        <v>-80374.627999999968</v>
      </c>
    </row>
    <row r="23" spans="1:12" s="74" customFormat="1" ht="15.75" customHeight="1" x14ac:dyDescent="0.15">
      <c r="A23" s="62" t="s">
        <v>392</v>
      </c>
      <c r="B23" s="63" t="s">
        <v>408</v>
      </c>
      <c r="C23" s="19">
        <f>C8+C22</f>
        <v>124117.96866390314</v>
      </c>
      <c r="D23" s="19">
        <f t="shared" ref="D23:L23" si="3">D8+D22</f>
        <v>-244370.28717542446</v>
      </c>
      <c r="E23" s="19">
        <f t="shared" si="3"/>
        <v>68145.061548801576</v>
      </c>
      <c r="F23" s="19">
        <f t="shared" si="3"/>
        <v>80402.309915569698</v>
      </c>
      <c r="G23" s="19">
        <f t="shared" si="3"/>
        <v>52486.433566718028</v>
      </c>
      <c r="H23" s="19">
        <f t="shared" si="3"/>
        <v>89942.322292384895</v>
      </c>
      <c r="I23" s="19">
        <f t="shared" si="3"/>
        <v>41875.763540096203</v>
      </c>
      <c r="J23" s="19">
        <f t="shared" si="3"/>
        <v>96171.358850812816</v>
      </c>
      <c r="K23" s="19">
        <f t="shared" si="3"/>
        <v>97357.284399277793</v>
      </c>
      <c r="L23" s="19">
        <f t="shared" si="3"/>
        <v>-14234.384061914592</v>
      </c>
    </row>
    <row r="24" spans="1:12" ht="15.75" customHeight="1" x14ac:dyDescent="0.15">
      <c r="A24" s="51"/>
      <c r="B24" s="52" t="s">
        <v>409</v>
      </c>
    </row>
    <row r="25" spans="1:12" ht="15.75" customHeight="1" x14ac:dyDescent="0.15">
      <c r="A25" s="51" t="s">
        <v>390</v>
      </c>
      <c r="B25" s="52" t="s">
        <v>410</v>
      </c>
      <c r="C25" s="66">
        <f>-1*('RC'!B12-'RC'!C12)</f>
        <v>-1529290</v>
      </c>
      <c r="D25" s="66">
        <f>-1*('RC'!C12-'RC'!D12)</f>
        <v>316.01300000003539</v>
      </c>
      <c r="E25" s="66">
        <f>-1*('RC'!D12-'RC'!E12)</f>
        <v>-1516.4550000000163</v>
      </c>
      <c r="F25" s="66">
        <f>-1*('RC'!E12-'RC'!F12)</f>
        <v>-1463.3570000000182</v>
      </c>
      <c r="G25" s="66">
        <f>-1*('RC'!F12-'RC'!G12)</f>
        <v>-140689.152</v>
      </c>
      <c r="H25" s="66">
        <f>-1*('RC'!G12-'RC'!H12)</f>
        <v>-6066.9739999999874</v>
      </c>
      <c r="I25" s="66">
        <f>-1*('RC'!H12-'RC'!I12)</f>
        <v>9624.1339999999909</v>
      </c>
      <c r="J25" s="66">
        <f>-1*('RC'!I12-'RC'!J12)</f>
        <v>-11503.925000000017</v>
      </c>
      <c r="K25" s="66">
        <f>-1*('RC'!J12-'RC'!K12)</f>
        <v>9764.6309999999939</v>
      </c>
      <c r="L25" s="66">
        <f>-1*('RC'!K12-'RC'!L12)</f>
        <v>-169179.91499999998</v>
      </c>
    </row>
    <row r="26" spans="1:12" ht="15.75" customHeight="1" x14ac:dyDescent="0.15">
      <c r="A26" s="51" t="s">
        <v>390</v>
      </c>
      <c r="B26" s="52" t="s">
        <v>411</v>
      </c>
      <c r="C26" s="66">
        <f>-1*('RC'!B27-'RC'!C27)</f>
        <v>-455975</v>
      </c>
      <c r="D26" s="66">
        <f>-1*('RC'!C27-'RC'!D27)</f>
        <v>280588.50499999989</v>
      </c>
      <c r="E26" s="66">
        <f>-1*('RC'!D27-'RC'!E27)</f>
        <v>-171797.09399999981</v>
      </c>
      <c r="F26" s="66">
        <f>-1*('RC'!E27-'RC'!F27)</f>
        <v>-27650.428000000073</v>
      </c>
      <c r="G26" s="66">
        <f>-1*('RC'!F27-'RC'!G27)</f>
        <v>-387223.18200000003</v>
      </c>
      <c r="H26" s="66">
        <f>-1*('RC'!G27-'RC'!H27)</f>
        <v>28576.89499999999</v>
      </c>
      <c r="I26" s="66">
        <f>-1*('RC'!H27-'RC'!I27)</f>
        <v>12974.170999999973</v>
      </c>
      <c r="J26" s="66">
        <f>-1*('RC'!I27-'RC'!J27)</f>
        <v>7225.2440000000061</v>
      </c>
      <c r="K26" s="66">
        <f>-1*('RC'!J27-'RC'!K27)</f>
        <v>-33.425999999977648</v>
      </c>
      <c r="L26" s="66">
        <f>-1*('RC'!K27-'RC'!L27)</f>
        <v>-302513.685</v>
      </c>
    </row>
    <row r="27" spans="1:12" ht="15.75" customHeight="1" x14ac:dyDescent="0.15">
      <c r="A27" s="53" t="s">
        <v>385</v>
      </c>
      <c r="B27" s="52" t="s">
        <v>412</v>
      </c>
      <c r="C27" s="66">
        <f>'RC'!B66-'RC'!C66</f>
        <v>0</v>
      </c>
      <c r="D27" s="66">
        <f>'RC'!C66-'RC'!D66</f>
        <v>-395029.18599999999</v>
      </c>
      <c r="E27" s="66">
        <f>'RC'!D66-'RC'!E66</f>
        <v>220748.75699999998</v>
      </c>
      <c r="F27" s="66">
        <f>'RC'!E66-'RC'!F66</f>
        <v>32754.021000000008</v>
      </c>
      <c r="G27" s="66">
        <f>'RC'!F66-'RC'!G66</f>
        <v>37594.959999999992</v>
      </c>
      <c r="H27" s="66">
        <f>'RC'!G66-'RC'!H66</f>
        <v>35978.453999999998</v>
      </c>
      <c r="I27" s="66">
        <f>'RC'!H66-'RC'!I66</f>
        <v>21451.219000000005</v>
      </c>
      <c r="J27" s="66">
        <f>'RC'!I66-'RC'!J66</f>
        <v>-7620.476999999999</v>
      </c>
      <c r="K27" s="66">
        <f>'RC'!J66-'RC'!K66</f>
        <v>4528.2680000000037</v>
      </c>
      <c r="L27" s="66">
        <f>'RC'!K66-'RC'!L66</f>
        <v>49593.983999999997</v>
      </c>
    </row>
    <row r="28" spans="1:12" ht="15.75" customHeight="1" x14ac:dyDescent="0.15">
      <c r="A28" s="51" t="s">
        <v>390</v>
      </c>
      <c r="B28" s="52" t="s">
        <v>413</v>
      </c>
      <c r="C28" s="66">
        <f>'RC'!B124</f>
        <v>-51303</v>
      </c>
      <c r="D28" s="66">
        <f>'RC'!C124</f>
        <v>-32661</v>
      </c>
      <c r="E28" s="66">
        <f>'RC'!D124</f>
        <v>-35625.263000000006</v>
      </c>
      <c r="F28" s="66">
        <f>'RC'!E124</f>
        <v>-31971.206999999999</v>
      </c>
      <c r="G28" s="66">
        <f>'RC'!F124</f>
        <v>-26000.365000000002</v>
      </c>
      <c r="H28" s="66">
        <f>'RC'!G124</f>
        <v>-21147.856</v>
      </c>
      <c r="I28" s="66">
        <f>'RC'!H124</f>
        <v>-26935.278000000002</v>
      </c>
      <c r="J28" s="66">
        <f>'RC'!I124</f>
        <v>-31141.093000000001</v>
      </c>
      <c r="K28" s="66">
        <f>'RC'!J124</f>
        <v>-29022.259000000002</v>
      </c>
      <c r="L28" s="66">
        <f>'RC'!K124</f>
        <v>-22820.98</v>
      </c>
    </row>
    <row r="29" spans="1:12" ht="15.75" customHeight="1" x14ac:dyDescent="0.15">
      <c r="A29" s="53" t="s">
        <v>385</v>
      </c>
      <c r="B29" s="52" t="s">
        <v>414</v>
      </c>
      <c r="C29" s="66">
        <f>'RC'!B80-'RC'!C80</f>
        <v>0</v>
      </c>
      <c r="D29" s="66">
        <f>'RC'!C80-'RC'!D80</f>
        <v>-15208.960999999999</v>
      </c>
      <c r="E29" s="66">
        <f>'RC'!D80-'RC'!E80</f>
        <v>-2812.2710000000006</v>
      </c>
      <c r="F29" s="66">
        <f>'RC'!E80-'RC'!F80</f>
        <v>3582.652</v>
      </c>
      <c r="G29" s="66">
        <f>'RC'!F80-'RC'!G80</f>
        <v>-1033.3230000000003</v>
      </c>
      <c r="H29" s="66">
        <f>'RC'!G80-'RC'!H80</f>
        <v>0</v>
      </c>
      <c r="I29" s="66">
        <f>'RC'!H80-'RC'!I80</f>
        <v>0</v>
      </c>
      <c r="J29" s="66">
        <f>'RC'!I80-'RC'!J80</f>
        <v>0</v>
      </c>
      <c r="K29" s="66">
        <f>'RC'!J80-'RC'!K80</f>
        <v>0</v>
      </c>
      <c r="L29" s="66">
        <f>'RC'!K80-'RC'!L80</f>
        <v>15471.903</v>
      </c>
    </row>
    <row r="30" spans="1:12" s="74" customFormat="1" ht="15.75" customHeight="1" x14ac:dyDescent="0.15">
      <c r="A30" s="56" t="s">
        <v>392</v>
      </c>
      <c r="B30" s="57" t="s">
        <v>415</v>
      </c>
      <c r="C30" s="19">
        <f>SUM(C25:C29)</f>
        <v>-2036568</v>
      </c>
      <c r="D30" s="19">
        <f t="shared" ref="D30:L30" si="4">SUM(D25:D29)</f>
        <v>-161994.62900000007</v>
      </c>
      <c r="E30" s="19">
        <f t="shared" si="4"/>
        <v>8997.6740000001519</v>
      </c>
      <c r="F30" s="19">
        <f t="shared" si="4"/>
        <v>-24748.319000000083</v>
      </c>
      <c r="G30" s="19">
        <f t="shared" si="4"/>
        <v>-517351.06200000003</v>
      </c>
      <c r="H30" s="19">
        <f t="shared" si="4"/>
        <v>37340.519</v>
      </c>
      <c r="I30" s="19">
        <f t="shared" si="4"/>
        <v>17114.245999999966</v>
      </c>
      <c r="J30" s="19">
        <f t="shared" si="4"/>
        <v>-43040.251000000011</v>
      </c>
      <c r="K30" s="19">
        <f t="shared" si="4"/>
        <v>-14762.785999999982</v>
      </c>
      <c r="L30" s="19">
        <f t="shared" si="4"/>
        <v>-429448.69299999997</v>
      </c>
    </row>
    <row r="31" spans="1:12" s="74" customFormat="1" ht="15.75" customHeight="1" x14ac:dyDescent="0.15">
      <c r="A31" s="62" t="s">
        <v>392</v>
      </c>
      <c r="B31" s="63" t="s">
        <v>416</v>
      </c>
      <c r="C31" s="19">
        <f>C23+C30</f>
        <v>-1912450.0313360968</v>
      </c>
      <c r="D31" s="19">
        <f t="shared" ref="D31:L31" si="5">D23+D30</f>
        <v>-406364.91617542453</v>
      </c>
      <c r="E31" s="19">
        <f t="shared" si="5"/>
        <v>77142.73554880172</v>
      </c>
      <c r="F31" s="19">
        <f t="shared" si="5"/>
        <v>55653.990915569615</v>
      </c>
      <c r="G31" s="19">
        <f t="shared" si="5"/>
        <v>-464864.62843328202</v>
      </c>
      <c r="H31" s="19">
        <f t="shared" si="5"/>
        <v>127282.8412923849</v>
      </c>
      <c r="I31" s="19">
        <f t="shared" si="5"/>
        <v>58990.009540096173</v>
      </c>
      <c r="J31" s="19">
        <f t="shared" si="5"/>
        <v>53131.107850812805</v>
      </c>
      <c r="K31" s="19">
        <f t="shared" si="5"/>
        <v>82594.498399277814</v>
      </c>
      <c r="L31" s="19">
        <f t="shared" si="5"/>
        <v>-443683.07706191455</v>
      </c>
    </row>
    <row r="32" spans="1:12" ht="15.75" customHeight="1" x14ac:dyDescent="0.15">
      <c r="A32" s="51"/>
      <c r="B32" s="52" t="s">
        <v>417</v>
      </c>
    </row>
    <row r="33" spans="1:12" ht="15.75" customHeight="1" x14ac:dyDescent="0.15">
      <c r="A33" s="51"/>
      <c r="B33" s="52" t="s">
        <v>418</v>
      </c>
    </row>
    <row r="34" spans="1:12" ht="15.75" customHeight="1" x14ac:dyDescent="0.15">
      <c r="A34" s="53" t="s">
        <v>390</v>
      </c>
      <c r="B34" s="52" t="s">
        <v>419</v>
      </c>
      <c r="C34" s="66">
        <f>'RC'!B140</f>
        <v>-333886</v>
      </c>
      <c r="D34" s="66">
        <f>'RC'!C140</f>
        <v>-113236</v>
      </c>
      <c r="E34" s="66">
        <f>'RC'!D140</f>
        <v>-41465.99</v>
      </c>
      <c r="F34" s="66">
        <f>'RC'!E140</f>
        <v>-33466.263000000006</v>
      </c>
      <c r="G34" s="66">
        <f>'RC'!F140</f>
        <v>-65444.808999999994</v>
      </c>
      <c r="H34" s="66">
        <f>'RC'!G140</f>
        <v>-4198.9719999999998</v>
      </c>
      <c r="I34" s="66">
        <f>'RC'!H140</f>
        <v>-3379.875</v>
      </c>
      <c r="J34" s="66">
        <f>'RC'!I140</f>
        <v>-5634.5339999999997</v>
      </c>
      <c r="K34" s="66">
        <f>'RC'!J140</f>
        <v>-2856.9609999999998</v>
      </c>
      <c r="L34" s="66">
        <f>'RC'!K140</f>
        <v>-3431.7079999999996</v>
      </c>
    </row>
    <row r="35" spans="1:12" ht="15.75" customHeight="1" x14ac:dyDescent="0.15">
      <c r="A35" s="53" t="s">
        <v>385</v>
      </c>
      <c r="B35" s="52" t="s">
        <v>420</v>
      </c>
      <c r="C35" s="66">
        <f>-'RC'!B157</f>
        <v>8875.0313360968576</v>
      </c>
      <c r="D35" s="66">
        <f>-'RC'!C157</f>
        <v>2581.4471754243623</v>
      </c>
      <c r="E35" s="66">
        <f>-'RC'!D157</f>
        <v>39016.608451198561</v>
      </c>
      <c r="F35" s="66">
        <f>-'RC'!E157</f>
        <v>11277.048084430244</v>
      </c>
      <c r="G35" s="66">
        <f>-'RC'!F157</f>
        <v>345.75843328194031</v>
      </c>
      <c r="H35" s="66">
        <f>-'RC'!G157</f>
        <v>-4052.8962923849717</v>
      </c>
      <c r="I35" s="66">
        <f>-'RC'!H157</f>
        <v>-1500.6165400962191</v>
      </c>
      <c r="J35" s="66">
        <f>-'RC'!I157</f>
        <v>-1132.7098508128747</v>
      </c>
      <c r="K35" s="66">
        <f>-'RC'!J157</f>
        <v>-830.21339927768054</v>
      </c>
      <c r="L35" s="66">
        <f>-'RC'!K157</f>
        <v>-1013.1259380854191</v>
      </c>
    </row>
    <row r="36" spans="1:12" ht="15.75" customHeight="1" x14ac:dyDescent="0.15">
      <c r="A36" s="53" t="s">
        <v>385</v>
      </c>
      <c r="B36" s="52" t="s">
        <v>421</v>
      </c>
      <c r="C36" s="66">
        <f>-('RC'!B32-'RC'!C32)+('RC'!B72-'RC'!C72)</f>
        <v>-20955</v>
      </c>
      <c r="D36" s="66">
        <f>-('RC'!C32-'RC'!D32)+('RC'!C72-'RC'!D72)</f>
        <v>2971.9120000000003</v>
      </c>
      <c r="E36" s="66">
        <f>-('RC'!D32-'RC'!E32)+('RC'!D72-'RC'!E72)</f>
        <v>18027.566999999999</v>
      </c>
      <c r="F36" s="66">
        <f>-('RC'!E32-'RC'!F32)+('RC'!E72-'RC'!F72)</f>
        <v>-6513.5</v>
      </c>
      <c r="G36" s="66">
        <f>-('RC'!F32-'RC'!G32)+('RC'!F72-'RC'!G72)</f>
        <v>1456.1089999999999</v>
      </c>
      <c r="H36" s="66">
        <f>-('RC'!G32-'RC'!H32)+('RC'!G72-'RC'!H72)</f>
        <v>403.33199999999999</v>
      </c>
      <c r="I36" s="66">
        <f>-('RC'!H32-'RC'!I32)+('RC'!H72-'RC'!I72)</f>
        <v>-837.0619999999999</v>
      </c>
      <c r="J36" s="66">
        <f>-('RC'!I32-'RC'!J32)+('RC'!I72-'RC'!J72)</f>
        <v>1941.1869999999999</v>
      </c>
      <c r="K36" s="66">
        <f>-('RC'!J32-'RC'!K32)+('RC'!J72-'RC'!K72)</f>
        <v>-1439.5450000000001</v>
      </c>
      <c r="L36" s="66">
        <f>-('RC'!K32-'RC'!L32)+('RC'!K72-'RC'!L72)</f>
        <v>0</v>
      </c>
    </row>
    <row r="37" spans="1:12" ht="15.75" customHeight="1" x14ac:dyDescent="0.15">
      <c r="A37" s="53" t="s">
        <v>385</v>
      </c>
      <c r="B37" s="52" t="s">
        <v>422</v>
      </c>
      <c r="C37" s="66">
        <f>'RC'!B69-'RC'!C69</f>
        <v>722110</v>
      </c>
      <c r="D37" s="66">
        <f>'RC'!C69-'RC'!D69</f>
        <v>703519</v>
      </c>
      <c r="E37" s="66">
        <f>'RC'!D69-'RC'!E69</f>
        <v>-725617.17700000003</v>
      </c>
      <c r="F37" s="66">
        <f>'RC'!E69-'RC'!F69</f>
        <v>-54874.990999999922</v>
      </c>
      <c r="G37" s="66">
        <f>'RC'!F69-'RC'!G69</f>
        <v>780492.16799999995</v>
      </c>
      <c r="H37" s="66">
        <f>'RC'!G69-'RC'!H69</f>
        <v>0</v>
      </c>
      <c r="I37" s="66">
        <f>'RC'!H69-'RC'!I69</f>
        <v>-55779.955999999998</v>
      </c>
      <c r="J37" s="66">
        <f>'RC'!I69-'RC'!J69</f>
        <v>-24089.799999999996</v>
      </c>
      <c r="K37" s="66">
        <f>'RC'!J69-'RC'!K69</f>
        <v>-23406.14</v>
      </c>
      <c r="L37" s="66">
        <f>'RC'!K69-'RC'!L69</f>
        <v>103275.89599999999</v>
      </c>
    </row>
    <row r="38" spans="1:12" ht="15.75" customHeight="1" x14ac:dyDescent="0.15">
      <c r="A38" s="53" t="s">
        <v>385</v>
      </c>
      <c r="B38" s="52" t="s">
        <v>423</v>
      </c>
      <c r="C38" s="66">
        <f>'RC'!B70-'RC'!C70</f>
        <v>37027</v>
      </c>
      <c r="D38" s="66">
        <f>'RC'!C70-'RC'!D70</f>
        <v>37414.159</v>
      </c>
      <c r="E38" s="66">
        <f>'RC'!D70-'RC'!E70</f>
        <v>12666.575000000001</v>
      </c>
      <c r="F38" s="66">
        <f>'RC'!E70-'RC'!F70</f>
        <v>-6302.0689999999995</v>
      </c>
      <c r="G38" s="66">
        <f>'RC'!F70-'RC'!G70</f>
        <v>18706.413</v>
      </c>
      <c r="H38" s="66">
        <f>'RC'!G70-'RC'!H70</f>
        <v>-20459.546000000002</v>
      </c>
      <c r="I38" s="66">
        <f>'RC'!H70-'RC'!I70</f>
        <v>-79510.883000000002</v>
      </c>
      <c r="J38" s="66">
        <f>'RC'!I70-'RC'!J70</f>
        <v>20497.530999999988</v>
      </c>
      <c r="K38" s="66">
        <f>'RC'!J70-'RC'!K70</f>
        <v>-21027.276999999987</v>
      </c>
      <c r="L38" s="66">
        <f>'RC'!K70-'RC'!L70</f>
        <v>100505.09699999999</v>
      </c>
    </row>
    <row r="39" spans="1:12" ht="15.75" customHeight="1" x14ac:dyDescent="0.15">
      <c r="A39" s="53" t="s">
        <v>390</v>
      </c>
      <c r="B39" s="52" t="s">
        <v>424</v>
      </c>
      <c r="C39" s="66">
        <f>-('RC'!B30-'RC'!C30)</f>
        <v>0</v>
      </c>
      <c r="D39" s="66">
        <f>-('RC'!C30-'RC'!D30)</f>
        <v>0</v>
      </c>
      <c r="E39" s="66">
        <f>-('RC'!D30-'RC'!E30)</f>
        <v>0</v>
      </c>
      <c r="F39" s="66">
        <f>-('RC'!E30-'RC'!F30)</f>
        <v>0</v>
      </c>
      <c r="G39" s="66">
        <f>-('RC'!F30-'RC'!G30)</f>
        <v>0</v>
      </c>
      <c r="H39" s="66">
        <f>-('RC'!G30-'RC'!H30)</f>
        <v>0</v>
      </c>
      <c r="I39" s="66">
        <f>-('RC'!H30-'RC'!I30)</f>
        <v>0</v>
      </c>
      <c r="J39" s="66">
        <f>-('RC'!I30-'RC'!J30)</f>
        <v>0</v>
      </c>
      <c r="K39" s="66">
        <f>-('RC'!J30-'RC'!K30)</f>
        <v>0</v>
      </c>
      <c r="L39" s="66">
        <f>-('RC'!K30-'RC'!L30)</f>
        <v>0</v>
      </c>
    </row>
    <row r="40" spans="1:12" s="74" customFormat="1" ht="15.75" customHeight="1" x14ac:dyDescent="0.15">
      <c r="A40" s="56" t="s">
        <v>392</v>
      </c>
      <c r="B40" s="57" t="s">
        <v>425</v>
      </c>
      <c r="C40" s="19">
        <f>SUM(C34:C39)</f>
        <v>413171.03133609687</v>
      </c>
      <c r="D40" s="19">
        <f t="shared" ref="D40:L40" si="6">SUM(D34:D39)</f>
        <v>633250.51817542431</v>
      </c>
      <c r="E40" s="19">
        <f t="shared" si="6"/>
        <v>-697372.41654880147</v>
      </c>
      <c r="F40" s="19">
        <f t="shared" si="6"/>
        <v>-89879.77491556968</v>
      </c>
      <c r="G40" s="19">
        <f t="shared" si="6"/>
        <v>735555.63943328196</v>
      </c>
      <c r="H40" s="19">
        <f t="shared" si="6"/>
        <v>-28308.082292384974</v>
      </c>
      <c r="I40" s="19">
        <f t="shared" si="6"/>
        <v>-141008.39254009622</v>
      </c>
      <c r="J40" s="19">
        <f t="shared" si="6"/>
        <v>-8418.325850812882</v>
      </c>
      <c r="K40" s="19">
        <f t="shared" si="6"/>
        <v>-49560.136399277668</v>
      </c>
      <c r="L40" s="19">
        <f t="shared" si="6"/>
        <v>199336.15906191457</v>
      </c>
    </row>
    <row r="41" spans="1:12" s="74" customFormat="1" ht="15.75" customHeight="1" x14ac:dyDescent="0.15">
      <c r="A41" s="62" t="s">
        <v>392</v>
      </c>
      <c r="B41" s="63" t="s">
        <v>426</v>
      </c>
      <c r="C41" s="19">
        <f>C31+C40</f>
        <v>-1499279</v>
      </c>
      <c r="D41" s="19">
        <f t="shared" ref="D41:L41" si="7">D31+D40</f>
        <v>226885.60199999978</v>
      </c>
      <c r="E41" s="19">
        <f t="shared" si="7"/>
        <v>-620229.68099999975</v>
      </c>
      <c r="F41" s="19">
        <f t="shared" si="7"/>
        <v>-34225.784000000065</v>
      </c>
      <c r="G41" s="19">
        <f t="shared" si="7"/>
        <v>270691.01099999994</v>
      </c>
      <c r="H41" s="19">
        <f t="shared" si="7"/>
        <v>98974.758999999918</v>
      </c>
      <c r="I41" s="19">
        <f t="shared" si="7"/>
        <v>-82018.383000000045</v>
      </c>
      <c r="J41" s="19">
        <f t="shared" si="7"/>
        <v>44712.781999999919</v>
      </c>
      <c r="K41" s="19">
        <f t="shared" si="7"/>
        <v>33034.362000000147</v>
      </c>
      <c r="L41" s="19">
        <f t="shared" si="7"/>
        <v>-244346.91799999998</v>
      </c>
    </row>
    <row r="42" spans="1:12" ht="15.75" customHeight="1" x14ac:dyDescent="0.15">
      <c r="A42" s="51"/>
      <c r="B42" s="52" t="s">
        <v>427</v>
      </c>
    </row>
    <row r="43" spans="1:12" ht="15.75" customHeight="1" x14ac:dyDescent="0.15">
      <c r="A43" s="51" t="s">
        <v>390</v>
      </c>
      <c r="B43" s="52" t="s">
        <v>428</v>
      </c>
      <c r="C43" s="66">
        <f>'RC'!B79</f>
        <v>1076923</v>
      </c>
      <c r="D43" s="66">
        <f>'RC'!C79</f>
        <v>52270</v>
      </c>
      <c r="E43" s="66">
        <f>'RC'!D79</f>
        <v>3345.6149999999907</v>
      </c>
      <c r="F43" s="66">
        <f>'RC'!E79</f>
        <v>10181.986999999994</v>
      </c>
      <c r="G43" s="66">
        <f>'RC'!F79</f>
        <v>65610.638999999996</v>
      </c>
      <c r="H43" s="66">
        <f>'RC'!G79</f>
        <v>237217.19999999998</v>
      </c>
      <c r="I43" s="66">
        <f>'RC'!H79</f>
        <v>235309.67299999998</v>
      </c>
      <c r="J43" s="66">
        <f>'RC'!I79</f>
        <v>214344.40399999998</v>
      </c>
      <c r="K43" s="66">
        <f>'RC'!J79</f>
        <v>189690.899</v>
      </c>
      <c r="L43" s="66">
        <f>'RC'!K79</f>
        <v>172816.59099999999</v>
      </c>
    </row>
    <row r="44" spans="1:12" ht="15.75" customHeight="1" x14ac:dyDescent="0.15">
      <c r="A44" s="53" t="s">
        <v>390</v>
      </c>
      <c r="B44" s="52" t="s">
        <v>429</v>
      </c>
      <c r="C44" s="66">
        <f>-('RC'!B81-'RC'!C81)</f>
        <v>0</v>
      </c>
      <c r="D44" s="66">
        <f>-('RC'!C81-'RC'!D81)</f>
        <v>0</v>
      </c>
      <c r="E44" s="66">
        <f>-('RC'!D81-'RC'!E81)</f>
        <v>0</v>
      </c>
      <c r="F44" s="66">
        <f>-('RC'!E81-'RC'!F81)</f>
        <v>0</v>
      </c>
      <c r="G44" s="66">
        <f>-('RC'!F81-'RC'!G81)</f>
        <v>0</v>
      </c>
      <c r="H44" s="66">
        <f>-('RC'!G81-'RC'!H81)</f>
        <v>0</v>
      </c>
      <c r="I44" s="66">
        <f>-('RC'!H81-'RC'!I81)</f>
        <v>0</v>
      </c>
      <c r="J44" s="66">
        <f>-('RC'!I81-'RC'!J81)</f>
        <v>0</v>
      </c>
      <c r="K44" s="66">
        <f>-('RC'!J81-'RC'!K81)</f>
        <v>0</v>
      </c>
      <c r="L44" s="66">
        <f>-('RC'!K81-'RC'!L81)</f>
        <v>0</v>
      </c>
    </row>
    <row r="45" spans="1:12" ht="15.75" customHeight="1" x14ac:dyDescent="0.15">
      <c r="A45" s="53" t="s">
        <v>385</v>
      </c>
      <c r="B45" s="52" t="s">
        <v>430</v>
      </c>
      <c r="C45" s="66">
        <f>'RC'!B76-'RC'!C76</f>
        <v>437975</v>
      </c>
      <c r="D45" s="66">
        <f>'RC'!C76-'RC'!D76</f>
        <v>-68969.353000000003</v>
      </c>
      <c r="E45" s="66">
        <f>'RC'!D76-'RC'!E76</f>
        <v>621855.20600000001</v>
      </c>
      <c r="F45" s="66">
        <f>'RC'!E76-'RC'!F76</f>
        <v>-2196.2730000000001</v>
      </c>
      <c r="G45" s="66">
        <f>'RC'!F76-'RC'!G76</f>
        <v>-77071.239000000001</v>
      </c>
      <c r="H45" s="66">
        <f>'RC'!G76-'RC'!H76</f>
        <v>-6893.6900000000023</v>
      </c>
      <c r="I45" s="66">
        <f>'RC'!H76-'RC'!I76</f>
        <v>80208.762000000002</v>
      </c>
      <c r="J45" s="66">
        <f>'RC'!I76-'RC'!J76</f>
        <v>6933.8879999999999</v>
      </c>
      <c r="K45" s="66">
        <f>'RC'!J76-'RC'!K76</f>
        <v>8489.7789999999986</v>
      </c>
      <c r="L45" s="66">
        <f>'RC'!K76-'RC'!L76</f>
        <v>-11756.079999999998</v>
      </c>
    </row>
    <row r="46" spans="1:12" ht="15.75" customHeight="1" x14ac:dyDescent="0.15">
      <c r="A46" s="53" t="s">
        <v>385</v>
      </c>
      <c r="B46" s="52" t="s">
        <v>431</v>
      </c>
      <c r="C46" s="66">
        <f>'RC'!B78-'RC'!C78</f>
        <v>0</v>
      </c>
      <c r="D46" s="66">
        <f>'RC'!C78-'RC'!D78</f>
        <v>-0.67399999999906868</v>
      </c>
      <c r="E46" s="66">
        <f>'RC'!D78-'RC'!E78</f>
        <v>0</v>
      </c>
      <c r="F46" s="66">
        <f>'RC'!E78-'RC'!F78</f>
        <v>0</v>
      </c>
      <c r="G46" s="66">
        <f>'RC'!F78-'RC'!G78</f>
        <v>8412.3159999999916</v>
      </c>
      <c r="H46" s="66">
        <f>'RC'!G78-'RC'!H78</f>
        <v>0</v>
      </c>
      <c r="I46" s="66">
        <f>'RC'!H78-'RC'!I78</f>
        <v>0</v>
      </c>
      <c r="J46" s="66">
        <f>'RC'!I78-'RC'!J78</f>
        <v>0</v>
      </c>
      <c r="K46" s="66">
        <f>'RC'!J78-'RC'!K78</f>
        <v>0</v>
      </c>
      <c r="L46" s="66">
        <f>'RC'!K78-'RC'!L78</f>
        <v>91829.358000000007</v>
      </c>
    </row>
    <row r="47" spans="1:12" ht="15.75" customHeight="1" x14ac:dyDescent="0.15">
      <c r="A47" s="53" t="s">
        <v>385</v>
      </c>
      <c r="B47" s="52" t="s">
        <v>432</v>
      </c>
      <c r="C47" s="66">
        <f>'RC'!B83-'RC'!C83</f>
        <v>0</v>
      </c>
      <c r="D47" s="66">
        <f>'RC'!C83-'RC'!D83</f>
        <v>0</v>
      </c>
      <c r="E47" s="66">
        <f>'RC'!D83-'RC'!E83</f>
        <v>0</v>
      </c>
      <c r="F47" s="66">
        <f>'RC'!E83-'RC'!F83</f>
        <v>0</v>
      </c>
      <c r="G47" s="66">
        <f>'RC'!F83-'RC'!G83</f>
        <v>0</v>
      </c>
      <c r="H47" s="66">
        <f>'RC'!G83-'RC'!H83</f>
        <v>0</v>
      </c>
      <c r="I47" s="66">
        <f>'RC'!H83-'RC'!I83</f>
        <v>0</v>
      </c>
      <c r="J47" s="66">
        <f>'RC'!I83-'RC'!J83</f>
        <v>0</v>
      </c>
      <c r="K47" s="66">
        <f>'RC'!J83-'RC'!K83</f>
        <v>0</v>
      </c>
      <c r="L47" s="66">
        <f>'RC'!K83-'RC'!L83</f>
        <v>0</v>
      </c>
    </row>
    <row r="48" spans="1:12" s="74" customFormat="1" ht="15.75" customHeight="1" x14ac:dyDescent="0.15">
      <c r="A48" s="64" t="s">
        <v>392</v>
      </c>
      <c r="B48" s="50" t="s">
        <v>433</v>
      </c>
      <c r="C48" s="19">
        <f>SUM(C43:C47)</f>
        <v>1514898</v>
      </c>
      <c r="D48" s="19">
        <f t="shared" ref="D48:L48" si="8">SUM(D43:D47)</f>
        <v>-16700.027000000002</v>
      </c>
      <c r="E48" s="19">
        <f t="shared" si="8"/>
        <v>625200.821</v>
      </c>
      <c r="F48" s="19">
        <f t="shared" si="8"/>
        <v>7985.7139999999936</v>
      </c>
      <c r="G48" s="19">
        <f t="shared" si="8"/>
        <v>-3048.2840000000142</v>
      </c>
      <c r="H48" s="19">
        <f t="shared" si="8"/>
        <v>230323.50999999998</v>
      </c>
      <c r="I48" s="19">
        <f t="shared" si="8"/>
        <v>315518.435</v>
      </c>
      <c r="J48" s="19">
        <f t="shared" si="8"/>
        <v>221278.29199999999</v>
      </c>
      <c r="K48" s="19">
        <f t="shared" si="8"/>
        <v>198180.67800000001</v>
      </c>
      <c r="L48" s="19">
        <f t="shared" si="8"/>
        <v>252889.86900000001</v>
      </c>
    </row>
    <row r="49" spans="1:12" s="74" customFormat="1" ht="15.75" customHeight="1" x14ac:dyDescent="0.15">
      <c r="A49" s="54" t="s">
        <v>392</v>
      </c>
      <c r="B49" s="55" t="s">
        <v>434</v>
      </c>
      <c r="C49" s="19">
        <f>C41+C48</f>
        <v>15619</v>
      </c>
      <c r="D49" s="19">
        <f t="shared" ref="D49:L49" si="9">D41+D48</f>
        <v>210185.57499999978</v>
      </c>
      <c r="E49" s="19">
        <f t="shared" si="9"/>
        <v>4971.1400000002468</v>
      </c>
      <c r="F49" s="19">
        <f t="shared" si="9"/>
        <v>-26240.070000000072</v>
      </c>
      <c r="G49" s="19">
        <f t="shared" si="9"/>
        <v>267642.72699999996</v>
      </c>
      <c r="H49" s="19">
        <f t="shared" si="9"/>
        <v>329298.26899999991</v>
      </c>
      <c r="I49" s="19">
        <f t="shared" si="9"/>
        <v>233500.05199999997</v>
      </c>
      <c r="J49" s="19">
        <f t="shared" si="9"/>
        <v>265991.07399999991</v>
      </c>
      <c r="K49" s="19">
        <f t="shared" si="9"/>
        <v>231215.04000000015</v>
      </c>
      <c r="L49" s="19">
        <f t="shared" si="9"/>
        <v>8542.95100000003</v>
      </c>
    </row>
    <row r="51" spans="1:12" s="74" customFormat="1" ht="15.75" customHeight="1" x14ac:dyDescent="0.15">
      <c r="A51" s="67"/>
      <c r="B51" s="50" t="s">
        <v>435</v>
      </c>
    </row>
    <row r="52" spans="1:12" ht="15.75" customHeight="1" x14ac:dyDescent="0.15">
      <c r="A52" s="68" t="s">
        <v>385</v>
      </c>
      <c r="B52" s="73" t="s">
        <v>436</v>
      </c>
      <c r="C52" s="66">
        <f>'RC'!B31-'RC'!C31</f>
        <v>27641</v>
      </c>
      <c r="D52" s="66">
        <f>'RC'!C31-'RC'!D31</f>
        <v>189087.489</v>
      </c>
      <c r="E52" s="66">
        <f>'RC'!D31-'RC'!E31</f>
        <v>6125.5249999999942</v>
      </c>
      <c r="F52" s="66">
        <f>'RC'!E31-'RC'!F31</f>
        <v>-36422.057000000001</v>
      </c>
      <c r="G52" s="66">
        <f>'RC'!F31-'RC'!G31</f>
        <v>29989.275999999998</v>
      </c>
      <c r="H52" s="66">
        <f>'RC'!G31-'RC'!H31</f>
        <v>88081.06700000001</v>
      </c>
      <c r="I52" s="66">
        <f>'RC'!H31-'RC'!I31</f>
        <v>-29809.775000000005</v>
      </c>
      <c r="J52" s="66">
        <f>'RC'!I31-'RC'!J31</f>
        <v>21646.505000000005</v>
      </c>
      <c r="K52" s="66">
        <f>'RC'!J31-'RC'!K31</f>
        <v>19524.019</v>
      </c>
      <c r="L52" s="66">
        <f>'RC'!K31-'RC'!L31</f>
        <v>8542.9509999999991</v>
      </c>
    </row>
    <row r="53" spans="1:12" ht="15.75" customHeight="1" x14ac:dyDescent="0.15">
      <c r="A53" s="70" t="s">
        <v>390</v>
      </c>
      <c r="B53" s="69" t="s">
        <v>437</v>
      </c>
      <c r="C53" s="66">
        <f>-('RC'!B71-'RC'!C71)</f>
        <v>0</v>
      </c>
      <c r="D53" s="66">
        <f>-('RC'!C71-'RC'!D71)</f>
        <v>0</v>
      </c>
      <c r="E53" s="66">
        <f>-('RC'!D71-'RC'!E71)</f>
        <v>0</v>
      </c>
      <c r="F53" s="66">
        <f>-('RC'!E71-'RC'!F71)</f>
        <v>0</v>
      </c>
      <c r="G53" s="66">
        <f>-('RC'!F71-'RC'!G71)</f>
        <v>0</v>
      </c>
      <c r="H53" s="66">
        <f>-('RC'!G71-'RC'!H71)</f>
        <v>0</v>
      </c>
      <c r="I53" s="66">
        <f>-('RC'!H71-'RC'!I71)</f>
        <v>0</v>
      </c>
      <c r="J53" s="66">
        <f>-('RC'!I71-'RC'!J71)</f>
        <v>0</v>
      </c>
      <c r="K53" s="66">
        <f>-('RC'!J71-'RC'!K71)</f>
        <v>0</v>
      </c>
      <c r="L53" s="66">
        <f>-('RC'!K71-'RC'!L71)</f>
        <v>0</v>
      </c>
    </row>
    <row r="54" spans="1:12" ht="15.75" customHeight="1" x14ac:dyDescent="0.15">
      <c r="A54" s="68" t="s">
        <v>392</v>
      </c>
      <c r="B54" s="69" t="s">
        <v>438</v>
      </c>
      <c r="C54" s="66">
        <f>C52+C53</f>
        <v>27641</v>
      </c>
      <c r="D54" s="66">
        <f t="shared" ref="D54:L54" si="10">D52+D53</f>
        <v>189087.489</v>
      </c>
      <c r="E54" s="66">
        <f t="shared" si="10"/>
        <v>6125.5249999999942</v>
      </c>
      <c r="F54" s="66">
        <f t="shared" si="10"/>
        <v>-36422.057000000001</v>
      </c>
      <c r="G54" s="66">
        <f t="shared" si="10"/>
        <v>29989.275999999998</v>
      </c>
      <c r="H54" s="66">
        <f t="shared" si="10"/>
        <v>88081.06700000001</v>
      </c>
      <c r="I54" s="66">
        <f t="shared" si="10"/>
        <v>-29809.775000000005</v>
      </c>
      <c r="J54" s="66">
        <f t="shared" si="10"/>
        <v>21646.505000000005</v>
      </c>
      <c r="K54" s="66">
        <f t="shared" si="10"/>
        <v>19524.019</v>
      </c>
      <c r="L54" s="66">
        <f t="shared" si="10"/>
        <v>8542.9509999999991</v>
      </c>
    </row>
    <row r="55" spans="1:12" s="74" customFormat="1" ht="15.75" customHeight="1" x14ac:dyDescent="0.15">
      <c r="A55" s="71" t="s">
        <v>392</v>
      </c>
      <c r="B55" s="72" t="s">
        <v>439</v>
      </c>
      <c r="C55" s="19">
        <f>C49</f>
        <v>15619</v>
      </c>
      <c r="D55" s="19">
        <f t="shared" ref="D55:L55" si="11">D49</f>
        <v>210185.57499999978</v>
      </c>
      <c r="E55" s="19">
        <f t="shared" si="11"/>
        <v>4971.1400000002468</v>
      </c>
      <c r="F55" s="19">
        <f t="shared" si="11"/>
        <v>-26240.070000000072</v>
      </c>
      <c r="G55" s="19">
        <f t="shared" si="11"/>
        <v>267642.72699999996</v>
      </c>
      <c r="H55" s="19">
        <f t="shared" si="11"/>
        <v>329298.26899999991</v>
      </c>
      <c r="I55" s="19">
        <f t="shared" si="11"/>
        <v>233500.05199999997</v>
      </c>
      <c r="J55" s="19">
        <f t="shared" si="11"/>
        <v>265991.07399999991</v>
      </c>
      <c r="K55" s="19">
        <f t="shared" si="11"/>
        <v>231215.04000000015</v>
      </c>
      <c r="L55" s="19">
        <f t="shared" si="11"/>
        <v>8542.95100000003</v>
      </c>
    </row>
    <row r="56" spans="1:12" s="74" customFormat="1" ht="15.75" customHeight="1" x14ac:dyDescent="0.15">
      <c r="A56" s="67"/>
      <c r="B56" s="72" t="s">
        <v>440</v>
      </c>
      <c r="C56" s="19">
        <f>C54-C55</f>
        <v>12022</v>
      </c>
      <c r="D56" s="19">
        <f t="shared" ref="D56:L56" si="12">D54-D55</f>
        <v>-21098.085999999777</v>
      </c>
      <c r="E56" s="19">
        <f t="shared" si="12"/>
        <v>1154.3849999997474</v>
      </c>
      <c r="F56" s="19">
        <f t="shared" si="12"/>
        <v>-10181.986999999928</v>
      </c>
      <c r="G56" s="19">
        <f t="shared" si="12"/>
        <v>-237653.45099999994</v>
      </c>
      <c r="H56" s="19">
        <f t="shared" si="12"/>
        <v>-241217.2019999999</v>
      </c>
      <c r="I56" s="19">
        <f t="shared" si="12"/>
        <v>-263309.82699999999</v>
      </c>
      <c r="J56" s="19">
        <f t="shared" si="12"/>
        <v>-244344.5689999999</v>
      </c>
      <c r="K56" s="19">
        <f t="shared" si="12"/>
        <v>-211691.02100000015</v>
      </c>
      <c r="L56" s="19">
        <f t="shared" si="12"/>
        <v>-3.092281986027956E-11</v>
      </c>
    </row>
    <row r="57" spans="1:12" ht="15.75" customHeight="1" x14ac:dyDescent="0.15">
      <c r="A57" s="67"/>
      <c r="B57" s="72" t="s">
        <v>441</v>
      </c>
    </row>
    <row r="58" spans="1:12" ht="15.75" customHeight="1" x14ac:dyDescent="0.15">
      <c r="A58" s="68" t="s">
        <v>385</v>
      </c>
      <c r="B58" s="69" t="s">
        <v>442</v>
      </c>
      <c r="C58" s="66">
        <f>C8</f>
        <v>51396.968663903142</v>
      </c>
      <c r="D58" s="66">
        <f t="shared" ref="D58:L58" si="13">D8</f>
        <v>79023.552824575643</v>
      </c>
      <c r="E58" s="66">
        <f t="shared" si="13"/>
        <v>55827.115548801557</v>
      </c>
      <c r="F58" s="66">
        <f t="shared" si="13"/>
        <v>42824.049915569682</v>
      </c>
      <c r="G58" s="66">
        <f t="shared" si="13"/>
        <v>35670.763566718022</v>
      </c>
      <c r="H58" s="66">
        <f t="shared" si="13"/>
        <v>29835.975292384901</v>
      </c>
      <c r="I58" s="66">
        <f t="shared" si="13"/>
        <v>37723.298540096192</v>
      </c>
      <c r="J58" s="66">
        <f t="shared" si="13"/>
        <v>86873.759850812843</v>
      </c>
      <c r="K58" s="66">
        <f t="shared" si="13"/>
        <v>87363.103399277767</v>
      </c>
      <c r="L58" s="66">
        <f t="shared" si="13"/>
        <v>66140.243938085376</v>
      </c>
    </row>
    <row r="59" spans="1:12" ht="15.75" customHeight="1" x14ac:dyDescent="0.15">
      <c r="A59" s="68" t="s">
        <v>390</v>
      </c>
      <c r="B59" s="69" t="s">
        <v>443</v>
      </c>
      <c r="C59" s="66">
        <f>-C6</f>
        <v>-51303</v>
      </c>
      <c r="D59" s="66">
        <f t="shared" ref="D59:L59" si="14">-D6</f>
        <v>-32661</v>
      </c>
      <c r="E59" s="66">
        <f t="shared" si="14"/>
        <v>-35625.263000000006</v>
      </c>
      <c r="F59" s="66">
        <f t="shared" si="14"/>
        <v>-31971.206999999999</v>
      </c>
      <c r="G59" s="66">
        <f t="shared" si="14"/>
        <v>-26000.365000000002</v>
      </c>
      <c r="H59" s="66">
        <f t="shared" si="14"/>
        <v>-21147.856</v>
      </c>
      <c r="I59" s="66">
        <f t="shared" si="14"/>
        <v>-26935.278000000002</v>
      </c>
      <c r="J59" s="66">
        <f t="shared" si="14"/>
        <v>-31141.093000000001</v>
      </c>
      <c r="K59" s="66">
        <f t="shared" si="14"/>
        <v>-29022.259000000002</v>
      </c>
      <c r="L59" s="66">
        <f t="shared" si="14"/>
        <v>-22820.98</v>
      </c>
    </row>
    <row r="60" spans="1:12" ht="15.75" customHeight="1" x14ac:dyDescent="0.15">
      <c r="A60" s="68" t="s">
        <v>390</v>
      </c>
      <c r="B60" s="69" t="s">
        <v>613</v>
      </c>
      <c r="C60" s="66">
        <f>('RC'!B162-'RC'!C162)*-1</f>
        <v>-1456569</v>
      </c>
      <c r="D60" s="66">
        <f>('RC'!C162-'RC'!D162)*-1</f>
        <v>-323077.82699999993</v>
      </c>
      <c r="E60" s="66">
        <f>('RC'!D162-'RC'!E162)*-1</f>
        <v>10801.490999999951</v>
      </c>
      <c r="F60" s="66">
        <f>('RC'!E162-'RC'!F162)*-1</f>
        <v>36114.903000000049</v>
      </c>
      <c r="G60" s="66">
        <f>('RC'!F162-'RC'!G162)*-1</f>
        <v>-123873.48200000008</v>
      </c>
      <c r="H60" s="66">
        <f>('RC'!G162-'RC'!H162)*-1</f>
        <v>54039.37300000008</v>
      </c>
      <c r="I60" s="66">
        <f>('RC'!H162-'RC'!I162)*-1</f>
        <v>13776.5989999999</v>
      </c>
      <c r="J60" s="66">
        <f>('RC'!I162-'RC'!J162)*-1</f>
        <v>-2206.3259999999718</v>
      </c>
      <c r="K60" s="66">
        <f>('RC'!J162-'RC'!K162)*-1</f>
        <v>19758.812000000034</v>
      </c>
      <c r="L60" s="66">
        <f>('RC'!K162-'RC'!L162)*-1</f>
        <v>-249554.54300000001</v>
      </c>
    </row>
    <row r="61" spans="1:12" ht="15.75" customHeight="1" x14ac:dyDescent="0.15">
      <c r="A61" s="68" t="s">
        <v>390</v>
      </c>
      <c r="B61" s="69" t="s">
        <v>614</v>
      </c>
      <c r="C61" s="66">
        <f>('RC'!B27-'RC'!C27)*-1</f>
        <v>-455975</v>
      </c>
      <c r="D61" s="66">
        <f>('RC'!C27-'RC'!D27)*-1</f>
        <v>280588.50499999989</v>
      </c>
      <c r="E61" s="66">
        <f>('RC'!D27-'RC'!E27)*-1</f>
        <v>-171797.09399999981</v>
      </c>
      <c r="F61" s="66">
        <f>('RC'!E27-'RC'!F27)*-1</f>
        <v>-27650.428000000073</v>
      </c>
      <c r="G61" s="66">
        <f>('RC'!F27-'RC'!G27)*-1</f>
        <v>-387223.18200000003</v>
      </c>
      <c r="H61" s="66">
        <f>('RC'!G27-'RC'!H27)*-1</f>
        <v>28576.89499999999</v>
      </c>
      <c r="I61" s="66">
        <f>('RC'!H27-'RC'!I27)*-1</f>
        <v>12974.170999999973</v>
      </c>
      <c r="J61" s="66">
        <f>('RC'!I27-'RC'!J27)*-1</f>
        <v>7225.2440000000061</v>
      </c>
      <c r="K61" s="66">
        <f>('RC'!J27-'RC'!K27)*-1</f>
        <v>-33.425999999977648</v>
      </c>
      <c r="L61" s="66">
        <f>('RC'!K27-'RC'!L27)*-1</f>
        <v>-302513.685</v>
      </c>
    </row>
    <row r="62" spans="1:12" ht="15.75" customHeight="1" x14ac:dyDescent="0.15">
      <c r="A62" s="68" t="s">
        <v>385</v>
      </c>
      <c r="B62" s="69" t="s">
        <v>616</v>
      </c>
      <c r="C62" s="66">
        <f>'RC'!B66-'RC'!C66</f>
        <v>0</v>
      </c>
      <c r="D62" s="66">
        <f>'RC'!C66-'RC'!D66</f>
        <v>-395029.18599999999</v>
      </c>
      <c r="E62" s="66">
        <f>'RC'!D66-'RC'!E66</f>
        <v>220748.75699999998</v>
      </c>
      <c r="F62" s="66">
        <f>'RC'!E66-'RC'!F66</f>
        <v>32754.021000000008</v>
      </c>
      <c r="G62" s="66">
        <f>'RC'!F66-'RC'!G66</f>
        <v>37594.959999999992</v>
      </c>
      <c r="H62" s="66">
        <f>'RC'!G66-'RC'!H66</f>
        <v>35978.453999999998</v>
      </c>
      <c r="I62" s="66">
        <f>'RC'!H66-'RC'!I66</f>
        <v>21451.219000000005</v>
      </c>
      <c r="J62" s="66">
        <f>'RC'!I66-'RC'!J66</f>
        <v>-7620.476999999999</v>
      </c>
      <c r="K62" s="66">
        <f>'RC'!J66-'RC'!K66</f>
        <v>4528.2680000000037</v>
      </c>
      <c r="L62" s="66">
        <f>'RC'!K66-'RC'!L66</f>
        <v>49593.983999999997</v>
      </c>
    </row>
    <row r="63" spans="1:12" ht="15.75" customHeight="1" x14ac:dyDescent="0.15">
      <c r="A63" s="68" t="s">
        <v>385</v>
      </c>
      <c r="B63" s="85" t="s">
        <v>615</v>
      </c>
      <c r="C63" s="66">
        <f>'RC'!B80-'RC'!C80</f>
        <v>0</v>
      </c>
      <c r="D63" s="66">
        <f>'RC'!C80-'RC'!D80</f>
        <v>-15208.960999999999</v>
      </c>
      <c r="E63" s="66">
        <f>'RC'!D80-'RC'!E80</f>
        <v>-2812.2710000000006</v>
      </c>
      <c r="F63" s="66">
        <f>'RC'!E80-'RC'!F80</f>
        <v>3582.652</v>
      </c>
      <c r="G63" s="66">
        <f>'RC'!F80-'RC'!G80</f>
        <v>-1033.3230000000003</v>
      </c>
      <c r="H63" s="66">
        <f>'RC'!G80-'RC'!H80</f>
        <v>0</v>
      </c>
      <c r="I63" s="66">
        <f>'RC'!H80-'RC'!I80</f>
        <v>0</v>
      </c>
      <c r="J63" s="66">
        <f>'RC'!I80-'RC'!J80</f>
        <v>0</v>
      </c>
      <c r="K63" s="66">
        <f>'RC'!J80-'RC'!K80</f>
        <v>0</v>
      </c>
      <c r="L63" s="66">
        <f>'RC'!K80-'RC'!L80</f>
        <v>15471.903</v>
      </c>
    </row>
    <row r="64" spans="1:12" ht="15.75" customHeight="1" x14ac:dyDescent="0.15">
      <c r="A64" s="68" t="s">
        <v>392</v>
      </c>
      <c r="B64" s="69" t="s">
        <v>452</v>
      </c>
      <c r="C64" s="66">
        <f>SUM(C58:C63)</f>
        <v>-1912450.0313360968</v>
      </c>
      <c r="D64" s="66">
        <f t="shared" ref="D64:L64" si="15">SUM(D58:D63)</f>
        <v>-406364.91617542441</v>
      </c>
      <c r="E64" s="66">
        <f t="shared" si="15"/>
        <v>77142.735548801662</v>
      </c>
      <c r="F64" s="66">
        <f t="shared" si="15"/>
        <v>55653.990915569666</v>
      </c>
      <c r="G64" s="66">
        <f t="shared" si="15"/>
        <v>-464864.62843328202</v>
      </c>
      <c r="H64" s="66">
        <f t="shared" si="15"/>
        <v>127282.84129238497</v>
      </c>
      <c r="I64" s="66">
        <f t="shared" si="15"/>
        <v>58990.009540096064</v>
      </c>
      <c r="J64" s="66">
        <f t="shared" si="15"/>
        <v>53131.107850812878</v>
      </c>
      <c r="K64" s="66">
        <f t="shared" si="15"/>
        <v>82594.498399277829</v>
      </c>
      <c r="L64" s="66">
        <f t="shared" si="15"/>
        <v>-443683.07706191461</v>
      </c>
    </row>
    <row r="65" spans="1:12" s="74" customFormat="1" ht="15.75" customHeight="1" x14ac:dyDescent="0.15">
      <c r="A65" s="71" t="s">
        <v>392</v>
      </c>
      <c r="B65" s="72" t="s">
        <v>444</v>
      </c>
      <c r="C65" s="19">
        <f>C31</f>
        <v>-1912450.0313360968</v>
      </c>
      <c r="D65" s="19">
        <f t="shared" ref="D65:L65" si="16">D31</f>
        <v>-406364.91617542453</v>
      </c>
      <c r="E65" s="19">
        <f t="shared" si="16"/>
        <v>77142.73554880172</v>
      </c>
      <c r="F65" s="19">
        <f t="shared" si="16"/>
        <v>55653.990915569615</v>
      </c>
      <c r="G65" s="19">
        <f t="shared" si="16"/>
        <v>-464864.62843328202</v>
      </c>
      <c r="H65" s="19">
        <f t="shared" si="16"/>
        <v>127282.8412923849</v>
      </c>
      <c r="I65" s="19">
        <f t="shared" si="16"/>
        <v>58990.009540096173</v>
      </c>
      <c r="J65" s="19">
        <f t="shared" si="16"/>
        <v>53131.107850812805</v>
      </c>
      <c r="K65" s="19">
        <f t="shared" si="16"/>
        <v>82594.498399277814</v>
      </c>
      <c r="L65" s="19">
        <f t="shared" si="16"/>
        <v>-443683.07706191455</v>
      </c>
    </row>
    <row r="66" spans="1:12" s="74" customFormat="1" ht="15.75" customHeight="1" x14ac:dyDescent="0.15">
      <c r="A66" s="67"/>
      <c r="B66" s="72" t="s">
        <v>445</v>
      </c>
      <c r="C66" s="19">
        <f>C64-C65</f>
        <v>0</v>
      </c>
      <c r="D66" s="19">
        <f t="shared" ref="D66:L66" si="17">D64-D65</f>
        <v>0</v>
      </c>
      <c r="E66" s="19">
        <f t="shared" si="17"/>
        <v>0</v>
      </c>
      <c r="F66" s="19">
        <f t="shared" si="17"/>
        <v>0</v>
      </c>
      <c r="G66" s="19">
        <f t="shared" si="17"/>
        <v>0</v>
      </c>
      <c r="H66" s="19">
        <f t="shared" si="17"/>
        <v>0</v>
      </c>
      <c r="I66" s="19">
        <f t="shared" si="17"/>
        <v>-1.0913936421275139E-10</v>
      </c>
      <c r="J66" s="19">
        <f t="shared" si="17"/>
        <v>7.2759576141834259E-11</v>
      </c>
      <c r="K66" s="19">
        <f t="shared" si="17"/>
        <v>0</v>
      </c>
      <c r="L66" s="19">
        <f t="shared" si="17"/>
        <v>0</v>
      </c>
    </row>
    <row r="67" spans="1:12" ht="15.75" customHeight="1" x14ac:dyDescent="0.15">
      <c r="A67" s="67"/>
      <c r="B67" s="72" t="s">
        <v>446</v>
      </c>
    </row>
    <row r="68" spans="1:12" ht="15.75" customHeight="1" x14ac:dyDescent="0.15">
      <c r="A68" s="68" t="s">
        <v>385</v>
      </c>
      <c r="B68" s="69" t="s">
        <v>447</v>
      </c>
      <c r="C68" s="66">
        <f>'RC'!B150</f>
        <v>-324917</v>
      </c>
      <c r="D68" s="66">
        <f>'RC'!C150</f>
        <v>-64292</v>
      </c>
      <c r="E68" s="66">
        <f>'RC'!D150</f>
        <v>17752.471000000107</v>
      </c>
      <c r="F68" s="66">
        <f>'RC'!E150</f>
        <v>-11336.372000000078</v>
      </c>
      <c r="G68" s="66">
        <f>'RC'!F150</f>
        <v>-55428.652000000031</v>
      </c>
      <c r="H68" s="66">
        <f>'RC'!G150</f>
        <v>436.25099999992744</v>
      </c>
      <c r="I68" s="66">
        <f>'RC'!H150</f>
        <v>5907.5289999999695</v>
      </c>
      <c r="J68" s="66">
        <f>'RC'!I150</f>
        <v>48965.422999999973</v>
      </c>
      <c r="K68" s="66">
        <f>'RC'!J150</f>
        <v>54653.670000000086</v>
      </c>
      <c r="L68" s="66">
        <f>'RC'!K150</f>
        <v>38874.429999999957</v>
      </c>
    </row>
    <row r="69" spans="1:12" ht="15.75" customHeight="1" x14ac:dyDescent="0.15">
      <c r="A69" s="68" t="s">
        <v>390</v>
      </c>
      <c r="B69" s="69" t="s">
        <v>448</v>
      </c>
      <c r="C69" s="66">
        <f>SUM(C60:C63)</f>
        <v>-1912544</v>
      </c>
      <c r="D69" s="66">
        <f t="shared" ref="D69:L69" si="18">SUM(D60:D63)</f>
        <v>-452727.46900000004</v>
      </c>
      <c r="E69" s="66">
        <f t="shared" si="18"/>
        <v>56940.883000000125</v>
      </c>
      <c r="F69" s="66">
        <f t="shared" si="18"/>
        <v>44801.147999999986</v>
      </c>
      <c r="G69" s="66">
        <f t="shared" si="18"/>
        <v>-474535.02700000012</v>
      </c>
      <c r="H69" s="66">
        <f t="shared" si="18"/>
        <v>118594.72200000007</v>
      </c>
      <c r="I69" s="66">
        <f t="shared" si="18"/>
        <v>48201.988999999878</v>
      </c>
      <c r="J69" s="66">
        <f t="shared" si="18"/>
        <v>-2601.5589999999647</v>
      </c>
      <c r="K69" s="66">
        <f t="shared" si="18"/>
        <v>24253.65400000006</v>
      </c>
      <c r="L69" s="66">
        <f t="shared" si="18"/>
        <v>-487002.34100000001</v>
      </c>
    </row>
    <row r="70" spans="1:12" ht="15.75" customHeight="1" x14ac:dyDescent="0.15">
      <c r="A70" s="68"/>
      <c r="B70" s="69" t="s">
        <v>449</v>
      </c>
      <c r="C70" s="66">
        <f>SUM(C71:C74)</f>
        <v>738182</v>
      </c>
      <c r="D70" s="66">
        <f t="shared" ref="D70:L70" si="19">SUM(D71:D74)</f>
        <v>743905.071</v>
      </c>
      <c r="E70" s="66">
        <f t="shared" si="19"/>
        <v>-694923.03500000003</v>
      </c>
      <c r="F70" s="66">
        <f t="shared" si="19"/>
        <v>-67690.559999999983</v>
      </c>
      <c r="G70" s="66">
        <f t="shared" si="19"/>
        <v>800654.69</v>
      </c>
      <c r="H70" s="66">
        <f t="shared" si="19"/>
        <v>-20056.214000000004</v>
      </c>
      <c r="I70" s="66">
        <f t="shared" si="19"/>
        <v>-136127.90099999998</v>
      </c>
      <c r="J70" s="66">
        <f t="shared" si="19"/>
        <v>-1651.0820000000003</v>
      </c>
      <c r="K70" s="66">
        <f t="shared" si="19"/>
        <v>-45872.961999999985</v>
      </c>
      <c r="L70" s="66">
        <f t="shared" si="19"/>
        <v>203780.99299999999</v>
      </c>
    </row>
    <row r="71" spans="1:12" ht="15.75" customHeight="1" x14ac:dyDescent="0.15">
      <c r="A71" s="68"/>
      <c r="B71" s="69" t="s">
        <v>620</v>
      </c>
      <c r="C71" s="66">
        <f>'RC'!B69+'RC'!B70-'RC'!C69-'RC'!C70</f>
        <v>759137</v>
      </c>
      <c r="D71" s="66">
        <f>'RC'!C69+'RC'!C70-'RC'!D69-'RC'!D70</f>
        <v>740933.15899999999</v>
      </c>
      <c r="E71" s="66">
        <f>'RC'!D69+'RC'!D70-'RC'!E69-'RC'!E70</f>
        <v>-712950.60199999996</v>
      </c>
      <c r="F71" s="66">
        <f>'RC'!E69+'RC'!E70-'RC'!F69-'RC'!F70</f>
        <v>-61177.059999999976</v>
      </c>
      <c r="G71" s="66">
        <f>'RC'!F69+'RC'!F70-'RC'!G69-'RC'!G70</f>
        <v>799198.58099999989</v>
      </c>
      <c r="H71" s="66">
        <f>'RC'!G69+'RC'!G70-'RC'!H69-'RC'!H70</f>
        <v>-20459.546000000002</v>
      </c>
      <c r="I71" s="66">
        <f>'RC'!H69+'RC'!H70-'RC'!I69-'RC'!I70</f>
        <v>-135290.83899999998</v>
      </c>
      <c r="J71" s="66">
        <f>'RC'!I69+'RC'!I70-'RC'!J69-'RC'!J70</f>
        <v>-3592.2690000000002</v>
      </c>
      <c r="K71" s="66">
        <f>'RC'!J69+'RC'!J70-'RC'!K69-'RC'!K70</f>
        <v>-44433.416999999987</v>
      </c>
      <c r="L71" s="66">
        <f>'RC'!K69+'RC'!K70-'RC'!L69-'RC'!L70</f>
        <v>203780.99299999999</v>
      </c>
    </row>
    <row r="72" spans="1:12" ht="15.75" customHeight="1" x14ac:dyDescent="0.15">
      <c r="A72" s="68"/>
      <c r="B72" s="69" t="s">
        <v>619</v>
      </c>
      <c r="C72" s="66">
        <f>'RC'!B72-'RC'!C72</f>
        <v>-14051</v>
      </c>
      <c r="D72" s="66">
        <f>'RC'!C72-'RC'!D72</f>
        <v>1275.268</v>
      </c>
      <c r="E72" s="66">
        <f>'RC'!D72-'RC'!E72</f>
        <v>14114.273999999999</v>
      </c>
      <c r="F72" s="66">
        <f>'RC'!E72-'RC'!F72</f>
        <v>-1527.2829999999999</v>
      </c>
      <c r="G72" s="66">
        <f>'RC'!F72-'RC'!G72</f>
        <v>2011.7280000000001</v>
      </c>
      <c r="H72" s="66">
        <f>'RC'!G72-'RC'!H72</f>
        <v>123.956</v>
      </c>
      <c r="I72" s="66">
        <f>'RC'!H72-'RC'!I72</f>
        <v>-520.47699999999998</v>
      </c>
      <c r="J72" s="66">
        <f>'RC'!I72-'RC'!J72</f>
        <v>375.06200000000001</v>
      </c>
      <c r="K72" s="66">
        <f>'RC'!J72-'RC'!K72</f>
        <v>157.47200000000001</v>
      </c>
      <c r="L72" s="66">
        <f>'RC'!K72-'RC'!L72</f>
        <v>0</v>
      </c>
    </row>
    <row r="73" spans="1:12" ht="15.75" customHeight="1" x14ac:dyDescent="0.15">
      <c r="A73" s="68"/>
      <c r="B73" s="69" t="s">
        <v>618</v>
      </c>
      <c r="C73" s="66">
        <f>-('RC'!B32-'RC'!C32)</f>
        <v>-6904</v>
      </c>
      <c r="D73" s="66">
        <f>-('RC'!C32-'RC'!D32)</f>
        <v>1696.644</v>
      </c>
      <c r="E73" s="66">
        <f>-('RC'!D32-'RC'!E32)</f>
        <v>3913.2929999999997</v>
      </c>
      <c r="F73" s="66">
        <f>-('RC'!E32-'RC'!F32)</f>
        <v>-4986.2169999999996</v>
      </c>
      <c r="G73" s="66">
        <f>-('RC'!F32-'RC'!G32)</f>
        <v>-555.61900000000003</v>
      </c>
      <c r="H73" s="66">
        <f>-('RC'!G32-'RC'!H32)</f>
        <v>279.37599999999998</v>
      </c>
      <c r="I73" s="66">
        <f>-('RC'!H32-'RC'!I32)</f>
        <v>-316.58499999999998</v>
      </c>
      <c r="J73" s="66">
        <f>-('RC'!I32-'RC'!J32)</f>
        <v>1566.125</v>
      </c>
      <c r="K73" s="66">
        <f>-('RC'!J32-'RC'!K32)</f>
        <v>-1597.0170000000001</v>
      </c>
      <c r="L73" s="66">
        <f>-('RC'!K32-'RC'!L32)</f>
        <v>0</v>
      </c>
    </row>
    <row r="74" spans="1:12" ht="15.75" customHeight="1" x14ac:dyDescent="0.15">
      <c r="A74" s="68" t="s">
        <v>385</v>
      </c>
      <c r="B74" s="69" t="s">
        <v>613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</row>
    <row r="75" spans="1:12" ht="15.75" customHeight="1" x14ac:dyDescent="0.15">
      <c r="A75" s="68"/>
      <c r="B75" s="69" t="s">
        <v>452</v>
      </c>
      <c r="C75" s="66">
        <f>SUM(C68:C70)</f>
        <v>-1499279</v>
      </c>
      <c r="D75" s="66">
        <f t="shared" ref="D75:L75" si="20">SUM(D68:D70)</f>
        <v>226885.60199999996</v>
      </c>
      <c r="E75" s="66">
        <f t="shared" si="20"/>
        <v>-620229.68099999987</v>
      </c>
      <c r="F75" s="66">
        <f t="shared" si="20"/>
        <v>-34225.784000000072</v>
      </c>
      <c r="G75" s="66">
        <f t="shared" si="20"/>
        <v>270691.01099999982</v>
      </c>
      <c r="H75" s="66">
        <f t="shared" si="20"/>
        <v>98974.758999999991</v>
      </c>
      <c r="I75" s="66">
        <f t="shared" si="20"/>
        <v>-82018.383000000133</v>
      </c>
      <c r="J75" s="66">
        <f t="shared" si="20"/>
        <v>44712.782000000007</v>
      </c>
      <c r="K75" s="66">
        <f t="shared" si="20"/>
        <v>33034.362000000154</v>
      </c>
      <c r="L75" s="66">
        <f t="shared" si="20"/>
        <v>-244346.91800000009</v>
      </c>
    </row>
    <row r="76" spans="1:12" s="74" customFormat="1" ht="15.75" customHeight="1" x14ac:dyDescent="0.15">
      <c r="A76" s="71" t="s">
        <v>392</v>
      </c>
      <c r="B76" s="72" t="s">
        <v>450</v>
      </c>
      <c r="C76" s="19">
        <f>C41</f>
        <v>-1499279</v>
      </c>
      <c r="D76" s="19">
        <f t="shared" ref="D76:L76" si="21">D41</f>
        <v>226885.60199999978</v>
      </c>
      <c r="E76" s="19">
        <f t="shared" si="21"/>
        <v>-620229.68099999975</v>
      </c>
      <c r="F76" s="19">
        <f t="shared" si="21"/>
        <v>-34225.784000000065</v>
      </c>
      <c r="G76" s="19">
        <f t="shared" si="21"/>
        <v>270691.01099999994</v>
      </c>
      <c r="H76" s="19">
        <f t="shared" si="21"/>
        <v>98974.758999999918</v>
      </c>
      <c r="I76" s="19">
        <f t="shared" si="21"/>
        <v>-82018.383000000045</v>
      </c>
      <c r="J76" s="19">
        <f t="shared" si="21"/>
        <v>44712.781999999919</v>
      </c>
      <c r="K76" s="19">
        <f t="shared" si="21"/>
        <v>33034.362000000147</v>
      </c>
      <c r="L76" s="19">
        <f t="shared" si="21"/>
        <v>-244346.91799999998</v>
      </c>
    </row>
    <row r="77" spans="1:12" s="74" customFormat="1" ht="15.75" customHeight="1" x14ac:dyDescent="0.15">
      <c r="A77" s="67"/>
      <c r="B77" s="72" t="s">
        <v>451</v>
      </c>
      <c r="C77" s="19">
        <f>C75-C76</f>
        <v>0</v>
      </c>
      <c r="D77" s="19">
        <f t="shared" ref="D77:L77" si="22">D75-D76</f>
        <v>0</v>
      </c>
      <c r="E77" s="19">
        <f t="shared" si="22"/>
        <v>0</v>
      </c>
      <c r="F77" s="19">
        <f t="shared" si="22"/>
        <v>0</v>
      </c>
      <c r="G77" s="19">
        <f t="shared" si="22"/>
        <v>0</v>
      </c>
      <c r="H77" s="19">
        <f t="shared" si="22"/>
        <v>0</v>
      </c>
      <c r="I77" s="19">
        <f t="shared" si="22"/>
        <v>0</v>
      </c>
      <c r="J77" s="19">
        <f t="shared" si="22"/>
        <v>8.7311491370201111E-11</v>
      </c>
      <c r="K77" s="19">
        <f t="shared" si="22"/>
        <v>0</v>
      </c>
      <c r="L77" s="19">
        <f t="shared" si="2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23"/>
  <sheetViews>
    <sheetView zoomScale="109" workbookViewId="0">
      <selection activeCell="A216" sqref="A216"/>
    </sheetView>
  </sheetViews>
  <sheetFormatPr baseColWidth="10" defaultColWidth="12.6640625" defaultRowHeight="15.75" customHeight="1" x14ac:dyDescent="0.15"/>
  <cols>
    <col min="1" max="1" width="46.33203125" style="65" bestFit="1" customWidth="1"/>
    <col min="2" max="2" width="13.5" style="65" bestFit="1" customWidth="1"/>
    <col min="3" max="16384" width="12.6640625" style="65"/>
  </cols>
  <sheetData>
    <row r="1" spans="1:11" s="76" customFormat="1" ht="18" x14ac:dyDescent="0.2">
      <c r="A1" s="76" t="s">
        <v>456</v>
      </c>
      <c r="B1" s="76" t="str">
        <f>RF!C1</f>
        <v>31/12/2024</v>
      </c>
      <c r="C1" s="76" t="str">
        <f>RF!D1</f>
        <v>31/12/2023</v>
      </c>
      <c r="D1" s="76" t="str">
        <f>RF!E1</f>
        <v>31/12/2022</v>
      </c>
      <c r="E1" s="76" t="str">
        <f>RF!F1</f>
        <v>31/12/2021</v>
      </c>
      <c r="F1" s="76" t="str">
        <f>RF!G1</f>
        <v>31/12/2020</v>
      </c>
      <c r="G1" s="76" t="str">
        <f>RF!H1</f>
        <v>31/12/2019</v>
      </c>
      <c r="H1" s="76" t="str">
        <f>RF!I1</f>
        <v>31/12/2018</v>
      </c>
      <c r="I1" s="76" t="str">
        <f>RF!J1</f>
        <v>31/12/2017</v>
      </c>
      <c r="J1" s="76" t="str">
        <f>RF!K1</f>
        <v>31/12/2016</v>
      </c>
      <c r="K1" s="76" t="str">
        <f>RF!L1</f>
        <v>31/12/2015</v>
      </c>
    </row>
    <row r="2" spans="1:11" ht="15.75" customHeight="1" x14ac:dyDescent="0.15">
      <c r="A2" s="65" t="s">
        <v>457</v>
      </c>
    </row>
    <row r="3" spans="1:11" ht="15.75" customHeight="1" x14ac:dyDescent="0.15">
      <c r="A3" s="65" t="s">
        <v>458</v>
      </c>
      <c r="B3" s="79">
        <f>'RC'!B131+'RC'!B140+'RC'!B144</f>
        <v>-271350</v>
      </c>
      <c r="C3" s="79">
        <f>'RC'!C131+'RC'!C140+'RC'!C144</f>
        <v>-55571</v>
      </c>
      <c r="D3" s="79">
        <f>'RC'!D131+'RC'!D140+'RC'!D144</f>
        <v>22828.294000000104</v>
      </c>
      <c r="E3" s="79">
        <f>'RC'!E131+'RC'!E140+'RC'!E144</f>
        <v>-8349.646000000077</v>
      </c>
      <c r="F3" s="79">
        <f>'RC'!F131+'RC'!F140+'RC'!F144</f>
        <v>-54355.359000000026</v>
      </c>
      <c r="G3" s="79">
        <f>'RC'!G131+'RC'!G140+'RC'!G144</f>
        <v>33258.554999999935</v>
      </c>
      <c r="H3" s="79">
        <f>'RC'!H131+'RC'!H140+'RC'!H144</f>
        <v>37150.587999999967</v>
      </c>
      <c r="I3" s="79">
        <f>'RC'!I131+'RC'!I140+'RC'!I144</f>
        <v>79225.106999999975</v>
      </c>
      <c r="J3" s="79">
        <f>'RC'!J131+'RC'!J140+'RC'!J144</f>
        <v>75601.821000000084</v>
      </c>
      <c r="K3" s="79">
        <f>'RC'!K131+'RC'!K140+'RC'!K144</f>
        <v>54747.825999999957</v>
      </c>
    </row>
    <row r="4" spans="1:11" ht="15.75" customHeight="1" x14ac:dyDescent="0.15">
      <c r="A4" s="65" t="s">
        <v>459</v>
      </c>
      <c r="B4" s="79">
        <f>'RC'!B131</f>
        <v>60536</v>
      </c>
      <c r="C4" s="79">
        <f>'RC'!C131</f>
        <v>57190</v>
      </c>
      <c r="D4" s="79">
        <f>'RC'!D131</f>
        <v>11294.284000000102</v>
      </c>
      <c r="E4" s="79">
        <f>'RC'!E131</f>
        <v>9288.811999999929</v>
      </c>
      <c r="F4" s="79">
        <f>'RC'!F131</f>
        <v>3264.1819999999625</v>
      </c>
      <c r="G4" s="79">
        <f>'RC'!G131</f>
        <v>30663.779999999933</v>
      </c>
      <c r="H4" s="79">
        <f>'RC'!H131</f>
        <v>33717.56599999997</v>
      </c>
      <c r="I4" s="79">
        <f>'RC'!I131</f>
        <v>77298.708999999973</v>
      </c>
      <c r="J4" s="79">
        <f>'RC'!J131</f>
        <v>70853.290000000081</v>
      </c>
      <c r="K4" s="79">
        <f>'RC'!K131</f>
        <v>51933.839999999953</v>
      </c>
    </row>
    <row r="5" spans="1:11" ht="15.75" customHeight="1" x14ac:dyDescent="0.15">
      <c r="A5" s="65" t="s">
        <v>460</v>
      </c>
      <c r="B5" s="79">
        <f>'RC'!B123</f>
        <v>119175</v>
      </c>
      <c r="C5" s="79">
        <f>'RC'!C123</f>
        <v>82113</v>
      </c>
      <c r="D5" s="79">
        <f>'RC'!D123</f>
        <v>37444.691000000108</v>
      </c>
      <c r="E5" s="79">
        <f>'RC'!E123</f>
        <v>45295.226999999926</v>
      </c>
      <c r="F5" s="79">
        <f>'RC'!F123</f>
        <v>30724.467999999964</v>
      </c>
      <c r="G5" s="79">
        <f>'RC'!G123</f>
        <v>59292.526999999944</v>
      </c>
      <c r="H5" s="79">
        <f>'RC'!H123</f>
        <v>62458.987999999983</v>
      </c>
      <c r="I5" s="79">
        <f>'RC'!I123</f>
        <v>111262.02999999998</v>
      </c>
      <c r="J5" s="79">
        <f>'RC'!J123</f>
        <v>106219.37300000008</v>
      </c>
      <c r="K5" s="79">
        <f>'RC'!K123</f>
        <v>78727.515999999945</v>
      </c>
    </row>
    <row r="6" spans="1:11" ht="15.75" customHeight="1" x14ac:dyDescent="0.15">
      <c r="A6" s="65" t="s">
        <v>461</v>
      </c>
      <c r="B6" s="79">
        <f>'RC'!B150</f>
        <v>-324917</v>
      </c>
      <c r="C6" s="79">
        <f>'RC'!C150</f>
        <v>-64292</v>
      </c>
      <c r="D6" s="79">
        <f>'RC'!D150</f>
        <v>17752.471000000107</v>
      </c>
      <c r="E6" s="79">
        <f>'RC'!E150</f>
        <v>-11336.372000000078</v>
      </c>
      <c r="F6" s="79">
        <f>'RC'!F150</f>
        <v>-55428.652000000031</v>
      </c>
      <c r="G6" s="79">
        <f>'RC'!G150</f>
        <v>436.25099999992744</v>
      </c>
      <c r="H6" s="79">
        <f>'RC'!H150</f>
        <v>5907.5289999999695</v>
      </c>
      <c r="I6" s="79">
        <f>'RC'!I150</f>
        <v>48965.422999999973</v>
      </c>
      <c r="J6" s="79">
        <f>'RC'!J150</f>
        <v>54653.670000000086</v>
      </c>
      <c r="K6" s="79">
        <f>'RC'!K150</f>
        <v>38874.429999999957</v>
      </c>
    </row>
    <row r="7" spans="1:11" ht="15.75" customHeight="1" x14ac:dyDescent="0.15">
      <c r="A7" s="65" t="s">
        <v>462</v>
      </c>
      <c r="B7" s="79">
        <f>'RC'!B111</f>
        <v>700351</v>
      </c>
      <c r="C7" s="79">
        <f>'RC'!C111</f>
        <v>567524</v>
      </c>
      <c r="D7" s="79">
        <f>'RC'!D111</f>
        <v>731617.36700000009</v>
      </c>
      <c r="E7" s="79">
        <f>'RC'!E111</f>
        <v>575309.42799999996</v>
      </c>
      <c r="F7" s="79">
        <f>'RC'!F111</f>
        <v>470766.30099999998</v>
      </c>
      <c r="G7" s="79">
        <f>'RC'!G111</f>
        <v>599353.34899999993</v>
      </c>
      <c r="H7" s="79">
        <f>'RC'!H111</f>
        <v>601111.28299999994</v>
      </c>
      <c r="I7" s="79">
        <f>'RC'!I111</f>
        <v>658456.38</v>
      </c>
      <c r="J7" s="79">
        <f>'RC'!J111</f>
        <v>649016.10900000005</v>
      </c>
      <c r="K7" s="79">
        <f>'RC'!K111</f>
        <v>617897.50099999993</v>
      </c>
    </row>
    <row r="8" spans="1:11" ht="15.75" customHeight="1" x14ac:dyDescent="0.15">
      <c r="A8" s="65" t="s">
        <v>463</v>
      </c>
      <c r="B8" s="79">
        <f>'RC'!C111</f>
        <v>567524</v>
      </c>
      <c r="C8" s="79">
        <f>'RC'!D111</f>
        <v>731617.36700000009</v>
      </c>
      <c r="D8" s="79">
        <f>'RC'!E111</f>
        <v>575309.42799999996</v>
      </c>
      <c r="E8" s="79">
        <f>'RC'!F111</f>
        <v>470766.30099999998</v>
      </c>
      <c r="F8" s="79">
        <f>'RC'!G111</f>
        <v>599353.34899999993</v>
      </c>
      <c r="G8" s="79">
        <f>'RC'!H111</f>
        <v>601111.28299999994</v>
      </c>
      <c r="H8" s="79">
        <f>'RC'!I111</f>
        <v>658456.38</v>
      </c>
      <c r="I8" s="79">
        <f>'RC'!J111</f>
        <v>649016.10900000005</v>
      </c>
      <c r="J8" s="79">
        <f>'RC'!K111</f>
        <v>617897.50099999993</v>
      </c>
      <c r="K8" s="79">
        <f>'RC'!L111</f>
        <v>0</v>
      </c>
    </row>
    <row r="9" spans="1:11" ht="15.75" customHeight="1" x14ac:dyDescent="0.15">
      <c r="A9" s="65" t="s">
        <v>464</v>
      </c>
      <c r="B9" s="79">
        <f>B7*1.22/365</f>
        <v>2340.8992328767122</v>
      </c>
      <c r="C9" s="79">
        <f t="shared" ref="C9:K9" si="0">C7*1.22/365</f>
        <v>1896.9295342465755</v>
      </c>
      <c r="D9" s="79">
        <f t="shared" si="0"/>
        <v>2445.4059938082196</v>
      </c>
      <c r="E9" s="79">
        <f t="shared" si="0"/>
        <v>1922.9520607123286</v>
      </c>
      <c r="F9" s="79">
        <f t="shared" si="0"/>
        <v>1573.520238958904</v>
      </c>
      <c r="G9" s="79">
        <f t="shared" si="0"/>
        <v>2003.3180432328763</v>
      </c>
      <c r="H9" s="79">
        <f t="shared" si="0"/>
        <v>2009.1938774246573</v>
      </c>
      <c r="I9" s="79">
        <f t="shared" si="0"/>
        <v>2200.8679002739727</v>
      </c>
      <c r="J9" s="79">
        <f t="shared" si="0"/>
        <v>2169.3141177534249</v>
      </c>
      <c r="K9" s="79">
        <f t="shared" si="0"/>
        <v>2065.301236219178</v>
      </c>
    </row>
    <row r="10" spans="1:11" ht="15.75" customHeight="1" x14ac:dyDescent="0.15">
      <c r="A10" s="65" t="s">
        <v>465</v>
      </c>
      <c r="B10" s="79">
        <f>'RC'!B116</f>
        <v>-481014</v>
      </c>
      <c r="C10" s="79">
        <f>'RC'!C116</f>
        <v>-384827</v>
      </c>
      <c r="D10" s="79">
        <f>'RC'!D116</f>
        <v>-612180.14799999993</v>
      </c>
      <c r="E10" s="79">
        <f>'RC'!E116</f>
        <v>-449495.95</v>
      </c>
      <c r="F10" s="79">
        <f>'RC'!F116</f>
        <v>-357984.266</v>
      </c>
      <c r="G10" s="79">
        <f>'RC'!G116</f>
        <v>-400315.33899999998</v>
      </c>
      <c r="H10" s="79">
        <f>'RC'!H116</f>
        <v>-494524.11299999995</v>
      </c>
      <c r="I10" s="79">
        <f>'RC'!I116</f>
        <v>-448998.95199999999</v>
      </c>
      <c r="J10" s="79">
        <f>'RC'!J116</f>
        <v>-455320.04399999999</v>
      </c>
      <c r="K10" s="79">
        <f>'RC'!K116</f>
        <v>-453576.39899999998</v>
      </c>
    </row>
    <row r="11" spans="1:11" ht="15.75" customHeight="1" x14ac:dyDescent="0.15">
      <c r="A11" s="65" t="s">
        <v>466</v>
      </c>
      <c r="B11" s="79">
        <f>'RC'!B116*1.22/365</f>
        <v>-1607.7728219178082</v>
      </c>
      <c r="C11" s="79">
        <f>'RC'!C116*1.22/365</f>
        <v>-1286.2710684931508</v>
      </c>
      <c r="D11" s="79">
        <f>'RC'!D116*1.22/365</f>
        <v>-2046.1911796164379</v>
      </c>
      <c r="E11" s="79">
        <f>'RC'!E116*1.22/365</f>
        <v>-1502.4248191780823</v>
      </c>
      <c r="F11" s="79">
        <f>'RC'!F116*1.22/365</f>
        <v>-1196.550149369863</v>
      </c>
      <c r="G11" s="79">
        <f>'RC'!G116*1.22/365</f>
        <v>-1338.0403111780822</v>
      </c>
      <c r="H11" s="79">
        <f>'RC'!H116*1.22/365</f>
        <v>-1652.9299119452053</v>
      </c>
      <c r="I11" s="79">
        <f>'RC'!I116*1.22/365</f>
        <v>-1500.7636203835616</v>
      </c>
      <c r="J11" s="79">
        <f>'RC'!J116*1.22/365</f>
        <v>-1521.8916539178083</v>
      </c>
      <c r="K11" s="79">
        <f>'RC'!K116*1.22/365</f>
        <v>-1516.063580219178</v>
      </c>
    </row>
    <row r="12" spans="1:11" ht="15.75" customHeight="1" x14ac:dyDescent="0.15">
      <c r="A12" s="65" t="s">
        <v>467</v>
      </c>
      <c r="B12" s="79">
        <f>AVERAGE('RC'!B120:C120)/365</f>
        <v>-1198.6753424657534</v>
      </c>
      <c r="C12" s="79">
        <f>AVERAGE('RC'!C120:D120)/365</f>
        <v>-1362.4961616438356</v>
      </c>
      <c r="D12" s="79">
        <f>AVERAGE('RC'!D120:E120)/365</f>
        <v>-1398.7046904109588</v>
      </c>
      <c r="E12" s="79">
        <f>AVERAGE('RC'!E120:F120)/365</f>
        <v>-1075.4575808219179</v>
      </c>
      <c r="F12" s="79">
        <f>AVERAGE('RC'!F120:G120)/365</f>
        <v>-1098.3528205479452</v>
      </c>
      <c r="G12" s="79">
        <f>AVERAGE('RC'!G120:H120)/365</f>
        <v>-1230.1022041095889</v>
      </c>
      <c r="H12" s="79">
        <f>AVERAGE('RC'!H120:I120)/365</f>
        <v>-1244.793116438356</v>
      </c>
      <c r="I12" s="79">
        <f>AVERAGE('RC'!I120:J120)/365</f>
        <v>-1245.1907534246575</v>
      </c>
      <c r="J12" s="79">
        <f>AVERAGE('RC'!J120:K120)/365</f>
        <v>-1235.5249315068493</v>
      </c>
      <c r="K12" s="79">
        <f>AVERAGE('RC'!K120:L120)/365</f>
        <v>-1234.3371698630137</v>
      </c>
    </row>
    <row r="13" spans="1:11" ht="15.75" customHeight="1" x14ac:dyDescent="0.15">
      <c r="A13" s="65" t="s">
        <v>468</v>
      </c>
      <c r="B13" s="79">
        <f>AVERAGE('RC'!B122:C122)/365</f>
        <v>-262.40273972602739</v>
      </c>
      <c r="C13" s="79">
        <f>AVERAGE('RC'!C122:D122)/365</f>
        <v>-253.37188767123288</v>
      </c>
      <c r="D13" s="79">
        <f>AVERAGE('RC'!D122:E122)/365</f>
        <v>-278.26363424657535</v>
      </c>
      <c r="E13" s="79">
        <f>AVERAGE('RC'!E122:F122)/365</f>
        <v>-253.38630136986302</v>
      </c>
      <c r="F13" s="79">
        <f>AVERAGE('RC'!F122:G122)/365</f>
        <v>-244.25355616438355</v>
      </c>
      <c r="G13" s="79">
        <f>AVERAGE('RC'!G122:H122)/365</f>
        <v>-247.58699726027396</v>
      </c>
      <c r="H13" s="79">
        <f>AVERAGE('RC'!H122:I122)/365</f>
        <v>-242.6680410958904</v>
      </c>
      <c r="I13" s="79">
        <f>AVERAGE('RC'!I122:J122)/365</f>
        <v>-247.94772054794521</v>
      </c>
      <c r="J13" s="79">
        <f>AVERAGE('RC'!J122:K122)/365</f>
        <v>-246.62126164383562</v>
      </c>
      <c r="K13" s="79">
        <f>AVERAGE('RC'!K122:L122)/365</f>
        <v>-242.84087123287674</v>
      </c>
    </row>
    <row r="14" spans="1:11" ht="15.75" customHeight="1" x14ac:dyDescent="0.15">
      <c r="A14" s="65" t="s">
        <v>469</v>
      </c>
      <c r="B14" s="79">
        <f>AVERAGE('RC'!B93,'RC'!C93)</f>
        <v>1292505.5</v>
      </c>
      <c r="C14" s="79">
        <f>AVERAGE('RC'!C93,'RC'!D93)</f>
        <v>402682.08650000003</v>
      </c>
      <c r="D14" s="79">
        <f>AVERAGE('RC'!D93,'RC'!E93)</f>
        <v>246543.91850000003</v>
      </c>
      <c r="E14" s="79">
        <f>AVERAGE('RC'!E93,'RC'!F93)</f>
        <v>270002.11550000001</v>
      </c>
      <c r="F14" s="79">
        <f>AVERAGE('RC'!F93,'RC'!G93)</f>
        <v>226122.826</v>
      </c>
      <c r="G14" s="79">
        <f>AVERAGE('RC'!G93,'RC'!H93)</f>
        <v>191205.77150000003</v>
      </c>
      <c r="H14" s="79">
        <f>AVERAGE('RC'!H93,'RC'!I93)</f>
        <v>225113.75750000001</v>
      </c>
      <c r="I14" s="79">
        <f>AVERAGE('RC'!I93,'RC'!J93)</f>
        <v>230898.89399999997</v>
      </c>
      <c r="J14" s="79">
        <f>AVERAGE('RC'!J93,'RC'!K93)</f>
        <v>239675.13699999999</v>
      </c>
      <c r="K14" s="79">
        <f>AVERAGE('RC'!K93,'RC'!L93)</f>
        <v>249554.54300000001</v>
      </c>
    </row>
    <row r="15" spans="1:11" ht="15.75" customHeight="1" x14ac:dyDescent="0.15">
      <c r="A15" s="65" t="s">
        <v>470</v>
      </c>
      <c r="B15" s="79">
        <f>'RC'!C93</f>
        <v>564221</v>
      </c>
      <c r="C15" s="79">
        <f>'RC'!D93</f>
        <v>241143.17300000004</v>
      </c>
      <c r="D15" s="79">
        <f>'RC'!E93</f>
        <v>251944.66400000002</v>
      </c>
      <c r="E15" s="79">
        <f>'RC'!F93</f>
        <v>288059.56700000004</v>
      </c>
      <c r="F15" s="79">
        <f>'RC'!G93</f>
        <v>164186.08499999996</v>
      </c>
      <c r="G15" s="79">
        <f>'RC'!H93</f>
        <v>218225.45800000007</v>
      </c>
      <c r="H15" s="79">
        <f>'RC'!I93</f>
        <v>232002.05699999994</v>
      </c>
      <c r="I15" s="79">
        <f>'RC'!J93</f>
        <v>229795.73099999997</v>
      </c>
      <c r="J15" s="79">
        <f>'RC'!K93</f>
        <v>249554.54300000001</v>
      </c>
      <c r="K15" s="79">
        <f>'RC'!L93</f>
        <v>0</v>
      </c>
    </row>
    <row r="16" spans="1:11" ht="15.75" customHeight="1" x14ac:dyDescent="0.15">
      <c r="A16" s="65" t="s">
        <v>471</v>
      </c>
      <c r="B16" s="79">
        <f>'RC'!B93</f>
        <v>2020790</v>
      </c>
      <c r="C16" s="79">
        <f>'RC'!C93</f>
        <v>564221</v>
      </c>
      <c r="D16" s="79">
        <f>'RC'!D93</f>
        <v>241143.17300000004</v>
      </c>
      <c r="E16" s="79">
        <f>'RC'!E93</f>
        <v>251944.66400000002</v>
      </c>
      <c r="F16" s="79">
        <f>'RC'!F93</f>
        <v>288059.56700000004</v>
      </c>
      <c r="G16" s="79">
        <f>'RC'!G93</f>
        <v>164186.08499999996</v>
      </c>
      <c r="H16" s="79">
        <f>'RC'!H93</f>
        <v>218225.45800000007</v>
      </c>
      <c r="I16" s="79">
        <f>'RC'!I93</f>
        <v>232002.05699999994</v>
      </c>
      <c r="J16" s="79">
        <f>'RC'!J93</f>
        <v>229795.73099999997</v>
      </c>
      <c r="K16" s="79">
        <f>'RC'!K93</f>
        <v>249554.54300000001</v>
      </c>
    </row>
    <row r="17" spans="1:11" ht="15.75" customHeight="1" x14ac:dyDescent="0.15">
      <c r="A17" s="65" t="s">
        <v>472</v>
      </c>
      <c r="B17" s="79">
        <f>'RC'!B144</f>
        <v>2000</v>
      </c>
      <c r="C17" s="79">
        <f>'RC'!C144</f>
        <v>475</v>
      </c>
      <c r="D17" s="79">
        <f>'RC'!D144</f>
        <v>53000</v>
      </c>
      <c r="E17" s="79">
        <f>'RC'!E144</f>
        <v>15827.805</v>
      </c>
      <c r="F17" s="79">
        <f>'RC'!F144</f>
        <v>7825.268</v>
      </c>
      <c r="G17" s="79">
        <f>'RC'!G144</f>
        <v>6793.7470000000003</v>
      </c>
      <c r="H17" s="79">
        <f>'RC'!H144</f>
        <v>6812.8969999999999</v>
      </c>
      <c r="I17" s="79">
        <f>'RC'!I144</f>
        <v>7560.9319999999998</v>
      </c>
      <c r="J17" s="79">
        <f>'RC'!J144</f>
        <v>7605.4920000000002</v>
      </c>
      <c r="K17" s="79">
        <f>'RC'!K144</f>
        <v>6245.6940000000004</v>
      </c>
    </row>
    <row r="18" spans="1:11" ht="15.75" customHeight="1" x14ac:dyDescent="0.15">
      <c r="A18" s="65" t="s">
        <v>473</v>
      </c>
      <c r="B18" s="79">
        <f>AVERAGE('RC'!B94,'RC'!C94)</f>
        <v>787840.5</v>
      </c>
      <c r="C18" s="79">
        <f>AVERAGE('RC'!C94,'RC'!D94)</f>
        <v>502632.65949999995</v>
      </c>
      <c r="D18" s="79">
        <f>AVERAGE('RC'!D94,'RC'!E94)</f>
        <v>469888.15049999999</v>
      </c>
      <c r="E18" s="79">
        <f>AVERAGE('RC'!E94,'RC'!F94)</f>
        <v>496915.77850000001</v>
      </c>
      <c r="F18" s="79">
        <f>AVERAGE('RC'!F94,'RC'!G94)</f>
        <v>324653.46400000004</v>
      </c>
      <c r="G18" s="79">
        <f>AVERAGE('RC'!G94,'RC'!H94)</f>
        <v>182117.0275</v>
      </c>
      <c r="H18" s="79">
        <f>AVERAGE('RC'!H94,'RC'!I94)</f>
        <v>231607.397</v>
      </c>
      <c r="I18" s="79">
        <f>AVERAGE('RC'!I94,'RC'!J94)</f>
        <v>248622.47549999997</v>
      </c>
      <c r="J18" s="79">
        <f>AVERAGE('RC'!J94,'RC'!K94)</f>
        <v>250672.27999999997</v>
      </c>
      <c r="K18" s="79">
        <f>AVERAGE('RC'!K94,'RC'!L94)</f>
        <v>252919.701</v>
      </c>
    </row>
    <row r="19" spans="1:11" ht="15.75" customHeight="1" x14ac:dyDescent="0.15">
      <c r="A19" s="65" t="s">
        <v>474</v>
      </c>
      <c r="B19" s="79">
        <f>AVERAGE('RC'!B27,'RC'!C27)</f>
        <v>787840.5</v>
      </c>
      <c r="C19" s="79">
        <f>AVERAGE('RC'!C27,'RC'!D27)</f>
        <v>700147.25249999994</v>
      </c>
      <c r="D19" s="79">
        <f>AVERAGE('RC'!D27,'RC'!E27)</f>
        <v>754542.95799999998</v>
      </c>
      <c r="E19" s="79">
        <f>AVERAGE('RC'!E27,'RC'!F27)</f>
        <v>654819.19700000004</v>
      </c>
      <c r="F19" s="79">
        <f>AVERAGE('RC'!F27,'RC'!G27)</f>
        <v>447382.39199999999</v>
      </c>
      <c r="G19" s="79">
        <f>AVERAGE('RC'!G27,'RC'!H27)</f>
        <v>268059.24849999999</v>
      </c>
      <c r="H19" s="79">
        <f>AVERAGE('RC'!H27,'RC'!I27)</f>
        <v>288834.78149999998</v>
      </c>
      <c r="I19" s="79">
        <f>AVERAGE('RC'!I27,'RC'!J27)</f>
        <v>298934.48899999994</v>
      </c>
      <c r="J19" s="79">
        <f>AVERAGE('RC'!J27,'RC'!K27)</f>
        <v>302530.39799999999</v>
      </c>
      <c r="K19" s="79">
        <f>AVERAGE('RC'!K27,'RC'!L27)</f>
        <v>302513.685</v>
      </c>
    </row>
    <row r="20" spans="1:11" ht="15.75" customHeight="1" x14ac:dyDescent="0.15">
      <c r="A20" s="65" t="s">
        <v>475</v>
      </c>
      <c r="B20" s="79">
        <f>'RC'!B27</f>
        <v>1015828</v>
      </c>
      <c r="C20" s="79">
        <f>'RC'!C27</f>
        <v>559853</v>
      </c>
      <c r="D20" s="79">
        <f>'RC'!D27</f>
        <v>840441.50499999989</v>
      </c>
      <c r="E20" s="79">
        <f>'RC'!E27</f>
        <v>668644.41100000008</v>
      </c>
      <c r="F20" s="79">
        <f>'RC'!F27</f>
        <v>640993.98300000001</v>
      </c>
      <c r="G20" s="79">
        <f>'RC'!G27</f>
        <v>253770.80100000001</v>
      </c>
      <c r="H20" s="79">
        <f>'RC'!H27</f>
        <v>282347.696</v>
      </c>
      <c r="I20" s="79">
        <f>'RC'!I27</f>
        <v>295321.86699999997</v>
      </c>
      <c r="J20" s="79">
        <f>'RC'!J27</f>
        <v>302547.11099999998</v>
      </c>
      <c r="K20" s="79">
        <f>'RC'!K27</f>
        <v>302513.685</v>
      </c>
    </row>
    <row r="21" spans="1:11" ht="15.75" customHeight="1" x14ac:dyDescent="0.15">
      <c r="A21" s="65" t="s">
        <v>476</v>
      </c>
      <c r="B21" s="79">
        <f>AVERAGE('RC'!B66,'RC'!C66)</f>
        <v>0</v>
      </c>
      <c r="C21" s="79">
        <f>AVERAGE('RC'!C66,'RC'!D66)</f>
        <v>197514.59299999999</v>
      </c>
      <c r="D21" s="79">
        <f>AVERAGE('RC'!D66,'RC'!E66)</f>
        <v>284654.8075</v>
      </c>
      <c r="E21" s="79">
        <f>AVERAGE('RC'!E66,'RC'!F66)</f>
        <v>157903.4185</v>
      </c>
      <c r="F21" s="79">
        <f>AVERAGE('RC'!F66,'RC'!G66)</f>
        <v>122728.928</v>
      </c>
      <c r="G21" s="79">
        <f>AVERAGE('RC'!G66,'RC'!H66)</f>
        <v>85942.221000000005</v>
      </c>
      <c r="H21" s="79">
        <f>AVERAGE('RC'!H66,'RC'!I66)</f>
        <v>57227.3845</v>
      </c>
      <c r="I21" s="79">
        <f>AVERAGE('RC'!I66,'RC'!J66)</f>
        <v>50312.013500000001</v>
      </c>
      <c r="J21" s="79">
        <f>AVERAGE('RC'!J66,'RC'!K66)</f>
        <v>51858.118000000002</v>
      </c>
      <c r="K21" s="79">
        <f>AVERAGE('RC'!K66,'RC'!L66)</f>
        <v>49593.983999999997</v>
      </c>
    </row>
    <row r="22" spans="1:11" ht="15.75" customHeight="1" x14ac:dyDescent="0.15">
      <c r="A22" s="65" t="s">
        <v>477</v>
      </c>
      <c r="B22" s="79">
        <f>'RC'!B66</f>
        <v>0</v>
      </c>
      <c r="C22" s="79">
        <f>'RC'!C66</f>
        <v>0</v>
      </c>
      <c r="D22" s="79">
        <f>'RC'!D66</f>
        <v>395029.18599999999</v>
      </c>
      <c r="E22" s="79">
        <f>'RC'!E66</f>
        <v>174280.429</v>
      </c>
      <c r="F22" s="79">
        <f>'RC'!F66</f>
        <v>141526.408</v>
      </c>
      <c r="G22" s="79">
        <f>'RC'!G66</f>
        <v>103931.448</v>
      </c>
      <c r="H22" s="79">
        <f>'RC'!H66</f>
        <v>67952.994000000006</v>
      </c>
      <c r="I22" s="79">
        <f>'RC'!I66</f>
        <v>46501.775000000001</v>
      </c>
      <c r="J22" s="79">
        <f>'RC'!J66</f>
        <v>54122.252</v>
      </c>
      <c r="K22" s="79">
        <f>'RC'!K66</f>
        <v>49593.983999999997</v>
      </c>
    </row>
    <row r="23" spans="1:11" ht="15.75" customHeight="1" x14ac:dyDescent="0.15">
      <c r="A23" s="65" t="s">
        <v>478</v>
      </c>
      <c r="B23" s="79">
        <f>'RC'!B145</f>
        <v>-45154</v>
      </c>
      <c r="C23" s="79">
        <f>'RC'!C145</f>
        <v>-7288</v>
      </c>
      <c r="D23" s="79">
        <f>'RC'!D145</f>
        <v>-13681.922</v>
      </c>
      <c r="E23" s="79">
        <f>'RC'!E145</f>
        <v>-129.52099999999996</v>
      </c>
      <c r="F23" s="79">
        <f>'RC'!F145</f>
        <v>-781.99099999999999</v>
      </c>
      <c r="G23" s="79">
        <f>'RC'!G145</f>
        <v>-20718.443000000003</v>
      </c>
      <c r="H23" s="79">
        <f>'RC'!H145</f>
        <v>-26525.807000000001</v>
      </c>
      <c r="I23" s="79">
        <f>'RC'!I145</f>
        <v>-17939.43</v>
      </c>
      <c r="J23" s="79">
        <f>'RC'!J145</f>
        <v>1439.5450000000001</v>
      </c>
      <c r="K23" s="79">
        <f>'RC'!K145</f>
        <v>410.81199999999899</v>
      </c>
    </row>
    <row r="24" spans="1:11" ht="15.75" customHeight="1" x14ac:dyDescent="0.15">
      <c r="A24" s="65" t="s">
        <v>479</v>
      </c>
      <c r="B24" s="79">
        <f>B30-B31</f>
        <v>840524.5</v>
      </c>
      <c r="C24" s="79">
        <f t="shared" ref="C24:K24" si="1">C30-C31</f>
        <v>207845.20899999997</v>
      </c>
      <c r="D24" s="79">
        <f t="shared" si="1"/>
        <v>280960.69799999997</v>
      </c>
      <c r="E24" s="79">
        <f t="shared" si="1"/>
        <v>647119.22950000002</v>
      </c>
      <c r="F24" s="79">
        <f t="shared" si="1"/>
        <v>277420.77399999998</v>
      </c>
      <c r="G24" s="79">
        <f t="shared" si="1"/>
        <v>-53843.292499999996</v>
      </c>
      <c r="H24" s="79">
        <f t="shared" si="1"/>
        <v>53384.411</v>
      </c>
      <c r="I24" s="79">
        <f t="shared" si="1"/>
        <v>118192.26750000002</v>
      </c>
      <c r="J24" s="79">
        <f t="shared" si="1"/>
        <v>162539.55149999997</v>
      </c>
      <c r="K24" s="79">
        <f t="shared" si="1"/>
        <v>195238.04199999999</v>
      </c>
    </row>
    <row r="25" spans="1:11" ht="15.75" customHeight="1" x14ac:dyDescent="0.15">
      <c r="A25" s="65" t="s">
        <v>480</v>
      </c>
      <c r="B25" s="79">
        <f>IF(B24&gt;0, B24, 0)</f>
        <v>840524.5</v>
      </c>
      <c r="C25" s="79">
        <f t="shared" ref="C25:K25" si="2">IF(C24&gt;0, C24, 0)</f>
        <v>207845.20899999997</v>
      </c>
      <c r="D25" s="79">
        <f t="shared" si="2"/>
        <v>280960.69799999997</v>
      </c>
      <c r="E25" s="79">
        <f t="shared" si="2"/>
        <v>647119.22950000002</v>
      </c>
      <c r="F25" s="79">
        <f t="shared" si="2"/>
        <v>277420.77399999998</v>
      </c>
      <c r="G25" s="79">
        <f t="shared" si="2"/>
        <v>0</v>
      </c>
      <c r="H25" s="79">
        <f t="shared" si="2"/>
        <v>53384.411</v>
      </c>
      <c r="I25" s="79">
        <f t="shared" si="2"/>
        <v>118192.26750000002</v>
      </c>
      <c r="J25" s="79">
        <f t="shared" si="2"/>
        <v>162539.55149999997</v>
      </c>
      <c r="K25" s="79">
        <f t="shared" si="2"/>
        <v>195238.04199999999</v>
      </c>
    </row>
    <row r="26" spans="1:11" ht="15.75" customHeight="1" x14ac:dyDescent="0.15">
      <c r="A26" s="65" t="s">
        <v>481</v>
      </c>
      <c r="B26" s="79">
        <f>IF(B24&lt;0, -B24, 0)</f>
        <v>0</v>
      </c>
      <c r="C26" s="79">
        <f t="shared" ref="C26:K26" si="3">IF(C24&lt;0, C24, 0)</f>
        <v>0</v>
      </c>
      <c r="D26" s="79">
        <f t="shared" si="3"/>
        <v>0</v>
      </c>
      <c r="E26" s="79">
        <f t="shared" si="3"/>
        <v>0</v>
      </c>
      <c r="F26" s="79">
        <f t="shared" si="3"/>
        <v>0</v>
      </c>
      <c r="G26" s="79">
        <f t="shared" si="3"/>
        <v>-53843.292499999996</v>
      </c>
      <c r="H26" s="79">
        <f t="shared" si="3"/>
        <v>0</v>
      </c>
      <c r="I26" s="79">
        <f t="shared" si="3"/>
        <v>0</v>
      </c>
      <c r="J26" s="79">
        <f t="shared" si="3"/>
        <v>0</v>
      </c>
      <c r="K26" s="79">
        <f t="shared" si="3"/>
        <v>0</v>
      </c>
    </row>
    <row r="27" spans="1:11" ht="15.75" customHeight="1" x14ac:dyDescent="0.15">
      <c r="A27" s="65" t="s">
        <v>482</v>
      </c>
      <c r="B27" s="79">
        <f>'RC'!B138</f>
        <v>-355850</v>
      </c>
      <c r="C27" s="79">
        <f>'RC'!C138</f>
        <v>-135795</v>
      </c>
      <c r="D27" s="79">
        <f>'RC'!D138</f>
        <v>-57535.862000000001</v>
      </c>
      <c r="E27" s="79">
        <f>'RC'!E138</f>
        <v>-41740</v>
      </c>
      <c r="F27" s="79">
        <f>'RC'!F138</f>
        <v>-69507.698999999993</v>
      </c>
      <c r="G27" s="79">
        <f>'RC'!G138</f>
        <v>-5823.7510000000002</v>
      </c>
      <c r="H27" s="79">
        <f>'RC'!H138</f>
        <v>-4557.97</v>
      </c>
      <c r="I27" s="79">
        <f>'RC'!I138</f>
        <v>-2723.6190000000001</v>
      </c>
      <c r="J27" s="79">
        <f>'RC'!J138</f>
        <v>-3414.9189999999999</v>
      </c>
      <c r="K27" s="79">
        <f>'RC'!K138</f>
        <v>-4104.1790000000001</v>
      </c>
    </row>
    <row r="28" spans="1:11" ht="15.75" customHeight="1" x14ac:dyDescent="0.15">
      <c r="A28" s="65" t="s">
        <v>483</v>
      </c>
      <c r="B28" s="79">
        <f>'RC'!B137</f>
        <v>29006</v>
      </c>
      <c r="C28" s="79">
        <f>'RC'!C137</f>
        <v>22875</v>
      </c>
      <c r="D28" s="79">
        <f>'RC'!D137</f>
        <v>7976.72</v>
      </c>
      <c r="E28" s="79">
        <f>'RC'!E137</f>
        <v>6455.6469999999999</v>
      </c>
      <c r="F28" s="79">
        <f>'RC'!F137</f>
        <v>7773.098</v>
      </c>
      <c r="G28" s="79">
        <f>'RC'!G137</f>
        <v>851.75099999999998</v>
      </c>
      <c r="H28" s="79">
        <f>'RC'!H137</f>
        <v>1026.672</v>
      </c>
      <c r="I28" s="79">
        <f>'RC'!I137</f>
        <v>1144.6680000000001</v>
      </c>
      <c r="J28" s="79">
        <f>'RC'!J137</f>
        <v>450.45099999999996</v>
      </c>
      <c r="K28" s="79">
        <f>'RC'!K137</f>
        <v>1503.171</v>
      </c>
    </row>
    <row r="29" spans="1:11" ht="15.75" customHeight="1" x14ac:dyDescent="0.15">
      <c r="A29" s="65" t="s">
        <v>484</v>
      </c>
      <c r="B29" s="79">
        <f>'RC'!B149</f>
        <v>-8413</v>
      </c>
      <c r="C29" s="79">
        <f>'RC'!C149</f>
        <v>-1433</v>
      </c>
      <c r="D29" s="79">
        <f>'RC'!D149</f>
        <v>8606.0990000000002</v>
      </c>
      <c r="E29" s="79">
        <f>'RC'!E149</f>
        <v>-2857.2049999999999</v>
      </c>
      <c r="F29" s="79">
        <f>'RC'!F149</f>
        <v>-291.30200000000002</v>
      </c>
      <c r="G29" s="79">
        <f>'RC'!G149</f>
        <v>-12103.861000000001</v>
      </c>
      <c r="H29" s="79">
        <f>'RC'!H149</f>
        <v>-4717.2520000000004</v>
      </c>
      <c r="I29" s="79">
        <f>'RC'!I149</f>
        <v>-12320.254000000001</v>
      </c>
      <c r="J29" s="79">
        <f>'RC'!J149</f>
        <v>-22387.696</v>
      </c>
      <c r="K29" s="79">
        <f>'RC'!K149</f>
        <v>-16284.208000000001</v>
      </c>
    </row>
    <row r="30" spans="1:11" ht="15.75" customHeight="1" x14ac:dyDescent="0.15">
      <c r="A30" s="65" t="s">
        <v>485</v>
      </c>
      <c r="B30" s="79">
        <f>AVERAGE('RC'!B73,'RC'!C73)</f>
        <v>1154562</v>
      </c>
      <c r="C30" s="79">
        <f>AVERAGE('RC'!C73,'RC'!D73)</f>
        <v>410914.78649999999</v>
      </c>
      <c r="D30" s="79">
        <f>AVERAGE('RC'!D73,'RC'!E73)</f>
        <v>389228.73699999996</v>
      </c>
      <c r="E30" s="79">
        <f>AVERAGE('RC'!E73,'RC'!F73)</f>
        <v>769999.07250000001</v>
      </c>
      <c r="F30" s="79">
        <f>AVERAGE('RC'!F73,'RC'!G73)</f>
        <v>400746.0895</v>
      </c>
      <c r="G30" s="79">
        <f>AVERAGE('RC'!G73,'RC'!H73)</f>
        <v>10308.730000000001</v>
      </c>
      <c r="H30" s="79">
        <f>AVERAGE('RC'!H73,'RC'!I73)</f>
        <v>88382.183000000005</v>
      </c>
      <c r="I30" s="79">
        <f>AVERAGE('RC'!I73,'RC'!J73)</f>
        <v>157896.44450000001</v>
      </c>
      <c r="J30" s="79">
        <f>AVERAGE('RC'!J73,'RC'!K73)</f>
        <v>181643.02049999998</v>
      </c>
      <c r="K30" s="79">
        <f>AVERAGE('RC'!K73,'RC'!L73)</f>
        <v>203780.99299999999</v>
      </c>
    </row>
    <row r="31" spans="1:11" ht="15.75" customHeight="1" x14ac:dyDescent="0.15">
      <c r="A31" s="65" t="s">
        <v>486</v>
      </c>
      <c r="B31" s="79">
        <f>AVERAGE('RC'!B33,'RC'!C33)</f>
        <v>314037.5</v>
      </c>
      <c r="C31" s="79">
        <f>AVERAGE('RC'!C33,'RC'!D33)</f>
        <v>203069.57750000001</v>
      </c>
      <c r="D31" s="79">
        <f>AVERAGE('RC'!D33,'RC'!E33)</f>
        <v>108268.039</v>
      </c>
      <c r="E31" s="79">
        <f>AVERAGE('RC'!E33,'RC'!F33)</f>
        <v>122879.84300000001</v>
      </c>
      <c r="F31" s="79">
        <f>AVERAGE('RC'!F33,'RC'!G33)</f>
        <v>123325.3155</v>
      </c>
      <c r="G31" s="79">
        <f>AVERAGE('RC'!G33,'RC'!H33)</f>
        <v>64152.022499999999</v>
      </c>
      <c r="H31" s="79">
        <f>AVERAGE('RC'!H33,'RC'!I33)</f>
        <v>34997.772000000004</v>
      </c>
      <c r="I31" s="79">
        <f>AVERAGE('RC'!I33,'RC'!J33)</f>
        <v>39704.177000000003</v>
      </c>
      <c r="J31" s="79">
        <f>AVERAGE('RC'!J33,'RC'!K33)</f>
        <v>19103.469000000001</v>
      </c>
      <c r="K31" s="79">
        <f>AVERAGE('RC'!K33,'RC'!L33)</f>
        <v>8542.9509999999991</v>
      </c>
    </row>
    <row r="32" spans="1:11" ht="15.75" customHeight="1" x14ac:dyDescent="0.15">
      <c r="A32" s="65" t="s">
        <v>487</v>
      </c>
      <c r="B32" s="79">
        <f>AVERAGE('RC'!B5:C5)</f>
        <v>96044.5</v>
      </c>
      <c r="C32" s="79">
        <f>AVERAGE('RC'!C5:D5)</f>
        <v>56958.359499999999</v>
      </c>
      <c r="D32" s="79">
        <f>AVERAGE('RC'!D5:E5)</f>
        <v>26710.565999999999</v>
      </c>
      <c r="E32" s="79">
        <f>AVERAGE('RC'!E5:F5)</f>
        <v>39400.695</v>
      </c>
      <c r="F32" s="79">
        <f>AVERAGE('RC'!F5:G5)</f>
        <v>59586.303</v>
      </c>
      <c r="G32" s="79">
        <f>AVERAGE('RC'!G5:H5)</f>
        <v>103188.5705</v>
      </c>
      <c r="H32" s="79">
        <f>AVERAGE('RC'!H5:I5)</f>
        <v>132760.16399999999</v>
      </c>
      <c r="I32" s="79">
        <f>AVERAGE('RC'!I5:J5)</f>
        <v>133917.2795</v>
      </c>
      <c r="J32" s="79">
        <f>AVERAGE('RC'!J5:K5)</f>
        <v>140317.87449999998</v>
      </c>
      <c r="K32" s="79">
        <f>AVERAGE('RC'!K5:L5)</f>
        <v>142030.00599999999</v>
      </c>
    </row>
    <row r="33" spans="1:11" ht="15.75" customHeight="1" x14ac:dyDescent="0.15">
      <c r="A33" s="65" t="s">
        <v>488</v>
      </c>
      <c r="B33" s="79">
        <f>AVERAGE('RC'!B48,'RC'!C48)</f>
        <v>216267.5</v>
      </c>
      <c r="C33" s="79">
        <f>AVERAGE('RC'!C48,'RC'!D48)</f>
        <v>217198.61499999999</v>
      </c>
      <c r="D33" s="79">
        <f>AVERAGE('RC'!D48,'RC'!E48)</f>
        <v>221159.2965</v>
      </c>
      <c r="E33" s="79">
        <f>AVERAGE('RC'!E48,'RC'!F48)</f>
        <v>162515.74350000001</v>
      </c>
      <c r="F33" s="79">
        <f>AVERAGE('RC'!F48,'RC'!G48)</f>
        <v>137310.16649999999</v>
      </c>
      <c r="G33" s="79">
        <f>AVERAGE('RC'!G48,'RC'!H48)</f>
        <v>168425.03350000002</v>
      </c>
      <c r="H33" s="79">
        <f>AVERAGE('RC'!H48,'RC'!I48)</f>
        <v>169754.28600000002</v>
      </c>
      <c r="I33" s="79">
        <f>AVERAGE('RC'!I48,'RC'!J48)</f>
        <v>141653.48850000001</v>
      </c>
      <c r="J33" s="79">
        <f>AVERAGE('RC'!J48,'RC'!K48)</f>
        <v>147549.63</v>
      </c>
      <c r="K33" s="79">
        <f>AVERAGE('RC'!K48,'RC'!L48)</f>
        <v>154221.997</v>
      </c>
    </row>
    <row r="34" spans="1:11" ht="15.75" customHeight="1" x14ac:dyDescent="0.15">
      <c r="A34" s="65" t="s">
        <v>489</v>
      </c>
      <c r="B34" s="79">
        <f>AVERAGE('RC'!B6,'RC'!C6)</f>
        <v>124615</v>
      </c>
      <c r="C34" s="79">
        <f>AVERAGE('RC'!C6,'RC'!D6)</f>
        <v>135911.57149999999</v>
      </c>
      <c r="D34" s="79">
        <f>AVERAGE('RC'!D6,'RC'!E6)</f>
        <v>143120.66800000001</v>
      </c>
      <c r="E34" s="79">
        <f>AVERAGE('RC'!E6,'RC'!F6)</f>
        <v>127459.789</v>
      </c>
      <c r="F34" s="79">
        <f>AVERAGE('RC'!F6,'RC'!G6)</f>
        <v>120911.656</v>
      </c>
      <c r="G34" s="79">
        <f>AVERAGE('RC'!G6,'RC'!H6)</f>
        <v>142660.633</v>
      </c>
      <c r="H34" s="79">
        <f>AVERAGE('RC'!H6,'RC'!I6)</f>
        <v>144228.2115</v>
      </c>
      <c r="I34" s="79">
        <f>AVERAGE('RC'!I6,'RC'!J6)</f>
        <v>126816.166</v>
      </c>
      <c r="J34" s="79">
        <f>AVERAGE('RC'!J6,'RC'!K6)</f>
        <v>129151.2935</v>
      </c>
      <c r="K34" s="79">
        <f>AVERAGE('RC'!K6,'RC'!L6)</f>
        <v>127191.33900000001</v>
      </c>
    </row>
    <row r="35" spans="1:11" ht="15.75" customHeight="1" x14ac:dyDescent="0.15">
      <c r="A35" s="65" t="s">
        <v>490</v>
      </c>
      <c r="B35" s="79">
        <f>'RC'!B6</f>
        <v>131166</v>
      </c>
      <c r="C35" s="79">
        <f>'RC'!C6</f>
        <v>118064</v>
      </c>
      <c r="D35" s="79">
        <f>'RC'!D6</f>
        <v>153759.14299999998</v>
      </c>
      <c r="E35" s="79">
        <f>'RC'!E6</f>
        <v>132482.193</v>
      </c>
      <c r="F35" s="79">
        <f>'RC'!F6</f>
        <v>122437.38500000001</v>
      </c>
      <c r="G35" s="79">
        <f>'RC'!G6</f>
        <v>119385.927</v>
      </c>
      <c r="H35" s="79">
        <f>'RC'!H6</f>
        <v>165935.33900000001</v>
      </c>
      <c r="I35" s="79">
        <f>'RC'!I6</f>
        <v>122521.084</v>
      </c>
      <c r="J35" s="79">
        <f>'RC'!J6</f>
        <v>131111.24799999999</v>
      </c>
      <c r="K35" s="79">
        <f>'RC'!K6</f>
        <v>127191.33900000001</v>
      </c>
    </row>
    <row r="36" spans="1:11" ht="15.75" customHeight="1" x14ac:dyDescent="0.15">
      <c r="A36" s="65" t="s">
        <v>491</v>
      </c>
      <c r="B36" s="79">
        <f>AVERAGE('RC'!B8:C8)+AVERAGE('RC'!B19:C19)+AVERAGE('RC'!B30:C30)</f>
        <v>524998.5</v>
      </c>
      <c r="C36" s="79">
        <f>AVERAGE('RC'!C8:D8)+AVERAGE('RC'!C19:D19)+AVERAGE('RC'!C30:D30)</f>
        <v>365263.35600000003</v>
      </c>
      <c r="D36" s="79">
        <f>AVERAGE('RC'!D8:E8)+AVERAGE('RC'!D19:E19)+AVERAGE('RC'!D30:E30)</f>
        <v>226113.39049999998</v>
      </c>
      <c r="E36" s="79">
        <f>AVERAGE('RC'!E8:F8)+AVERAGE('RC'!E19:F19)+AVERAGE('RC'!E30:F30)</f>
        <v>206385.39800000002</v>
      </c>
      <c r="F36" s="79">
        <f>AVERAGE('RC'!F8:G8)+AVERAGE('RC'!F19:G19)+AVERAGE('RC'!F30:G30)</f>
        <v>201192.46350000001</v>
      </c>
      <c r="G36" s="79">
        <f>AVERAGE('RC'!G8:H8)+AVERAGE('RC'!G19:H19)+AVERAGE('RC'!G30:H30)</f>
        <v>253874.73799999998</v>
      </c>
      <c r="H36" s="79">
        <f>AVERAGE('RC'!H8:I8)+AVERAGE('RC'!H19:I19)+AVERAGE('RC'!H30:I30)</f>
        <v>285343.89500000002</v>
      </c>
      <c r="I36" s="79">
        <f>AVERAGE('RC'!I8:J8)+AVERAGE('RC'!I19:J19)+AVERAGE('RC'!I30:J30)</f>
        <v>266313.67700000003</v>
      </c>
      <c r="J36" s="79">
        <f>AVERAGE('RC'!J8:K8)+AVERAGE('RC'!J19:K19)+AVERAGE('RC'!J30:K30)</f>
        <v>277394.17249999999</v>
      </c>
      <c r="K36" s="79">
        <f>AVERAGE('RC'!K8:L8)+AVERAGE('RC'!K19:L19)+AVERAGE('RC'!K30:L30)</f>
        <v>281017.50499999995</v>
      </c>
    </row>
    <row r="37" spans="1:11" ht="15.75" customHeight="1" x14ac:dyDescent="0.15">
      <c r="A37" s="65" t="s">
        <v>492</v>
      </c>
      <c r="B37" s="79">
        <f>'RC'!B8+'RC'!B19+'RC'!B30</f>
        <v>565393</v>
      </c>
      <c r="C37" s="79">
        <f>'RC'!C8+'RC'!C19+'RC'!C30</f>
        <v>484604</v>
      </c>
      <c r="D37" s="79">
        <f>'RC'!D8+'RC'!D19+'RC'!D30</f>
        <v>245922.712</v>
      </c>
      <c r="E37" s="79">
        <f>'RC'!E8+'RC'!E19+'RC'!E30</f>
        <v>206304.06900000002</v>
      </c>
      <c r="F37" s="79">
        <f>'RC'!F8+'RC'!F19+'RC'!F30</f>
        <v>206466.72700000001</v>
      </c>
      <c r="G37" s="79">
        <f>'RC'!G8+'RC'!G19+'RC'!G30</f>
        <v>195918.19999999998</v>
      </c>
      <c r="H37" s="79">
        <f>'RC'!H8+'RC'!H19+'RC'!H30</f>
        <v>311831.27600000001</v>
      </c>
      <c r="I37" s="79">
        <f>'RC'!I8+'RC'!I19+'RC'!I30</f>
        <v>258856.51400000002</v>
      </c>
      <c r="J37" s="79">
        <f>'RC'!J8+'RC'!J19+'RC'!J30</f>
        <v>273770.84000000003</v>
      </c>
      <c r="K37" s="79">
        <f>'RC'!K8+'RC'!K19+'RC'!K30</f>
        <v>281017.50499999995</v>
      </c>
    </row>
    <row r="38" spans="1:11" ht="15.75" customHeight="1" x14ac:dyDescent="0.15">
      <c r="A38" s="65" t="s">
        <v>493</v>
      </c>
      <c r="B38" s="79">
        <f>AVERAGE('RC'!B51:C51)+AVERAGE('RC'!B59:C59)+AVERAGE('RC'!B70:C70)</f>
        <v>325521</v>
      </c>
      <c r="C38" s="79">
        <f>AVERAGE('RC'!C51:D51)+AVERAGE('RC'!C59:D59)+AVERAGE('RC'!C70:D70)</f>
        <v>290790.79700000002</v>
      </c>
      <c r="D38" s="79">
        <f>AVERAGE('RC'!D51:E51)+AVERAGE('RC'!D59:E59)+AVERAGE('RC'!D70:E70)</f>
        <v>275176.99950000003</v>
      </c>
      <c r="E38" s="79">
        <f>AVERAGE('RC'!E51:F51)+AVERAGE('RC'!E59:F59)+AVERAGE('RC'!E70:F70)</f>
        <v>220668.00750000001</v>
      </c>
      <c r="F38" s="79">
        <f>AVERAGE('RC'!F51:G51)+AVERAGE('RC'!F59:G59)+AVERAGE('RC'!F70:G70)</f>
        <v>185816.1715</v>
      </c>
      <c r="G38" s="79">
        <f>AVERAGE('RC'!G51:H51)+AVERAGE('RC'!G59:H59)+AVERAGE('RC'!G70:H70)</f>
        <v>205673.92800000001</v>
      </c>
      <c r="H38" s="79">
        <f>AVERAGE('RC'!H51:I51)+AVERAGE('RC'!H59:I59)+AVERAGE('RC'!H70:I70)</f>
        <v>256891.31200000003</v>
      </c>
      <c r="I38" s="79">
        <f>AVERAGE('RC'!I51:J51)+AVERAGE('RC'!I59:J59)+AVERAGE('RC'!I70:J70)</f>
        <v>264163.13449999999</v>
      </c>
      <c r="J38" s="79">
        <f>AVERAGE('RC'!J51:K51)+AVERAGE('RC'!J59:K59)+AVERAGE('RC'!J70:K70)</f>
        <v>269733.90549999999</v>
      </c>
      <c r="K38" s="79">
        <f>AVERAGE('RC'!K51:L51)+AVERAGE('RC'!K59:L59)+AVERAGE('RC'!K70:L70)</f>
        <v>281006.04300000001</v>
      </c>
    </row>
    <row r="39" spans="1:11" ht="15.75" customHeight="1" x14ac:dyDescent="0.15">
      <c r="A39" s="65" t="s">
        <v>494</v>
      </c>
      <c r="B39" s="79">
        <f>'RC'!B51+'RC'!B59+'RC'!B70</f>
        <v>382681</v>
      </c>
      <c r="C39" s="79">
        <f>'RC'!C51+'RC'!C59+'RC'!C70</f>
        <v>268361</v>
      </c>
      <c r="D39" s="79">
        <f>'RC'!D51+'RC'!D59+'RC'!D70</f>
        <v>313220.59400000004</v>
      </c>
      <c r="E39" s="79">
        <f>'RC'!E51+'RC'!E59+'RC'!E70</f>
        <v>237133.405</v>
      </c>
      <c r="F39" s="79">
        <f>'RC'!F51+'RC'!F59+'RC'!F70</f>
        <v>204202.61000000002</v>
      </c>
      <c r="G39" s="79">
        <f>'RC'!G51+'RC'!G59+'RC'!G70</f>
        <v>167429.73300000001</v>
      </c>
      <c r="H39" s="79">
        <f>'RC'!H51+'RC'!H59+'RC'!H70</f>
        <v>243918.12299999999</v>
      </c>
      <c r="I39" s="79">
        <f>'RC'!I51+'RC'!I59+'RC'!I70</f>
        <v>269864.50100000005</v>
      </c>
      <c r="J39" s="79">
        <f>'RC'!J51+'RC'!J59+'RC'!J70</f>
        <v>258461.76800000001</v>
      </c>
      <c r="K39" s="79">
        <f>'RC'!K51+'RC'!K59+'RC'!K70</f>
        <v>281006.04300000001</v>
      </c>
    </row>
    <row r="40" spans="1:11" ht="15.75" customHeight="1" x14ac:dyDescent="0.15">
      <c r="A40" s="65" t="s">
        <v>495</v>
      </c>
      <c r="B40" s="79">
        <f>AVERAGE('RC'!B52,'RC'!C52)</f>
        <v>0</v>
      </c>
      <c r="C40" s="79">
        <f>AVERAGE('RC'!C52,'RC'!D52)</f>
        <v>0</v>
      </c>
      <c r="D40" s="79">
        <f>AVERAGE('RC'!D52,'RC'!E52)</f>
        <v>0</v>
      </c>
      <c r="E40" s="79">
        <f>AVERAGE('RC'!E52,'RC'!F52)</f>
        <v>0</v>
      </c>
      <c r="F40" s="79">
        <f>AVERAGE('RC'!F52,'RC'!G52)</f>
        <v>0</v>
      </c>
      <c r="G40" s="79">
        <f>AVERAGE('RC'!G52,'RC'!H52)</f>
        <v>0</v>
      </c>
      <c r="H40" s="79">
        <f>AVERAGE('RC'!H52,'RC'!I52)</f>
        <v>0</v>
      </c>
      <c r="I40" s="79">
        <f>AVERAGE('RC'!I52,'RC'!J52)</f>
        <v>0</v>
      </c>
      <c r="J40" s="79">
        <f>AVERAGE('RC'!J52,'RC'!K52)</f>
        <v>0</v>
      </c>
      <c r="K40" s="79">
        <f>AVERAGE('RC'!K52,'RC'!L52)</f>
        <v>0</v>
      </c>
    </row>
    <row r="41" spans="1:11" ht="15.75" customHeight="1" x14ac:dyDescent="0.15">
      <c r="A41" s="65" t="s">
        <v>496</v>
      </c>
      <c r="B41" s="79">
        <f>'RC'!B52</f>
        <v>0</v>
      </c>
      <c r="C41" s="79">
        <f>'RC'!C52</f>
        <v>0</v>
      </c>
      <c r="D41" s="79">
        <f>'RC'!D52</f>
        <v>0</v>
      </c>
      <c r="E41" s="79">
        <f>'RC'!E52</f>
        <v>0</v>
      </c>
      <c r="F41" s="79">
        <f>'RC'!F52</f>
        <v>0</v>
      </c>
      <c r="G41" s="79">
        <f>'RC'!G52</f>
        <v>0</v>
      </c>
      <c r="H41" s="79">
        <f>'RC'!H52</f>
        <v>0</v>
      </c>
      <c r="I41" s="79">
        <f>'RC'!I52</f>
        <v>0</v>
      </c>
      <c r="J41" s="79">
        <f>'RC'!J52</f>
        <v>0</v>
      </c>
      <c r="K41" s="79">
        <f>'RC'!K52</f>
        <v>0</v>
      </c>
    </row>
    <row r="42" spans="1:11" ht="15.75" customHeight="1" x14ac:dyDescent="0.15">
      <c r="A42" s="65" t="s">
        <v>497</v>
      </c>
      <c r="B42" s="79">
        <f>AVERAGE('RC'!B69,'RC'!C69)</f>
        <v>1064574</v>
      </c>
      <c r="C42" s="79">
        <f>AVERAGE('RC'!C69,'RC'!D69)</f>
        <v>351759.5</v>
      </c>
      <c r="D42" s="79">
        <f>AVERAGE('RC'!D69,'RC'!E69)</f>
        <v>362808.58850000001</v>
      </c>
      <c r="E42" s="79">
        <f>AVERAGE('RC'!E69,'RC'!F69)</f>
        <v>753054.67249999999</v>
      </c>
      <c r="F42" s="79">
        <f>AVERAGE('RC'!F69,'RC'!G69)</f>
        <v>390246.08399999997</v>
      </c>
      <c r="G42" s="79">
        <f>AVERAGE('RC'!G69,'RC'!H69)</f>
        <v>0</v>
      </c>
      <c r="H42" s="79">
        <f>AVERAGE('RC'!H69,'RC'!I69)</f>
        <v>27889.977999999999</v>
      </c>
      <c r="I42" s="79">
        <f>AVERAGE('RC'!I69,'RC'!J69)</f>
        <v>67824.856</v>
      </c>
      <c r="J42" s="79">
        <f>AVERAGE('RC'!J69,'RC'!K69)</f>
        <v>91572.826000000001</v>
      </c>
      <c r="K42" s="79">
        <f>AVERAGE('RC'!K69,'RC'!L69)</f>
        <v>103275.89599999999</v>
      </c>
    </row>
    <row r="43" spans="1:11" ht="15.75" customHeight="1" x14ac:dyDescent="0.15">
      <c r="A43" s="65" t="s">
        <v>498</v>
      </c>
      <c r="B43" s="79">
        <f>'RC'!B69</f>
        <v>1425629</v>
      </c>
      <c r="C43" s="79">
        <f>'RC'!C69</f>
        <v>703519</v>
      </c>
      <c r="D43" s="79">
        <f>'RC'!D69</f>
        <v>0</v>
      </c>
      <c r="E43" s="79">
        <f>'RC'!E69</f>
        <v>725617.17700000003</v>
      </c>
      <c r="F43" s="79">
        <f>'RC'!F69</f>
        <v>780492.16799999995</v>
      </c>
      <c r="G43" s="79">
        <f>'RC'!G69</f>
        <v>0</v>
      </c>
      <c r="H43" s="79">
        <f>'RC'!H69</f>
        <v>0</v>
      </c>
      <c r="I43" s="79">
        <f>'RC'!I69</f>
        <v>55779.955999999998</v>
      </c>
      <c r="J43" s="79">
        <f>'RC'!J69</f>
        <v>79869.755999999994</v>
      </c>
      <c r="K43" s="79">
        <f>'RC'!K69</f>
        <v>103275.89599999999</v>
      </c>
    </row>
    <row r="44" spans="1:11" ht="15.75" customHeight="1" x14ac:dyDescent="0.15">
      <c r="A44" s="65" t="s">
        <v>499</v>
      </c>
      <c r="B44" s="79">
        <f>(('RC'!B12+'RC'!B15)+'RC'!C12+'RC'!C15)/2</f>
        <v>1075360</v>
      </c>
      <c r="C44" s="79">
        <f>(('RC'!C12+'RC'!C15)+'RC'!D12+'RC'!D15)/2</f>
        <v>316264.07050000003</v>
      </c>
      <c r="D44" s="79">
        <f>(('RC'!D12+'RC'!D15)+'RC'!E12+'RC'!E15)/2</f>
        <v>315835.56700000004</v>
      </c>
      <c r="E44" s="79">
        <f>(('RC'!E12+'RC'!E15)+'RC'!F12+'RC'!F15)/2</f>
        <v>309139.93950000004</v>
      </c>
      <c r="F44" s="79">
        <f>(('RC'!F12+'RC'!F15)+'RC'!G12+'RC'!G15)/2</f>
        <v>238054.36549999999</v>
      </c>
      <c r="G44" s="79">
        <f>(('RC'!G12+'RC'!G15)+'RC'!H12+'RC'!H15)/2</f>
        <v>164631.94800000003</v>
      </c>
      <c r="H44" s="79">
        <f>(('RC'!H12+'RC'!H15)+'RC'!I12+'RC'!I15)/2</f>
        <v>166387.25899999999</v>
      </c>
      <c r="I44" s="79">
        <f>(('RC'!I12+'RC'!I15)+'RC'!J12+'RC'!J15)/2</f>
        <v>165451.9135</v>
      </c>
      <c r="J44" s="79">
        <f>(('RC'!J12+'RC'!J15)+'RC'!K12+'RC'!K15)/2</f>
        <v>164586.5575</v>
      </c>
      <c r="K44" s="79">
        <f>(('RC'!K12+'RC'!K15)+'RC'!L12+'RC'!L15)/2</f>
        <v>84733.377499999988</v>
      </c>
    </row>
    <row r="45" spans="1:11" ht="15.75" customHeight="1" x14ac:dyDescent="0.15">
      <c r="A45" s="65" t="s">
        <v>500</v>
      </c>
      <c r="B45" s="79">
        <f>'RC'!B12</f>
        <v>1840005</v>
      </c>
      <c r="C45" s="79">
        <f>'RC'!C12</f>
        <v>310715</v>
      </c>
      <c r="D45" s="79">
        <f>'RC'!D12</f>
        <v>311031.01300000004</v>
      </c>
      <c r="E45" s="79">
        <f>'RC'!E12</f>
        <v>309514.55800000002</v>
      </c>
      <c r="F45" s="79">
        <f>'RC'!F12</f>
        <v>308051.201</v>
      </c>
      <c r="G45" s="79">
        <f>'RC'!G12</f>
        <v>167362.049</v>
      </c>
      <c r="H45" s="79">
        <f>'RC'!H12</f>
        <v>161295.07500000001</v>
      </c>
      <c r="I45" s="79">
        <f>'RC'!I12</f>
        <v>170919.209</v>
      </c>
      <c r="J45" s="79">
        <f>'RC'!J12</f>
        <v>159415.28399999999</v>
      </c>
      <c r="K45" s="79">
        <f>'RC'!K12</f>
        <v>169179.91499999998</v>
      </c>
    </row>
    <row r="46" spans="1:11" ht="15.75" customHeight="1" x14ac:dyDescent="0.15">
      <c r="A46" s="65" t="s">
        <v>501</v>
      </c>
      <c r="B46" s="79">
        <f>AVERAGE('RC'!B84,'RC'!C84)</f>
        <v>1239821.5</v>
      </c>
      <c r="C46" s="79">
        <f>AVERAGE('RC'!C84,'RC'!D84)</f>
        <v>697469.53700000001</v>
      </c>
      <c r="D46" s="79">
        <f>AVERAGE('RC'!D84,'RC'!E84)</f>
        <v>435471.37099999998</v>
      </c>
      <c r="E46" s="79">
        <f>AVERAGE('RC'!E84,'RC'!F84)</f>
        <v>119798.66449999998</v>
      </c>
      <c r="F46" s="79">
        <f>AVERAGE('RC'!F84,'RC'!G84)</f>
        <v>273355.51599999995</v>
      </c>
      <c r="G46" s="79">
        <f>AVERAGE('RC'!G84,'RC'!H84)</f>
        <v>427166.09149999992</v>
      </c>
      <c r="H46" s="79">
        <f>AVERAGE('RC'!H84,'RC'!I84)</f>
        <v>403336.74349999998</v>
      </c>
      <c r="I46" s="79">
        <f>AVERAGE('RC'!I84,'RC'!J84)</f>
        <v>361329.10199999996</v>
      </c>
      <c r="J46" s="79">
        <f>AVERAGE('RC'!J84,'RC'!K84)</f>
        <v>327807.86549999996</v>
      </c>
      <c r="K46" s="79">
        <f>AVERAGE('RC'!K84,'RC'!L84)</f>
        <v>307236.20199999999</v>
      </c>
    </row>
    <row r="47" spans="1:11" ht="15.75" customHeight="1" x14ac:dyDescent="0.15">
      <c r="A47" s="65" t="s">
        <v>502</v>
      </c>
      <c r="B47" s="79">
        <f>'RC'!C84</f>
        <v>638820</v>
      </c>
      <c r="C47" s="79">
        <f>'RC'!D84</f>
        <v>756119.07400000002</v>
      </c>
      <c r="D47" s="79">
        <f>'RC'!E84</f>
        <v>114823.66799999999</v>
      </c>
      <c r="E47" s="79">
        <f>'RC'!F84</f>
        <v>124773.66099999998</v>
      </c>
      <c r="F47" s="79">
        <f>'RC'!G84</f>
        <v>421937.37099999993</v>
      </c>
      <c r="G47" s="79">
        <f>'RC'!H84</f>
        <v>432394.81199999992</v>
      </c>
      <c r="H47" s="79">
        <f>'RC'!I84</f>
        <v>374278.67499999999</v>
      </c>
      <c r="I47" s="79">
        <f>'RC'!J84</f>
        <v>348379.52899999998</v>
      </c>
      <c r="J47" s="79">
        <f>'RC'!K84</f>
        <v>307236.20199999999</v>
      </c>
      <c r="K47" s="79">
        <f>'RC'!L84</f>
        <v>0</v>
      </c>
    </row>
    <row r="48" spans="1:11" ht="15.75" customHeight="1" x14ac:dyDescent="0.15">
      <c r="A48" s="65" t="s">
        <v>503</v>
      </c>
      <c r="B48" s="79">
        <f>'RC'!B84</f>
        <v>1840823</v>
      </c>
      <c r="C48" s="79">
        <f>'RC'!C84</f>
        <v>638820</v>
      </c>
      <c r="D48" s="79">
        <f>'RC'!D84</f>
        <v>756119.07400000002</v>
      </c>
      <c r="E48" s="79">
        <f>'RC'!E84</f>
        <v>114823.66799999999</v>
      </c>
      <c r="F48" s="79">
        <f>'RC'!F84</f>
        <v>124773.66099999998</v>
      </c>
      <c r="G48" s="79">
        <f>'RC'!G84</f>
        <v>421937.37099999993</v>
      </c>
      <c r="H48" s="79">
        <f>'RC'!H84</f>
        <v>432394.81199999992</v>
      </c>
      <c r="I48" s="79">
        <f>'RC'!I84</f>
        <v>374278.67499999999</v>
      </c>
      <c r="J48" s="79">
        <f>'RC'!J84</f>
        <v>348379.52899999998</v>
      </c>
      <c r="K48" s="79">
        <f>'RC'!K84</f>
        <v>307236.20199999999</v>
      </c>
    </row>
    <row r="49" spans="1:11" ht="15.75" customHeight="1" x14ac:dyDescent="0.15">
      <c r="A49" s="65" t="s">
        <v>504</v>
      </c>
      <c r="B49" s="79">
        <f>'RC'!C82+'RC'!C79-'RC'!B79</f>
        <v>-1088945</v>
      </c>
      <c r="C49" s="79">
        <f>'RC'!D82+'RC'!D79-'RC'!C79</f>
        <v>-31171.914000000008</v>
      </c>
      <c r="D49" s="79">
        <f>'RC'!E82+'RC'!E79-'RC'!D79</f>
        <v>-4499.9999999999964</v>
      </c>
      <c r="E49" s="79">
        <f>'RC'!F82+'RC'!F79-'RC'!E79</f>
        <v>0</v>
      </c>
      <c r="F49" s="79">
        <f>'RC'!G82+'RC'!G79-'RC'!F79</f>
        <v>172042.81199999998</v>
      </c>
      <c r="G49" s="79">
        <f>'RC'!H82+'RC'!H79-'RC'!G79</f>
        <v>4000.0020000000077</v>
      </c>
      <c r="H49" s="79">
        <f>'RC'!I82+'RC'!I79-'RC'!H79</f>
        <v>28000.15400000001</v>
      </c>
      <c r="I49" s="79">
        <f>'RC'!J82+'RC'!J79-'RC'!I79</f>
        <v>30000.165000000037</v>
      </c>
      <c r="J49" s="79">
        <f>'RC'!K82+'RC'!K79-'RC'!J79</f>
        <v>22000.121999999974</v>
      </c>
      <c r="K49" s="79">
        <f>'RC'!L82+'RC'!L79-'RC'!K79</f>
        <v>-172816.59099999999</v>
      </c>
    </row>
    <row r="50" spans="1:11" ht="15.75" customHeight="1" x14ac:dyDescent="0.15">
      <c r="A50" s="65" t="s">
        <v>505</v>
      </c>
      <c r="B50" s="79">
        <f>'RC'!B76-'RC'!C76</f>
        <v>437975</v>
      </c>
      <c r="C50" s="79">
        <f>'RC'!C76-'RC'!D76</f>
        <v>-68969.353000000003</v>
      </c>
      <c r="D50" s="79">
        <f>'RC'!D76-'RC'!E76</f>
        <v>621855.20600000001</v>
      </c>
      <c r="E50" s="79">
        <f>'RC'!E76-'RC'!F76</f>
        <v>-2196.2730000000001</v>
      </c>
      <c r="F50" s="79">
        <f>'RC'!F76-'RC'!G76</f>
        <v>-77071.239000000001</v>
      </c>
      <c r="G50" s="79">
        <f>'RC'!G76-'RC'!H76</f>
        <v>-6893.6900000000023</v>
      </c>
      <c r="H50" s="79">
        <f>'RC'!H76-'RC'!I76</f>
        <v>80208.762000000002</v>
      </c>
      <c r="I50" s="79">
        <f>'RC'!I76-'RC'!J76</f>
        <v>6933.8879999999999</v>
      </c>
      <c r="J50" s="79">
        <f>'RC'!J76-'RC'!K76</f>
        <v>8489.7789999999986</v>
      </c>
      <c r="K50" s="79">
        <f>'RC'!K76-'RC'!L76</f>
        <v>-11756.079999999998</v>
      </c>
    </row>
    <row r="51" spans="1:11" ht="15.75" customHeight="1" x14ac:dyDescent="0.15">
      <c r="A51" s="65" t="s">
        <v>506</v>
      </c>
      <c r="B51" s="79">
        <f>RF!C43-RF!D43</f>
        <v>1024653</v>
      </c>
      <c r="C51" s="79">
        <f>RF!D43-RF!E43</f>
        <v>48924.385000000009</v>
      </c>
      <c r="D51" s="79">
        <f>RF!E43-RF!F43</f>
        <v>-6836.372000000003</v>
      </c>
      <c r="E51" s="79">
        <f>RF!F43-RF!G43</f>
        <v>-55428.652000000002</v>
      </c>
      <c r="F51" s="79">
        <f>RF!G43-RF!H43</f>
        <v>-171606.56099999999</v>
      </c>
      <c r="G51" s="79">
        <f>RF!H43-RF!I43</f>
        <v>1907.5270000000019</v>
      </c>
      <c r="H51" s="79">
        <f>RF!I43-RF!J43</f>
        <v>20965.269</v>
      </c>
      <c r="I51" s="79">
        <f>RF!J43-RF!K43</f>
        <v>24653.504999999976</v>
      </c>
      <c r="J51" s="79">
        <f>RF!K43-RF!L43</f>
        <v>16874.308000000019</v>
      </c>
      <c r="K51" s="79">
        <f>RF!L43-RF!M43</f>
        <v>172816.59099999999</v>
      </c>
    </row>
    <row r="52" spans="1:11" ht="15.75" customHeight="1" x14ac:dyDescent="0.15">
      <c r="A52" s="65" t="s">
        <v>507</v>
      </c>
      <c r="B52" s="79">
        <f>'RC'!B82-'RC'!C82</f>
        <v>-260625</v>
      </c>
      <c r="C52" s="79">
        <f>'RC'!C82-'RC'!D82</f>
        <v>-82044.471000000005</v>
      </c>
      <c r="D52" s="79">
        <f>'RC'!D82-'RC'!E82</f>
        <v>29088.843000000001</v>
      </c>
      <c r="E52" s="79">
        <f>'RC'!E82-'RC'!F82</f>
        <v>44092.28</v>
      </c>
      <c r="F52" s="79">
        <f>'RC'!F82-'RC'!G82</f>
        <v>-55864.902999999998</v>
      </c>
      <c r="G52" s="79">
        <f>'RC'!G82-'RC'!H82</f>
        <v>-5471.2780000000002</v>
      </c>
      <c r="H52" s="79">
        <f>'RC'!H82-'RC'!I82</f>
        <v>-43057.894</v>
      </c>
      <c r="I52" s="79">
        <f>'RC'!I82-'RC'!J82</f>
        <v>-5688.2469999999958</v>
      </c>
      <c r="J52" s="79">
        <f>'RC'!J82-'RC'!K82</f>
        <v>15779.239999999998</v>
      </c>
      <c r="K52" s="79">
        <f>'RC'!K82-'RC'!L82</f>
        <v>38874.43</v>
      </c>
    </row>
    <row r="53" spans="1:11" ht="15.75" customHeight="1" x14ac:dyDescent="0.15">
      <c r="A53" s="65" t="s">
        <v>508</v>
      </c>
      <c r="B53" s="79">
        <f>'RC'!B77-'RC'!C77</f>
        <v>764028</v>
      </c>
      <c r="C53" s="79">
        <f>'RC'!C77-'RC'!D77</f>
        <v>-48329.72099999999</v>
      </c>
      <c r="D53" s="79">
        <f>'RC'!D77-'RC'!E77</f>
        <v>19440.199999999997</v>
      </c>
      <c r="E53" s="79">
        <f>'RC'!E77-'RC'!F77</f>
        <v>-7753.7199999999866</v>
      </c>
      <c r="F53" s="79">
        <f>'RC'!F77-'RC'!G77</f>
        <v>-220092.47099999996</v>
      </c>
      <c r="G53" s="79">
        <f>'RC'!G77-'RC'!H77</f>
        <v>-3563.7509999999893</v>
      </c>
      <c r="H53" s="79">
        <f>'RC'!H77-'RC'!I77</f>
        <v>-22092.625000000058</v>
      </c>
      <c r="I53" s="79">
        <f>'RC'!I77-'RC'!J77</f>
        <v>18965.258000000031</v>
      </c>
      <c r="J53" s="79">
        <f>'RC'!J77-'RC'!K77</f>
        <v>32653.547999999952</v>
      </c>
      <c r="K53" s="79">
        <f>'RC'!K77-'RC'!L77</f>
        <v>318992.28200000001</v>
      </c>
    </row>
    <row r="54" spans="1:11" ht="15.75" customHeight="1" x14ac:dyDescent="0.15"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spans="1:11" ht="13" x14ac:dyDescent="0.15"/>
    <row r="56" spans="1:11" s="76" customFormat="1" ht="18" x14ac:dyDescent="0.2">
      <c r="A56" s="76" t="s">
        <v>456</v>
      </c>
      <c r="B56" s="76" t="str">
        <f t="shared" ref="B56:K56" si="4">B1</f>
        <v>31/12/2024</v>
      </c>
      <c r="C56" s="76" t="str">
        <f t="shared" si="4"/>
        <v>31/12/2023</v>
      </c>
      <c r="D56" s="76" t="str">
        <f t="shared" si="4"/>
        <v>31/12/2022</v>
      </c>
      <c r="E56" s="76" t="str">
        <f t="shared" si="4"/>
        <v>31/12/2021</v>
      </c>
      <c r="F56" s="76" t="str">
        <f t="shared" si="4"/>
        <v>31/12/2020</v>
      </c>
      <c r="G56" s="76" t="str">
        <f t="shared" si="4"/>
        <v>31/12/2019</v>
      </c>
      <c r="H56" s="76" t="str">
        <f t="shared" si="4"/>
        <v>31/12/2018</v>
      </c>
      <c r="I56" s="76" t="str">
        <f t="shared" si="4"/>
        <v>31/12/2017</v>
      </c>
      <c r="J56" s="76" t="str">
        <f t="shared" si="4"/>
        <v>31/12/2016</v>
      </c>
      <c r="K56" s="76" t="str">
        <f t="shared" si="4"/>
        <v>31/12/2015</v>
      </c>
    </row>
    <row r="57" spans="1:11" s="74" customFormat="1" ht="15.75" customHeight="1" x14ac:dyDescent="0.15">
      <c r="A57" s="80" t="s">
        <v>509</v>
      </c>
    </row>
    <row r="58" spans="1:11" ht="15.75" customHeight="1" x14ac:dyDescent="0.15">
      <c r="A58" s="65" t="s">
        <v>459</v>
      </c>
      <c r="B58" s="82">
        <f t="shared" ref="B58:K58" si="5">B4</f>
        <v>60536</v>
      </c>
      <c r="C58" s="82">
        <f t="shared" si="5"/>
        <v>57190</v>
      </c>
      <c r="D58" s="82">
        <f t="shared" si="5"/>
        <v>11294.284000000102</v>
      </c>
      <c r="E58" s="82">
        <f t="shared" si="5"/>
        <v>9288.811999999929</v>
      </c>
      <c r="F58" s="82">
        <f t="shared" si="5"/>
        <v>3264.1819999999625</v>
      </c>
      <c r="G58" s="82">
        <f t="shared" si="5"/>
        <v>30663.779999999933</v>
      </c>
      <c r="H58" s="82">
        <f t="shared" si="5"/>
        <v>33717.56599999997</v>
      </c>
      <c r="I58" s="82">
        <f t="shared" si="5"/>
        <v>77298.708999999973</v>
      </c>
      <c r="J58" s="82">
        <f t="shared" si="5"/>
        <v>70853.290000000081</v>
      </c>
      <c r="K58" s="82">
        <f t="shared" si="5"/>
        <v>51933.839999999953</v>
      </c>
    </row>
    <row r="59" spans="1:11" ht="15.75" customHeight="1" x14ac:dyDescent="0.15">
      <c r="A59" s="65" t="s">
        <v>510</v>
      </c>
      <c r="B59" s="82">
        <f t="shared" ref="B59:K59" si="6">B7</f>
        <v>700351</v>
      </c>
      <c r="C59" s="82">
        <f t="shared" si="6"/>
        <v>567524</v>
      </c>
      <c r="D59" s="82">
        <f t="shared" si="6"/>
        <v>731617.36700000009</v>
      </c>
      <c r="E59" s="82">
        <f t="shared" si="6"/>
        <v>575309.42799999996</v>
      </c>
      <c r="F59" s="82">
        <f t="shared" si="6"/>
        <v>470766.30099999998</v>
      </c>
      <c r="G59" s="82">
        <f t="shared" si="6"/>
        <v>599353.34899999993</v>
      </c>
      <c r="H59" s="82">
        <f t="shared" si="6"/>
        <v>601111.28299999994</v>
      </c>
      <c r="I59" s="82">
        <f t="shared" si="6"/>
        <v>658456.38</v>
      </c>
      <c r="J59" s="82">
        <f t="shared" si="6"/>
        <v>649016.10900000005</v>
      </c>
      <c r="K59" s="82">
        <f t="shared" si="6"/>
        <v>617897.50099999993</v>
      </c>
    </row>
    <row r="60" spans="1:11" s="74" customFormat="1" ht="15.75" customHeight="1" x14ac:dyDescent="0.15">
      <c r="A60" s="74" t="s">
        <v>511</v>
      </c>
      <c r="B60" s="77">
        <f t="shared" ref="B60:K60" si="7">B58/B59</f>
        <v>8.6436658189964752E-2</v>
      </c>
      <c r="C60" s="77">
        <f t="shared" si="7"/>
        <v>0.1007710687125126</v>
      </c>
      <c r="D60" s="77">
        <f t="shared" si="7"/>
        <v>1.5437419215883786E-2</v>
      </c>
      <c r="E60" s="77">
        <f t="shared" si="7"/>
        <v>1.6145767039298251E-2</v>
      </c>
      <c r="F60" s="77">
        <f t="shared" si="7"/>
        <v>6.9337630859859752E-3</v>
      </c>
      <c r="G60" s="77">
        <f t="shared" si="7"/>
        <v>5.1161439326503098E-2</v>
      </c>
      <c r="H60" s="77">
        <f t="shared" si="7"/>
        <v>5.6092053091606954E-2</v>
      </c>
      <c r="I60" s="77">
        <f t="shared" si="7"/>
        <v>0.11739381885858555</v>
      </c>
      <c r="J60" s="77">
        <f t="shared" si="7"/>
        <v>0.10917031028578071</v>
      </c>
      <c r="K60" s="77">
        <f t="shared" si="7"/>
        <v>8.4049279882101285E-2</v>
      </c>
    </row>
    <row r="61" spans="1:11" ht="15.75" customHeight="1" x14ac:dyDescent="0.15">
      <c r="B61" s="82"/>
      <c r="C61" s="82"/>
      <c r="D61" s="82"/>
      <c r="E61" s="82"/>
      <c r="F61" s="82"/>
      <c r="G61" s="82"/>
      <c r="H61" s="82"/>
      <c r="I61" s="82"/>
      <c r="J61" s="82"/>
      <c r="K61" s="82"/>
    </row>
    <row r="62" spans="1:11" ht="15.75" customHeight="1" x14ac:dyDescent="0.15">
      <c r="A62" s="65" t="s">
        <v>459</v>
      </c>
      <c r="B62" s="82">
        <f t="shared" ref="B62:K62" si="8">B4</f>
        <v>60536</v>
      </c>
      <c r="C62" s="82">
        <f t="shared" si="8"/>
        <v>57190</v>
      </c>
      <c r="D62" s="82">
        <f t="shared" si="8"/>
        <v>11294.284000000102</v>
      </c>
      <c r="E62" s="82">
        <f t="shared" si="8"/>
        <v>9288.811999999929</v>
      </c>
      <c r="F62" s="82">
        <f t="shared" si="8"/>
        <v>3264.1819999999625</v>
      </c>
      <c r="G62" s="82">
        <f t="shared" si="8"/>
        <v>30663.779999999933</v>
      </c>
      <c r="H62" s="82">
        <f t="shared" si="8"/>
        <v>33717.56599999997</v>
      </c>
      <c r="I62" s="82">
        <f t="shared" si="8"/>
        <v>77298.708999999973</v>
      </c>
      <c r="J62" s="82">
        <f t="shared" si="8"/>
        <v>70853.290000000081</v>
      </c>
      <c r="K62" s="82">
        <f t="shared" si="8"/>
        <v>51933.839999999953</v>
      </c>
    </row>
    <row r="63" spans="1:11" ht="15.75" customHeight="1" x14ac:dyDescent="0.15">
      <c r="A63" s="65" t="s">
        <v>512</v>
      </c>
      <c r="B63" s="82">
        <f t="shared" ref="B63:K63" si="9">B14</f>
        <v>1292505.5</v>
      </c>
      <c r="C63" s="82">
        <f t="shared" si="9"/>
        <v>402682.08650000003</v>
      </c>
      <c r="D63" s="82">
        <f t="shared" si="9"/>
        <v>246543.91850000003</v>
      </c>
      <c r="E63" s="82">
        <f t="shared" si="9"/>
        <v>270002.11550000001</v>
      </c>
      <c r="F63" s="82">
        <f t="shared" si="9"/>
        <v>226122.826</v>
      </c>
      <c r="G63" s="82">
        <f t="shared" si="9"/>
        <v>191205.77150000003</v>
      </c>
      <c r="H63" s="82">
        <f t="shared" si="9"/>
        <v>225113.75750000001</v>
      </c>
      <c r="I63" s="82">
        <f t="shared" si="9"/>
        <v>230898.89399999997</v>
      </c>
      <c r="J63" s="82">
        <f t="shared" si="9"/>
        <v>239675.13699999999</v>
      </c>
      <c r="K63" s="82">
        <f t="shared" si="9"/>
        <v>249554.54300000001</v>
      </c>
    </row>
    <row r="64" spans="1:11" s="74" customFormat="1" ht="15.75" customHeight="1" x14ac:dyDescent="0.15">
      <c r="A64" s="74" t="s">
        <v>513</v>
      </c>
      <c r="B64" s="77">
        <f t="shared" ref="B64:K64" si="10">B62/B63</f>
        <v>4.6836164333536684E-2</v>
      </c>
      <c r="C64" s="77">
        <f t="shared" si="10"/>
        <v>0.14202270703690714</v>
      </c>
      <c r="D64" s="77">
        <f t="shared" si="10"/>
        <v>4.5810434379058108E-2</v>
      </c>
      <c r="E64" s="77">
        <f t="shared" si="10"/>
        <v>3.4402737855585168E-2</v>
      </c>
      <c r="F64" s="77">
        <f t="shared" si="10"/>
        <v>1.443543784474002E-2</v>
      </c>
      <c r="G64" s="77">
        <f t="shared" si="10"/>
        <v>0.16037057751679806</v>
      </c>
      <c r="H64" s="77">
        <f t="shared" si="10"/>
        <v>0.14978012172356889</v>
      </c>
      <c r="I64" s="77">
        <f t="shared" si="10"/>
        <v>0.33477297210440504</v>
      </c>
      <c r="J64" s="77">
        <f t="shared" si="10"/>
        <v>0.29562219463756928</v>
      </c>
      <c r="K64" s="77">
        <f t="shared" si="10"/>
        <v>0.20810616939960877</v>
      </c>
    </row>
    <row r="65" spans="1:11" ht="15.75" customHeight="1" x14ac:dyDescent="0.15">
      <c r="B65" s="82"/>
      <c r="C65" s="82"/>
      <c r="D65" s="82"/>
      <c r="E65" s="82"/>
      <c r="F65" s="82"/>
      <c r="G65" s="82"/>
      <c r="H65" s="82"/>
      <c r="I65" s="82"/>
      <c r="J65" s="82"/>
      <c r="K65" s="82"/>
    </row>
    <row r="66" spans="1:11" ht="15.75" customHeight="1" x14ac:dyDescent="0.15">
      <c r="A66" s="65" t="s">
        <v>514</v>
      </c>
      <c r="B66" s="82">
        <f t="shared" ref="B66:K66" si="11">-B27</f>
        <v>355850</v>
      </c>
      <c r="C66" s="82">
        <f t="shared" si="11"/>
        <v>135795</v>
      </c>
      <c r="D66" s="82">
        <f t="shared" si="11"/>
        <v>57535.862000000001</v>
      </c>
      <c r="E66" s="82">
        <f t="shared" si="11"/>
        <v>41740</v>
      </c>
      <c r="F66" s="82">
        <f t="shared" si="11"/>
        <v>69507.698999999993</v>
      </c>
      <c r="G66" s="82">
        <f t="shared" si="11"/>
        <v>5823.7510000000002</v>
      </c>
      <c r="H66" s="82">
        <f t="shared" si="11"/>
        <v>4557.97</v>
      </c>
      <c r="I66" s="82">
        <f t="shared" si="11"/>
        <v>2723.6190000000001</v>
      </c>
      <c r="J66" s="82">
        <f t="shared" si="11"/>
        <v>3414.9189999999999</v>
      </c>
      <c r="K66" s="82">
        <f t="shared" si="11"/>
        <v>4104.1790000000001</v>
      </c>
    </row>
    <row r="67" spans="1:11" ht="15.75" customHeight="1" x14ac:dyDescent="0.15">
      <c r="A67" s="65" t="s">
        <v>515</v>
      </c>
      <c r="B67" s="82">
        <f t="shared" ref="B67:K67" si="12">B30</f>
        <v>1154562</v>
      </c>
      <c r="C67" s="82">
        <f t="shared" si="12"/>
        <v>410914.78649999999</v>
      </c>
      <c r="D67" s="82">
        <f t="shared" si="12"/>
        <v>389228.73699999996</v>
      </c>
      <c r="E67" s="82">
        <f t="shared" si="12"/>
        <v>769999.07250000001</v>
      </c>
      <c r="F67" s="82">
        <f t="shared" si="12"/>
        <v>400746.0895</v>
      </c>
      <c r="G67" s="82">
        <f t="shared" si="12"/>
        <v>10308.730000000001</v>
      </c>
      <c r="H67" s="82">
        <f t="shared" si="12"/>
        <v>88382.183000000005</v>
      </c>
      <c r="I67" s="82">
        <f t="shared" si="12"/>
        <v>157896.44450000001</v>
      </c>
      <c r="J67" s="82">
        <f t="shared" si="12"/>
        <v>181643.02049999998</v>
      </c>
      <c r="K67" s="82">
        <f t="shared" si="12"/>
        <v>203780.99299999999</v>
      </c>
    </row>
    <row r="68" spans="1:11" s="74" customFormat="1" ht="15.75" customHeight="1" x14ac:dyDescent="0.15">
      <c r="A68" s="74" t="s">
        <v>516</v>
      </c>
      <c r="B68" s="77">
        <f t="shared" ref="B68:K68" si="13">B66/B67</f>
        <v>0.30821211853499425</v>
      </c>
      <c r="C68" s="77">
        <f t="shared" si="13"/>
        <v>0.33046997689385899</v>
      </c>
      <c r="D68" s="77">
        <f t="shared" si="13"/>
        <v>0.14782018009117351</v>
      </c>
      <c r="E68" s="77">
        <f t="shared" si="13"/>
        <v>5.4207857503620567E-2</v>
      </c>
      <c r="F68" s="77">
        <f t="shared" si="13"/>
        <v>0.17344573240059025</v>
      </c>
      <c r="G68" s="77">
        <f t="shared" si="13"/>
        <v>0.5649338958339194</v>
      </c>
      <c r="H68" s="77">
        <f t="shared" si="13"/>
        <v>5.1571140758086956E-2</v>
      </c>
      <c r="I68" s="77">
        <f t="shared" si="13"/>
        <v>1.724940044485929E-2</v>
      </c>
      <c r="J68" s="77">
        <f t="shared" si="13"/>
        <v>1.8800166340550366E-2</v>
      </c>
      <c r="K68" s="77">
        <f t="shared" si="13"/>
        <v>2.0140146240233504E-2</v>
      </c>
    </row>
    <row r="69" spans="1:11" ht="15.75" customHeight="1" x14ac:dyDescent="0.15">
      <c r="B69" s="82"/>
      <c r="C69" s="82"/>
      <c r="D69" s="82"/>
      <c r="E69" s="82"/>
      <c r="F69" s="82"/>
      <c r="G69" s="82"/>
      <c r="H69" s="82"/>
      <c r="I69" s="82"/>
      <c r="J69" s="82"/>
      <c r="K69" s="82"/>
    </row>
    <row r="70" spans="1:11" ht="15.75" customHeight="1" x14ac:dyDescent="0.15">
      <c r="A70" s="65" t="s">
        <v>517</v>
      </c>
      <c r="B70" s="82">
        <f t="shared" ref="B70:K70" si="14">B28</f>
        <v>29006</v>
      </c>
      <c r="C70" s="82">
        <f t="shared" si="14"/>
        <v>22875</v>
      </c>
      <c r="D70" s="82">
        <f t="shared" si="14"/>
        <v>7976.72</v>
      </c>
      <c r="E70" s="82">
        <f t="shared" si="14"/>
        <v>6455.6469999999999</v>
      </c>
      <c r="F70" s="82">
        <f t="shared" si="14"/>
        <v>7773.098</v>
      </c>
      <c r="G70" s="82">
        <f t="shared" si="14"/>
        <v>851.75099999999998</v>
      </c>
      <c r="H70" s="82">
        <f t="shared" si="14"/>
        <v>1026.672</v>
      </c>
      <c r="I70" s="82">
        <f t="shared" si="14"/>
        <v>1144.6680000000001</v>
      </c>
      <c r="J70" s="82">
        <f t="shared" si="14"/>
        <v>450.45099999999996</v>
      </c>
      <c r="K70" s="82">
        <f t="shared" si="14"/>
        <v>1503.171</v>
      </c>
    </row>
    <row r="71" spans="1:11" ht="15.75" customHeight="1" x14ac:dyDescent="0.15">
      <c r="A71" s="65" t="s">
        <v>518</v>
      </c>
      <c r="B71" s="82">
        <f t="shared" ref="B71:K71" si="15">B31</f>
        <v>314037.5</v>
      </c>
      <c r="C71" s="82">
        <f t="shared" si="15"/>
        <v>203069.57750000001</v>
      </c>
      <c r="D71" s="82">
        <f t="shared" si="15"/>
        <v>108268.039</v>
      </c>
      <c r="E71" s="82">
        <f t="shared" si="15"/>
        <v>122879.84300000001</v>
      </c>
      <c r="F71" s="82">
        <f t="shared" si="15"/>
        <v>123325.3155</v>
      </c>
      <c r="G71" s="82">
        <f t="shared" si="15"/>
        <v>64152.022499999999</v>
      </c>
      <c r="H71" s="82">
        <f t="shared" si="15"/>
        <v>34997.772000000004</v>
      </c>
      <c r="I71" s="82">
        <f t="shared" si="15"/>
        <v>39704.177000000003</v>
      </c>
      <c r="J71" s="82">
        <f t="shared" si="15"/>
        <v>19103.469000000001</v>
      </c>
      <c r="K71" s="82">
        <f t="shared" si="15"/>
        <v>8542.9509999999991</v>
      </c>
    </row>
    <row r="72" spans="1:11" s="74" customFormat="1" ht="15.75" customHeight="1" x14ac:dyDescent="0.15">
      <c r="A72" s="74" t="s">
        <v>519</v>
      </c>
      <c r="B72" s="77">
        <f t="shared" ref="B72:K72" si="16">B70/B71</f>
        <v>9.2364765354456077E-2</v>
      </c>
      <c r="C72" s="77">
        <f t="shared" si="16"/>
        <v>0.11264612002258191</v>
      </c>
      <c r="D72" s="77">
        <f t="shared" si="16"/>
        <v>7.3675667109847631E-2</v>
      </c>
      <c r="E72" s="77">
        <f t="shared" si="16"/>
        <v>5.2536256902606882E-2</v>
      </c>
      <c r="F72" s="77">
        <f t="shared" si="16"/>
        <v>6.3029216414208167E-2</v>
      </c>
      <c r="G72" s="77">
        <f t="shared" si="16"/>
        <v>1.3277071662082049E-2</v>
      </c>
      <c r="H72" s="77">
        <f t="shared" si="16"/>
        <v>2.9335353119049976E-2</v>
      </c>
      <c r="I72" s="77">
        <f t="shared" si="16"/>
        <v>2.8829913789675077E-2</v>
      </c>
      <c r="J72" s="77">
        <f t="shared" si="16"/>
        <v>2.3579539401979814E-2</v>
      </c>
      <c r="K72" s="77">
        <f t="shared" si="16"/>
        <v>0.17595453842589057</v>
      </c>
    </row>
    <row r="73" spans="1:11" ht="15.75" customHeight="1" x14ac:dyDescent="0.15">
      <c r="B73" s="82"/>
      <c r="C73" s="82"/>
      <c r="D73" s="82"/>
      <c r="E73" s="82"/>
      <c r="F73" s="82"/>
      <c r="G73" s="82"/>
      <c r="H73" s="82"/>
      <c r="I73" s="82"/>
      <c r="J73" s="82"/>
      <c r="K73" s="82"/>
    </row>
    <row r="74" spans="1:11" ht="15.75" customHeight="1" x14ac:dyDescent="0.15">
      <c r="A74" s="65" t="s">
        <v>520</v>
      </c>
      <c r="B74" s="82">
        <f t="shared" ref="B74:K74" si="17">B17</f>
        <v>2000</v>
      </c>
      <c r="C74" s="82">
        <f t="shared" si="17"/>
        <v>475</v>
      </c>
      <c r="D74" s="82">
        <f t="shared" si="17"/>
        <v>53000</v>
      </c>
      <c r="E74" s="82">
        <f t="shared" si="17"/>
        <v>15827.805</v>
      </c>
      <c r="F74" s="82">
        <f t="shared" si="17"/>
        <v>7825.268</v>
      </c>
      <c r="G74" s="82">
        <f t="shared" si="17"/>
        <v>6793.7470000000003</v>
      </c>
      <c r="H74" s="82">
        <f t="shared" si="17"/>
        <v>6812.8969999999999</v>
      </c>
      <c r="I74" s="82">
        <f t="shared" si="17"/>
        <v>7560.9319999999998</v>
      </c>
      <c r="J74" s="82">
        <f t="shared" si="17"/>
        <v>7605.4920000000002</v>
      </c>
      <c r="K74" s="82">
        <f t="shared" si="17"/>
        <v>6245.6940000000004</v>
      </c>
    </row>
    <row r="75" spans="1:11" ht="15.75" customHeight="1" x14ac:dyDescent="0.15">
      <c r="A75" s="65" t="s">
        <v>521</v>
      </c>
      <c r="B75" s="82">
        <f t="shared" ref="B75:K75" si="18">B18</f>
        <v>787840.5</v>
      </c>
      <c r="C75" s="82">
        <f t="shared" si="18"/>
        <v>502632.65949999995</v>
      </c>
      <c r="D75" s="82">
        <f t="shared" si="18"/>
        <v>469888.15049999999</v>
      </c>
      <c r="E75" s="82">
        <f t="shared" si="18"/>
        <v>496915.77850000001</v>
      </c>
      <c r="F75" s="82">
        <f t="shared" si="18"/>
        <v>324653.46400000004</v>
      </c>
      <c r="G75" s="82">
        <f t="shared" si="18"/>
        <v>182117.0275</v>
      </c>
      <c r="H75" s="82">
        <f t="shared" si="18"/>
        <v>231607.397</v>
      </c>
      <c r="I75" s="82">
        <f t="shared" si="18"/>
        <v>248622.47549999997</v>
      </c>
      <c r="J75" s="82">
        <f t="shared" si="18"/>
        <v>250672.27999999997</v>
      </c>
      <c r="K75" s="82">
        <f t="shared" si="18"/>
        <v>252919.701</v>
      </c>
    </row>
    <row r="76" spans="1:11" s="74" customFormat="1" ht="15.75" customHeight="1" x14ac:dyDescent="0.15">
      <c r="A76" s="74" t="s">
        <v>522</v>
      </c>
      <c r="B76" s="77">
        <f t="shared" ref="B76:K76" si="19">B74/B75</f>
        <v>2.538584903924081E-3</v>
      </c>
      <c r="C76" s="77">
        <f t="shared" si="19"/>
        <v>9.4502414640646739E-4</v>
      </c>
      <c r="D76" s="77">
        <f t="shared" si="19"/>
        <v>0.11279279961327733</v>
      </c>
      <c r="E76" s="77">
        <f t="shared" si="19"/>
        <v>3.185208778795097E-2</v>
      </c>
      <c r="F76" s="77">
        <f t="shared" si="19"/>
        <v>2.4103448346388195E-2</v>
      </c>
      <c r="G76" s="77">
        <f t="shared" si="19"/>
        <v>3.7304293251766367E-2</v>
      </c>
      <c r="H76" s="77">
        <f t="shared" si="19"/>
        <v>2.9415714213998096E-2</v>
      </c>
      <c r="I76" s="77">
        <f t="shared" si="19"/>
        <v>3.0411297228033596E-2</v>
      </c>
      <c r="J76" s="77">
        <f t="shared" si="19"/>
        <v>3.034037907980891E-2</v>
      </c>
      <c r="K76" s="77">
        <f t="shared" si="19"/>
        <v>2.4694375231765753E-2</v>
      </c>
    </row>
    <row r="77" spans="1:11" ht="15.75" customHeight="1" x14ac:dyDescent="0.15">
      <c r="B77" s="82"/>
      <c r="C77" s="82"/>
      <c r="D77" s="82"/>
      <c r="E77" s="82"/>
      <c r="F77" s="82"/>
      <c r="G77" s="82"/>
      <c r="H77" s="82"/>
      <c r="I77" s="82"/>
      <c r="J77" s="82"/>
      <c r="K77" s="82"/>
    </row>
    <row r="78" spans="1:11" ht="15.75" customHeight="1" x14ac:dyDescent="0.15">
      <c r="A78" s="65" t="s">
        <v>461</v>
      </c>
      <c r="B78" s="82">
        <f t="shared" ref="B78:K78" si="20">B6</f>
        <v>-324917</v>
      </c>
      <c r="C78" s="82">
        <f t="shared" si="20"/>
        <v>-64292</v>
      </c>
      <c r="D78" s="82">
        <f t="shared" si="20"/>
        <v>17752.471000000107</v>
      </c>
      <c r="E78" s="82">
        <f t="shared" si="20"/>
        <v>-11336.372000000078</v>
      </c>
      <c r="F78" s="82">
        <f t="shared" si="20"/>
        <v>-55428.652000000031</v>
      </c>
      <c r="G78" s="82">
        <f t="shared" si="20"/>
        <v>436.25099999992744</v>
      </c>
      <c r="H78" s="82">
        <f t="shared" si="20"/>
        <v>5907.5289999999695</v>
      </c>
      <c r="I78" s="82">
        <f t="shared" si="20"/>
        <v>48965.422999999973</v>
      </c>
      <c r="J78" s="82">
        <f t="shared" si="20"/>
        <v>54653.670000000086</v>
      </c>
      <c r="K78" s="82">
        <f t="shared" si="20"/>
        <v>38874.429999999957</v>
      </c>
    </row>
    <row r="79" spans="1:11" ht="15.75" customHeight="1" x14ac:dyDescent="0.15">
      <c r="A79" s="65" t="s">
        <v>523</v>
      </c>
      <c r="B79" s="82">
        <f t="shared" ref="B79:K79" si="21">B46</f>
        <v>1239821.5</v>
      </c>
      <c r="C79" s="82">
        <f t="shared" si="21"/>
        <v>697469.53700000001</v>
      </c>
      <c r="D79" s="82">
        <f t="shared" si="21"/>
        <v>435471.37099999998</v>
      </c>
      <c r="E79" s="82">
        <f t="shared" si="21"/>
        <v>119798.66449999998</v>
      </c>
      <c r="F79" s="82">
        <f t="shared" si="21"/>
        <v>273355.51599999995</v>
      </c>
      <c r="G79" s="82">
        <f t="shared" si="21"/>
        <v>427166.09149999992</v>
      </c>
      <c r="H79" s="82">
        <f t="shared" si="21"/>
        <v>403336.74349999998</v>
      </c>
      <c r="I79" s="82">
        <f t="shared" si="21"/>
        <v>361329.10199999996</v>
      </c>
      <c r="J79" s="82">
        <f t="shared" si="21"/>
        <v>327807.86549999996</v>
      </c>
      <c r="K79" s="82">
        <f t="shared" si="21"/>
        <v>307236.20199999999</v>
      </c>
    </row>
    <row r="80" spans="1:11" s="74" customFormat="1" ht="15.75" customHeight="1" x14ac:dyDescent="0.15">
      <c r="A80" s="74" t="s">
        <v>524</v>
      </c>
      <c r="B80" s="77">
        <f t="shared" ref="B80:K80" si="22">B78/B79</f>
        <v>-0.26206756375817003</v>
      </c>
      <c r="C80" s="77">
        <f t="shared" si="22"/>
        <v>-9.2178936268007924E-2</v>
      </c>
      <c r="D80" s="77">
        <f t="shared" si="22"/>
        <v>4.076610354254518E-2</v>
      </c>
      <c r="E80" s="77">
        <f t="shared" si="22"/>
        <v>-9.4628534026771891E-2</v>
      </c>
      <c r="F80" s="77">
        <f t="shared" si="22"/>
        <v>-0.20277129509250524</v>
      </c>
      <c r="G80" s="77">
        <f t="shared" si="22"/>
        <v>1.0212678596936984E-3</v>
      </c>
      <c r="H80" s="77">
        <f t="shared" si="22"/>
        <v>1.4646642278947169E-2</v>
      </c>
      <c r="I80" s="77">
        <f t="shared" si="22"/>
        <v>0.1355147502068626</v>
      </c>
      <c r="J80" s="77">
        <f t="shared" si="22"/>
        <v>0.16672470600007641</v>
      </c>
      <c r="K80" s="77">
        <f t="shared" si="22"/>
        <v>0.12652945761906001</v>
      </c>
    </row>
    <row r="81" spans="1:11" ht="15.75" customHeight="1" x14ac:dyDescent="0.15">
      <c r="B81" s="82"/>
      <c r="C81" s="82"/>
      <c r="D81" s="82"/>
      <c r="E81" s="82"/>
      <c r="F81" s="82"/>
      <c r="G81" s="82"/>
      <c r="H81" s="82"/>
      <c r="I81" s="82"/>
      <c r="J81" s="82"/>
      <c r="K81" s="82"/>
    </row>
    <row r="82" spans="1:11" ht="15.75" customHeight="1" x14ac:dyDescent="0.15">
      <c r="A82" s="65" t="s">
        <v>525</v>
      </c>
      <c r="B82" s="82">
        <f t="shared" ref="B82:K82" si="23">B3</f>
        <v>-271350</v>
      </c>
      <c r="C82" s="82">
        <f t="shared" si="23"/>
        <v>-55571</v>
      </c>
      <c r="D82" s="82">
        <f t="shared" si="23"/>
        <v>22828.294000000104</v>
      </c>
      <c r="E82" s="82">
        <f t="shared" si="23"/>
        <v>-8349.646000000077</v>
      </c>
      <c r="F82" s="82">
        <f t="shared" si="23"/>
        <v>-54355.359000000026</v>
      </c>
      <c r="G82" s="82">
        <f t="shared" si="23"/>
        <v>33258.554999999935</v>
      </c>
      <c r="H82" s="82">
        <f t="shared" si="23"/>
        <v>37150.587999999967</v>
      </c>
      <c r="I82" s="82">
        <f t="shared" si="23"/>
        <v>79225.106999999975</v>
      </c>
      <c r="J82" s="82">
        <f t="shared" si="23"/>
        <v>75601.821000000084</v>
      </c>
      <c r="K82" s="82">
        <f t="shared" si="23"/>
        <v>54747.825999999957</v>
      </c>
    </row>
    <row r="83" spans="1:11" ht="15.75" customHeight="1" x14ac:dyDescent="0.15">
      <c r="A83" s="65" t="s">
        <v>523</v>
      </c>
      <c r="B83" s="82">
        <f t="shared" ref="B83:K83" si="24">B46</f>
        <v>1239821.5</v>
      </c>
      <c r="C83" s="82">
        <f t="shared" si="24"/>
        <v>697469.53700000001</v>
      </c>
      <c r="D83" s="82">
        <f t="shared" si="24"/>
        <v>435471.37099999998</v>
      </c>
      <c r="E83" s="82">
        <f t="shared" si="24"/>
        <v>119798.66449999998</v>
      </c>
      <c r="F83" s="82">
        <f t="shared" si="24"/>
        <v>273355.51599999995</v>
      </c>
      <c r="G83" s="82">
        <f t="shared" si="24"/>
        <v>427166.09149999992</v>
      </c>
      <c r="H83" s="82">
        <f t="shared" si="24"/>
        <v>403336.74349999998</v>
      </c>
      <c r="I83" s="82">
        <f t="shared" si="24"/>
        <v>361329.10199999996</v>
      </c>
      <c r="J83" s="82">
        <f t="shared" si="24"/>
        <v>327807.86549999996</v>
      </c>
      <c r="K83" s="82">
        <f t="shared" si="24"/>
        <v>307236.20199999999</v>
      </c>
    </row>
    <row r="84" spans="1:11" s="74" customFormat="1" ht="15.75" customHeight="1" x14ac:dyDescent="0.15">
      <c r="A84" s="74" t="s">
        <v>526</v>
      </c>
      <c r="B84" s="77">
        <f t="shared" ref="B84:K84" si="25">B82/B83</f>
        <v>-0.21886215072089008</v>
      </c>
      <c r="C84" s="77">
        <f t="shared" si="25"/>
        <v>-7.9675164364920503E-2</v>
      </c>
      <c r="D84" s="77">
        <f t="shared" si="25"/>
        <v>5.2422031665544565E-2</v>
      </c>
      <c r="E84" s="77">
        <f t="shared" si="25"/>
        <v>-6.9697321208452026E-2</v>
      </c>
      <c r="F84" s="77">
        <f t="shared" si="25"/>
        <v>-0.19884493203349163</v>
      </c>
      <c r="G84" s="77">
        <f t="shared" si="25"/>
        <v>7.7858602688270592E-2</v>
      </c>
      <c r="H84" s="77">
        <f t="shared" si="25"/>
        <v>9.2108117097444583E-2</v>
      </c>
      <c r="I84" s="77">
        <f t="shared" si="25"/>
        <v>0.21926024380953402</v>
      </c>
      <c r="J84" s="77">
        <f t="shared" si="25"/>
        <v>0.23062845330049012</v>
      </c>
      <c r="K84" s="77">
        <f t="shared" si="25"/>
        <v>0.17819458007751299</v>
      </c>
    </row>
    <row r="85" spans="1:11" ht="15.75" customHeight="1" x14ac:dyDescent="0.15">
      <c r="B85" s="82"/>
      <c r="C85" s="82"/>
      <c r="D85" s="82"/>
      <c r="E85" s="82"/>
      <c r="F85" s="82"/>
      <c r="G85" s="82"/>
      <c r="H85" s="82"/>
      <c r="I85" s="82"/>
      <c r="J85" s="82"/>
      <c r="K85" s="82"/>
    </row>
    <row r="86" spans="1:11" ht="15.75" customHeight="1" x14ac:dyDescent="0.15">
      <c r="A86" s="81" t="s">
        <v>527</v>
      </c>
      <c r="B86" s="82"/>
      <c r="C86" s="82"/>
      <c r="D86" s="82"/>
      <c r="E86" s="82"/>
      <c r="F86" s="82"/>
      <c r="G86" s="82"/>
      <c r="H86" s="82"/>
      <c r="I86" s="82"/>
      <c r="J86" s="82"/>
      <c r="K86" s="82"/>
    </row>
    <row r="87" spans="1:11" ht="15.75" customHeight="1" x14ac:dyDescent="0.15">
      <c r="A87" s="65" t="s">
        <v>513</v>
      </c>
      <c r="B87" s="82">
        <f t="shared" ref="B87:K87" si="26">B64</f>
        <v>4.6836164333536684E-2</v>
      </c>
      <c r="C87" s="82">
        <f t="shared" si="26"/>
        <v>0.14202270703690714</v>
      </c>
      <c r="D87" s="82">
        <f t="shared" si="26"/>
        <v>4.5810434379058108E-2</v>
      </c>
      <c r="E87" s="82">
        <f t="shared" si="26"/>
        <v>3.4402737855585168E-2</v>
      </c>
      <c r="F87" s="82">
        <f t="shared" si="26"/>
        <v>1.443543784474002E-2</v>
      </c>
      <c r="G87" s="82">
        <f t="shared" si="26"/>
        <v>0.16037057751679806</v>
      </c>
      <c r="H87" s="82">
        <f t="shared" si="26"/>
        <v>0.14978012172356889</v>
      </c>
      <c r="I87" s="82">
        <f t="shared" si="26"/>
        <v>0.33477297210440504</v>
      </c>
      <c r="J87" s="82">
        <f t="shared" si="26"/>
        <v>0.29562219463756928</v>
      </c>
      <c r="K87" s="82">
        <f t="shared" si="26"/>
        <v>0.20810616939960877</v>
      </c>
    </row>
    <row r="88" spans="1:11" ht="15.75" customHeight="1" x14ac:dyDescent="0.15">
      <c r="A88" s="65" t="s">
        <v>528</v>
      </c>
      <c r="B88" s="82">
        <f t="shared" ref="B88:K88" si="27">(B87-B68)*(B30/B46)</f>
        <v>-0.24340176745986677</v>
      </c>
      <c r="C88" s="82">
        <f t="shared" si="27"/>
        <v>-0.11102387351976528</v>
      </c>
      <c r="D88" s="82">
        <f t="shared" si="27"/>
        <v>-9.1177347420200089E-2</v>
      </c>
      <c r="E88" s="82">
        <f t="shared" si="27"/>
        <v>-0.12729627515788197</v>
      </c>
      <c r="F88" s="82">
        <f t="shared" si="27"/>
        <v>-0.23311310730418963</v>
      </c>
      <c r="G88" s="82">
        <f t="shared" si="27"/>
        <v>-9.7632609409383786E-3</v>
      </c>
      <c r="H88" s="82">
        <f t="shared" si="27"/>
        <v>2.1520291091294393E-2</v>
      </c>
      <c r="I88" s="82">
        <f t="shared" si="27"/>
        <v>0.13875395790838693</v>
      </c>
      <c r="J88" s="82">
        <f t="shared" si="27"/>
        <v>0.15339103985229721</v>
      </c>
      <c r="K88" s="82">
        <f t="shared" si="27"/>
        <v>0.12467249171918383</v>
      </c>
    </row>
    <row r="89" spans="1:11" ht="15.75" customHeight="1" x14ac:dyDescent="0.15">
      <c r="A89" s="65" t="s">
        <v>529</v>
      </c>
      <c r="B89" s="82">
        <f t="shared" ref="B89:K89" si="28">(B72-B87)*(B31/B46)</f>
        <v>1.1532053640872477E-2</v>
      </c>
      <c r="C89" s="82">
        <f t="shared" si="28"/>
        <v>-8.553048981967239E-3</v>
      </c>
      <c r="D89" s="82">
        <f t="shared" si="28"/>
        <v>6.927927540020069E-3</v>
      </c>
      <c r="E89" s="82">
        <f t="shared" si="28"/>
        <v>1.8599906625299135E-2</v>
      </c>
      <c r="F89" s="82">
        <f t="shared" si="28"/>
        <v>2.1923256428514136E-2</v>
      </c>
      <c r="G89" s="82">
        <f t="shared" si="28"/>
        <v>-2.2090578079500076E-2</v>
      </c>
      <c r="H89" s="82">
        <f t="shared" si="28"/>
        <v>-1.0451065066958653E-2</v>
      </c>
      <c r="I89" s="82">
        <f t="shared" si="28"/>
        <v>-3.3618153843720459E-2</v>
      </c>
      <c r="J89" s="82">
        <f t="shared" si="28"/>
        <v>-1.5853672159586333E-2</v>
      </c>
      <c r="K89" s="82">
        <f t="shared" si="28"/>
        <v>-8.9400209412352025E-4</v>
      </c>
    </row>
    <row r="90" spans="1:11" ht="15.75" customHeight="1" x14ac:dyDescent="0.15">
      <c r="A90" s="65" t="s">
        <v>530</v>
      </c>
      <c r="B90" s="82">
        <f t="shared" ref="B90:K90" si="29">(B76-B87)*(B75/B46)</f>
        <v>-2.8148751353816427E-2</v>
      </c>
      <c r="C90" s="82">
        <f t="shared" si="29"/>
        <v>-0.10166788251764176</v>
      </c>
      <c r="D90" s="82">
        <f t="shared" si="29"/>
        <v>7.2276208752245996E-2</v>
      </c>
      <c r="E90" s="82">
        <f t="shared" si="29"/>
        <v>-1.0579903117697322E-2</v>
      </c>
      <c r="F90" s="82">
        <f t="shared" si="29"/>
        <v>1.1482311186829897E-2</v>
      </c>
      <c r="G90" s="82">
        <f t="shared" si="29"/>
        <v>-5.2467801920128759E-2</v>
      </c>
      <c r="H90" s="82">
        <f t="shared" si="29"/>
        <v>-6.9116656401870674E-2</v>
      </c>
      <c r="I90" s="82">
        <f t="shared" si="29"/>
        <v>-0.20942446273007265</v>
      </c>
      <c r="J90" s="82">
        <f t="shared" si="29"/>
        <v>-0.20285906638321119</v>
      </c>
      <c r="K90" s="82">
        <f t="shared" si="29"/>
        <v>-0.1509862960120969</v>
      </c>
    </row>
    <row r="91" spans="1:11" s="74" customFormat="1" ht="15.75" customHeight="1" x14ac:dyDescent="0.15">
      <c r="A91" s="74" t="s">
        <v>526</v>
      </c>
      <c r="B91" s="77">
        <f t="shared" ref="B91:K91" si="30">SUM(B87:B90)</f>
        <v>-0.21318230083927403</v>
      </c>
      <c r="C91" s="77">
        <f t="shared" si="30"/>
        <v>-7.9222097982467141E-2</v>
      </c>
      <c r="D91" s="77">
        <f t="shared" si="30"/>
        <v>3.3837223251124086E-2</v>
      </c>
      <c r="E91" s="77">
        <f t="shared" si="30"/>
        <v>-8.4873533794694991E-2</v>
      </c>
      <c r="F91" s="77">
        <f t="shared" si="30"/>
        <v>-0.18527210184410556</v>
      </c>
      <c r="G91" s="77">
        <f t="shared" si="30"/>
        <v>7.6048936576230852E-2</v>
      </c>
      <c r="H91" s="77">
        <f t="shared" si="30"/>
        <v>9.1732691346033957E-2</v>
      </c>
      <c r="I91" s="77">
        <f t="shared" si="30"/>
        <v>0.23048431343899889</v>
      </c>
      <c r="J91" s="77">
        <f t="shared" si="30"/>
        <v>0.230300495947069</v>
      </c>
      <c r="K91" s="77">
        <f t="shared" si="30"/>
        <v>0.18089836301257217</v>
      </c>
    </row>
    <row r="92" spans="1:11" ht="15.75" customHeight="1" x14ac:dyDescent="0.15">
      <c r="B92" s="82"/>
      <c r="C92" s="82"/>
      <c r="D92" s="82"/>
      <c r="E92" s="82"/>
      <c r="F92" s="82"/>
      <c r="G92" s="82"/>
      <c r="H92" s="82"/>
      <c r="I92" s="82"/>
      <c r="J92" s="82"/>
      <c r="K92" s="82"/>
    </row>
    <row r="93" spans="1:11" ht="15.75" customHeight="1" x14ac:dyDescent="0.15">
      <c r="A93" s="81" t="s">
        <v>531</v>
      </c>
      <c r="B93" s="82"/>
      <c r="C93" s="82"/>
      <c r="D93" s="82"/>
      <c r="E93" s="82"/>
      <c r="F93" s="82"/>
      <c r="G93" s="82"/>
      <c r="H93" s="82"/>
      <c r="I93" s="82"/>
      <c r="J93" s="82"/>
      <c r="K93" s="82"/>
    </row>
    <row r="94" spans="1:11" ht="15.75" customHeight="1" x14ac:dyDescent="0.15">
      <c r="A94" s="65" t="s">
        <v>532</v>
      </c>
      <c r="B94" s="82">
        <f t="shared" ref="B94:K94" si="31">B64*(B14/B46)</f>
        <v>4.882638347536318E-2</v>
      </c>
      <c r="C94" s="82">
        <f t="shared" si="31"/>
        <v>8.1996412697806484E-2</v>
      </c>
      <c r="D94" s="82">
        <f t="shared" si="31"/>
        <v>2.5935766969167995E-2</v>
      </c>
      <c r="E94" s="82">
        <f t="shared" si="31"/>
        <v>7.7536857683417088E-2</v>
      </c>
      <c r="F94" s="82">
        <f t="shared" si="31"/>
        <v>1.1941160170332773E-2</v>
      </c>
      <c r="G94" s="82">
        <f t="shared" si="31"/>
        <v>7.1784209023529055E-2</v>
      </c>
      <c r="H94" s="82">
        <f t="shared" si="31"/>
        <v>8.3596564268883608E-2</v>
      </c>
      <c r="I94" s="82">
        <f t="shared" si="31"/>
        <v>0.21392882159821153</v>
      </c>
      <c r="J94" s="82">
        <f t="shared" si="31"/>
        <v>0.21614273925956207</v>
      </c>
      <c r="K94" s="82">
        <f t="shared" si="31"/>
        <v>0.16903554874695384</v>
      </c>
    </row>
    <row r="95" spans="1:11" ht="15.75" customHeight="1" x14ac:dyDescent="0.15">
      <c r="A95" s="65" t="s">
        <v>533</v>
      </c>
      <c r="B95" s="82">
        <f t="shared" ref="B95:K95" si="32">-B68*(B30/B46)</f>
        <v>-0.28701712302940385</v>
      </c>
      <c r="C95" s="82">
        <f t="shared" si="32"/>
        <v>-0.19469667533307625</v>
      </c>
      <c r="D95" s="82">
        <f t="shared" si="32"/>
        <v>-0.13212317922961694</v>
      </c>
      <c r="E95" s="82">
        <f t="shared" si="32"/>
        <v>-0.3484179074467062</v>
      </c>
      <c r="F95" s="82">
        <f t="shared" si="32"/>
        <v>-0.25427582372254015</v>
      </c>
      <c r="G95" s="82">
        <f t="shared" si="32"/>
        <v>-1.3633458076107621E-2</v>
      </c>
      <c r="H95" s="82">
        <f t="shared" si="32"/>
        <v>-1.13006565195318E-2</v>
      </c>
      <c r="I95" s="82">
        <f t="shared" si="32"/>
        <v>-7.5377792293076932E-3</v>
      </c>
      <c r="J95" s="82">
        <f t="shared" si="32"/>
        <v>-1.0417440700488622E-2</v>
      </c>
      <c r="K95" s="82">
        <f t="shared" si="32"/>
        <v>-1.3358383462896733E-2</v>
      </c>
    </row>
    <row r="96" spans="1:11" ht="15.75" customHeight="1" x14ac:dyDescent="0.15">
      <c r="A96" s="65" t="s">
        <v>534</v>
      </c>
      <c r="B96" s="82">
        <f t="shared" ref="B96:K96" si="33">B72*(B31/B46)</f>
        <v>2.3395303275511842E-2</v>
      </c>
      <c r="C96" s="82">
        <f t="shared" si="33"/>
        <v>3.2797131324747736E-2</v>
      </c>
      <c r="D96" s="82">
        <f t="shared" si="33"/>
        <v>1.8317438369559319E-2</v>
      </c>
      <c r="E96" s="82">
        <f t="shared" si="33"/>
        <v>5.3887470506818552E-2</v>
      </c>
      <c r="F96" s="82">
        <f t="shared" si="33"/>
        <v>2.8435855671557046E-2</v>
      </c>
      <c r="G96" s="82">
        <f t="shared" si="33"/>
        <v>1.9939574253402554E-3</v>
      </c>
      <c r="H96" s="82">
        <f t="shared" si="33"/>
        <v>2.5454462469522076E-3</v>
      </c>
      <c r="I96" s="82">
        <f t="shared" si="33"/>
        <v>3.1679374666035076E-3</v>
      </c>
      <c r="J96" s="82">
        <f t="shared" si="33"/>
        <v>1.3741311524448456E-3</v>
      </c>
      <c r="K96" s="82">
        <f t="shared" si="33"/>
        <v>4.8925582018488831E-3</v>
      </c>
    </row>
    <row r="97" spans="1:11" ht="15.75" customHeight="1" x14ac:dyDescent="0.15">
      <c r="A97" s="65" t="s">
        <v>535</v>
      </c>
      <c r="B97" s="82">
        <f t="shared" ref="B97:K97" si="34">B76*(B18/B46)</f>
        <v>1.6131354392547638E-3</v>
      </c>
      <c r="C97" s="82">
        <f t="shared" si="34"/>
        <v>6.8103332805487097E-4</v>
      </c>
      <c r="D97" s="82">
        <f t="shared" si="34"/>
        <v>0.12170719714201372</v>
      </c>
      <c r="E97" s="82">
        <f t="shared" si="34"/>
        <v>0.13212004546177558</v>
      </c>
      <c r="F97" s="82">
        <f t="shared" si="34"/>
        <v>2.8626706036544741E-2</v>
      </c>
      <c r="G97" s="82">
        <f t="shared" si="34"/>
        <v>1.5904228203469189E-2</v>
      </c>
      <c r="H97" s="82">
        <f t="shared" si="34"/>
        <v>1.6891337349729953E-2</v>
      </c>
      <c r="I97" s="82">
        <f t="shared" si="34"/>
        <v>2.092533360349148E-2</v>
      </c>
      <c r="J97" s="82">
        <f t="shared" si="34"/>
        <v>2.3201066235550721E-2</v>
      </c>
      <c r="K97" s="82">
        <f t="shared" si="34"/>
        <v>2.0328639526666199E-2</v>
      </c>
    </row>
    <row r="98" spans="1:11" s="74" customFormat="1" ht="15.75" customHeight="1" x14ac:dyDescent="0.15">
      <c r="A98" s="74" t="s">
        <v>526</v>
      </c>
      <c r="B98" s="77">
        <f t="shared" ref="B98:K98" si="35">SUM(B94:B97)</f>
        <v>-0.21318230083927409</v>
      </c>
      <c r="C98" s="77">
        <f t="shared" si="35"/>
        <v>-7.9222097982467155E-2</v>
      </c>
      <c r="D98" s="77">
        <f t="shared" si="35"/>
        <v>3.3837223251124093E-2</v>
      </c>
      <c r="E98" s="77">
        <f t="shared" si="35"/>
        <v>-8.487353379469495E-2</v>
      </c>
      <c r="F98" s="77">
        <f t="shared" si="35"/>
        <v>-0.18527210184410559</v>
      </c>
      <c r="G98" s="77">
        <f t="shared" si="35"/>
        <v>7.604893657623088E-2</v>
      </c>
      <c r="H98" s="77">
        <f t="shared" si="35"/>
        <v>9.1732691346033957E-2</v>
      </c>
      <c r="I98" s="77">
        <f t="shared" si="35"/>
        <v>0.23048431343899881</v>
      </c>
      <c r="J98" s="77">
        <f t="shared" si="35"/>
        <v>0.230300495947069</v>
      </c>
      <c r="K98" s="77">
        <f t="shared" si="35"/>
        <v>0.1808983630125722</v>
      </c>
    </row>
    <row r="99" spans="1:11" ht="15.75" customHeight="1" x14ac:dyDescent="0.15">
      <c r="B99" s="82"/>
      <c r="C99" s="82"/>
      <c r="D99" s="82"/>
      <c r="E99" s="82"/>
      <c r="F99" s="82"/>
      <c r="G99" s="82"/>
      <c r="H99" s="82"/>
      <c r="I99" s="82"/>
      <c r="J99" s="82"/>
      <c r="K99" s="82"/>
    </row>
    <row r="100" spans="1:11" ht="15.75" customHeight="1" x14ac:dyDescent="0.15">
      <c r="A100" s="65" t="s">
        <v>536</v>
      </c>
      <c r="B100" s="82">
        <f t="shared" ref="B100:K100" si="36">B84-B91</f>
        <v>-5.6798498816160448E-3</v>
      </c>
      <c r="C100" s="82">
        <f t="shared" si="36"/>
        <v>-4.5306638245336261E-4</v>
      </c>
      <c r="D100" s="82">
        <f t="shared" si="36"/>
        <v>1.8584808414420478E-2</v>
      </c>
      <c r="E100" s="82">
        <f t="shared" si="36"/>
        <v>1.5176212586242965E-2</v>
      </c>
      <c r="F100" s="82">
        <f t="shared" si="36"/>
        <v>-1.357283018938607E-2</v>
      </c>
      <c r="G100" s="82">
        <f t="shared" si="36"/>
        <v>1.80966611203974E-3</v>
      </c>
      <c r="H100" s="82">
        <f t="shared" si="36"/>
        <v>3.7542575141062684E-4</v>
      </c>
      <c r="I100" s="82">
        <f t="shared" si="36"/>
        <v>-1.1224069629464872E-2</v>
      </c>
      <c r="J100" s="82">
        <f t="shared" si="36"/>
        <v>3.2795735342111554E-4</v>
      </c>
      <c r="K100" s="82">
        <f t="shared" si="36"/>
        <v>-2.7037829350591847E-3</v>
      </c>
    </row>
    <row r="101" spans="1:11" ht="15.75" customHeight="1" x14ac:dyDescent="0.15">
      <c r="A101" s="65" t="s">
        <v>537</v>
      </c>
      <c r="B101" s="82">
        <f t="shared" ref="B101:K101" si="37">B84-B98</f>
        <v>-5.6798498816159892E-3</v>
      </c>
      <c r="C101" s="82">
        <f t="shared" si="37"/>
        <v>-4.5306638245334874E-4</v>
      </c>
      <c r="D101" s="82">
        <f t="shared" si="37"/>
        <v>1.8584808414420471E-2</v>
      </c>
      <c r="E101" s="82">
        <f t="shared" si="37"/>
        <v>1.5176212586242924E-2</v>
      </c>
      <c r="F101" s="82">
        <f t="shared" si="37"/>
        <v>-1.3572830189386043E-2</v>
      </c>
      <c r="G101" s="82">
        <f t="shared" si="37"/>
        <v>1.8096661120397123E-3</v>
      </c>
      <c r="H101" s="82">
        <f t="shared" si="37"/>
        <v>3.7542575141062684E-4</v>
      </c>
      <c r="I101" s="82">
        <f t="shared" si="37"/>
        <v>-1.1224069629464789E-2</v>
      </c>
      <c r="J101" s="82">
        <f t="shared" si="37"/>
        <v>3.2795735342111554E-4</v>
      </c>
      <c r="K101" s="82">
        <f t="shared" si="37"/>
        <v>-2.7037829350592124E-3</v>
      </c>
    </row>
    <row r="102" spans="1:11" ht="15.75" customHeight="1" x14ac:dyDescent="0.15">
      <c r="B102" s="82"/>
      <c r="C102" s="82"/>
      <c r="D102" s="82"/>
      <c r="E102" s="82"/>
      <c r="F102" s="82"/>
      <c r="G102" s="82"/>
      <c r="H102" s="82"/>
      <c r="I102" s="82"/>
      <c r="J102" s="82"/>
      <c r="K102" s="82"/>
    </row>
    <row r="103" spans="1:11" ht="15.75" customHeight="1" x14ac:dyDescent="0.15">
      <c r="A103" s="81" t="s">
        <v>538</v>
      </c>
      <c r="B103" s="82"/>
      <c r="C103" s="82"/>
      <c r="D103" s="82"/>
      <c r="E103" s="82"/>
      <c r="F103" s="82"/>
      <c r="G103" s="82"/>
      <c r="H103" s="82"/>
      <c r="I103" s="82"/>
      <c r="J103" s="82"/>
      <c r="K103" s="82"/>
    </row>
    <row r="104" spans="1:11" ht="15.75" customHeight="1" x14ac:dyDescent="0.15">
      <c r="A104" s="65" t="s">
        <v>525</v>
      </c>
      <c r="B104" s="82">
        <f t="shared" ref="B104:K104" si="38">B3</f>
        <v>-271350</v>
      </c>
      <c r="C104" s="82">
        <f t="shared" si="38"/>
        <v>-55571</v>
      </c>
      <c r="D104" s="82">
        <f t="shared" si="38"/>
        <v>22828.294000000104</v>
      </c>
      <c r="E104" s="82">
        <f t="shared" si="38"/>
        <v>-8349.646000000077</v>
      </c>
      <c r="F104" s="82">
        <f t="shared" si="38"/>
        <v>-54355.359000000026</v>
      </c>
      <c r="G104" s="82">
        <f t="shared" si="38"/>
        <v>33258.554999999935</v>
      </c>
      <c r="H104" s="82">
        <f t="shared" si="38"/>
        <v>37150.587999999967</v>
      </c>
      <c r="I104" s="82">
        <f t="shared" si="38"/>
        <v>79225.106999999975</v>
      </c>
      <c r="J104" s="82">
        <f t="shared" si="38"/>
        <v>75601.821000000084</v>
      </c>
      <c r="K104" s="82">
        <f t="shared" si="38"/>
        <v>54747.825999999957</v>
      </c>
    </row>
    <row r="105" spans="1:11" ht="15.75" customHeight="1" x14ac:dyDescent="0.15">
      <c r="A105" s="65" t="s">
        <v>523</v>
      </c>
      <c r="B105" s="82">
        <f t="shared" ref="B105:K105" si="39">B46</f>
        <v>1239821.5</v>
      </c>
      <c r="C105" s="82">
        <f t="shared" si="39"/>
        <v>697469.53700000001</v>
      </c>
      <c r="D105" s="82">
        <f t="shared" si="39"/>
        <v>435471.37099999998</v>
      </c>
      <c r="E105" s="82">
        <f t="shared" si="39"/>
        <v>119798.66449999998</v>
      </c>
      <c r="F105" s="82">
        <f t="shared" si="39"/>
        <v>273355.51599999995</v>
      </c>
      <c r="G105" s="82">
        <f t="shared" si="39"/>
        <v>427166.09149999992</v>
      </c>
      <c r="H105" s="82">
        <f t="shared" si="39"/>
        <v>403336.74349999998</v>
      </c>
      <c r="I105" s="82">
        <f t="shared" si="39"/>
        <v>361329.10199999996</v>
      </c>
      <c r="J105" s="82">
        <f t="shared" si="39"/>
        <v>327807.86549999996</v>
      </c>
      <c r="K105" s="82">
        <f t="shared" si="39"/>
        <v>307236.20199999999</v>
      </c>
    </row>
    <row r="106" spans="1:11" ht="15.75" customHeight="1" x14ac:dyDescent="0.15">
      <c r="A106" s="65" t="s">
        <v>539</v>
      </c>
      <c r="B106" s="82">
        <f t="shared" ref="B106:K106" si="40">(B104+B23)/B104</f>
        <v>1.1664050119771512</v>
      </c>
      <c r="C106" s="82">
        <f t="shared" si="40"/>
        <v>1.1311475409836065</v>
      </c>
      <c r="D106" s="82">
        <f t="shared" si="40"/>
        <v>0.40065946233214195</v>
      </c>
      <c r="E106" s="82">
        <f t="shared" si="40"/>
        <v>1.0155121546470354</v>
      </c>
      <c r="F106" s="82">
        <f t="shared" si="40"/>
        <v>1.0143866403310851</v>
      </c>
      <c r="G106" s="82">
        <f t="shared" si="40"/>
        <v>0.37704921335277364</v>
      </c>
      <c r="H106" s="82">
        <f t="shared" si="40"/>
        <v>0.28599227016272194</v>
      </c>
      <c r="I106" s="82">
        <f t="shared" si="40"/>
        <v>0.77356382743667351</v>
      </c>
      <c r="J106" s="82">
        <f t="shared" si="40"/>
        <v>1.0190411418793734</v>
      </c>
      <c r="K106" s="82">
        <f t="shared" si="40"/>
        <v>1.0075037134807874</v>
      </c>
    </row>
    <row r="107" spans="1:11" ht="15.75" customHeight="1" x14ac:dyDescent="0.15">
      <c r="A107" s="65" t="s">
        <v>540</v>
      </c>
      <c r="B107" s="82">
        <f t="shared" ref="B107:K107" si="41">(B3+B23+B29)/(B3+B23)</f>
        <v>1.0265810226726992</v>
      </c>
      <c r="C107" s="82">
        <f t="shared" si="41"/>
        <v>1.0227970537234128</v>
      </c>
      <c r="D107" s="82">
        <f t="shared" si="41"/>
        <v>1.9409303492138634</v>
      </c>
      <c r="E107" s="82">
        <f t="shared" si="41"/>
        <v>1.3369676526007772</v>
      </c>
      <c r="F107" s="82">
        <f t="shared" si="41"/>
        <v>1.0052832063927628</v>
      </c>
      <c r="G107" s="82">
        <f t="shared" si="41"/>
        <v>3.4788445270658941E-2</v>
      </c>
      <c r="H107" s="82">
        <f t="shared" si="41"/>
        <v>0.55601418984541751</v>
      </c>
      <c r="I107" s="82">
        <f t="shared" si="41"/>
        <v>0.79897009214730541</v>
      </c>
      <c r="J107" s="82">
        <f t="shared" si="41"/>
        <v>0.70940681399652272</v>
      </c>
      <c r="K107" s="82">
        <f t="shared" si="41"/>
        <v>0.70477501638093365</v>
      </c>
    </row>
    <row r="108" spans="1:11" ht="15.75" customHeight="1" x14ac:dyDescent="0.15">
      <c r="A108" s="65" t="s">
        <v>612</v>
      </c>
      <c r="B108" s="82">
        <f t="shared" ref="B108:K108" si="42">B6/B46</f>
        <v>-0.26206756375817003</v>
      </c>
      <c r="C108" s="82">
        <f t="shared" si="42"/>
        <v>-9.2178936268007924E-2</v>
      </c>
      <c r="D108" s="82">
        <f t="shared" si="42"/>
        <v>4.076610354254518E-2</v>
      </c>
      <c r="E108" s="82">
        <f t="shared" si="42"/>
        <v>-9.4628534026771891E-2</v>
      </c>
      <c r="F108" s="82">
        <f t="shared" si="42"/>
        <v>-0.20277129509250524</v>
      </c>
      <c r="G108" s="82">
        <f t="shared" si="42"/>
        <v>1.0212678596936984E-3</v>
      </c>
      <c r="H108" s="82">
        <f t="shared" si="42"/>
        <v>1.4646642278947169E-2</v>
      </c>
      <c r="I108" s="82">
        <f t="shared" si="42"/>
        <v>0.1355147502068626</v>
      </c>
      <c r="J108" s="82">
        <f t="shared" si="42"/>
        <v>0.16672470600007641</v>
      </c>
      <c r="K108" s="82">
        <f t="shared" si="42"/>
        <v>0.12652945761906001</v>
      </c>
    </row>
    <row r="109" spans="1:11" s="74" customFormat="1" ht="15.75" customHeight="1" x14ac:dyDescent="0.15">
      <c r="A109" s="74" t="s">
        <v>524</v>
      </c>
      <c r="B109" s="77">
        <f t="shared" ref="B109:K109" si="43">(B104/B105)*B106*B107</f>
        <v>-0.26206756375816997</v>
      </c>
      <c r="C109" s="77">
        <f t="shared" si="43"/>
        <v>-9.2178936268007938E-2</v>
      </c>
      <c r="D109" s="77">
        <f t="shared" si="43"/>
        <v>4.076610354254518E-2</v>
      </c>
      <c r="E109" s="77">
        <f t="shared" si="43"/>
        <v>-9.4628534026771904E-2</v>
      </c>
      <c r="F109" s="77">
        <f t="shared" si="43"/>
        <v>-0.20277129509250524</v>
      </c>
      <c r="G109" s="77">
        <f t="shared" si="43"/>
        <v>1.0212678596937068E-3</v>
      </c>
      <c r="H109" s="77">
        <f t="shared" si="43"/>
        <v>1.464664227894716E-2</v>
      </c>
      <c r="I109" s="77">
        <f t="shared" si="43"/>
        <v>0.1355147502068626</v>
      </c>
      <c r="J109" s="77">
        <f t="shared" si="43"/>
        <v>0.16672470600007641</v>
      </c>
      <c r="K109" s="77">
        <f t="shared" si="43"/>
        <v>0.12652945761906001</v>
      </c>
    </row>
    <row r="110" spans="1:11" ht="15.75" customHeight="1" x14ac:dyDescent="0.15">
      <c r="A110" s="65" t="s">
        <v>541</v>
      </c>
      <c r="B110" s="83">
        <f>B109-B80</f>
        <v>0</v>
      </c>
      <c r="C110" s="83">
        <f t="shared" ref="C110:K110" si="44">C109-C80</f>
        <v>0</v>
      </c>
      <c r="D110" s="83">
        <f t="shared" si="44"/>
        <v>0</v>
      </c>
      <c r="E110" s="83">
        <f t="shared" si="44"/>
        <v>0</v>
      </c>
      <c r="F110" s="83">
        <f t="shared" si="44"/>
        <v>0</v>
      </c>
      <c r="G110" s="83">
        <f t="shared" si="44"/>
        <v>8.4567769453869346E-18</v>
      </c>
      <c r="H110" s="83">
        <f t="shared" si="44"/>
        <v>0</v>
      </c>
      <c r="I110" s="83">
        <f t="shared" si="44"/>
        <v>0</v>
      </c>
      <c r="J110" s="83">
        <f t="shared" si="44"/>
        <v>0</v>
      </c>
      <c r="K110" s="83">
        <f t="shared" si="44"/>
        <v>0</v>
      </c>
    </row>
    <row r="113" spans="1:11" ht="15.75" customHeight="1" x14ac:dyDescent="0.15">
      <c r="A113" s="80" t="s">
        <v>456</v>
      </c>
    </row>
    <row r="114" spans="1:11" ht="15.75" customHeight="1" x14ac:dyDescent="0.15">
      <c r="A114" s="80" t="s">
        <v>542</v>
      </c>
    </row>
    <row r="115" spans="1:11" ht="15.75" customHeight="1" x14ac:dyDescent="0.15">
      <c r="A115" s="65" t="s">
        <v>487</v>
      </c>
      <c r="B115" s="82">
        <f t="shared" ref="B115:K115" si="45">B32</f>
        <v>96044.5</v>
      </c>
      <c r="C115" s="82">
        <f t="shared" si="45"/>
        <v>56958.359499999999</v>
      </c>
      <c r="D115" s="82">
        <f t="shared" si="45"/>
        <v>26710.565999999999</v>
      </c>
      <c r="E115" s="82">
        <f t="shared" si="45"/>
        <v>39400.695</v>
      </c>
      <c r="F115" s="82">
        <f t="shared" si="45"/>
        <v>59586.303</v>
      </c>
      <c r="G115" s="82">
        <f t="shared" si="45"/>
        <v>103188.5705</v>
      </c>
      <c r="H115" s="82">
        <f t="shared" si="45"/>
        <v>132760.16399999999</v>
      </c>
      <c r="I115" s="82">
        <f t="shared" si="45"/>
        <v>133917.2795</v>
      </c>
      <c r="J115" s="82">
        <f t="shared" si="45"/>
        <v>140317.87449999998</v>
      </c>
      <c r="K115" s="82">
        <f t="shared" si="45"/>
        <v>142030.00599999999</v>
      </c>
    </row>
    <row r="116" spans="1:11" ht="15.75" customHeight="1" x14ac:dyDescent="0.15">
      <c r="A116" s="65" t="s">
        <v>543</v>
      </c>
      <c r="B116" s="82">
        <f t="shared" ref="B116:K116" si="46">B9</f>
        <v>2340.8992328767122</v>
      </c>
      <c r="C116" s="82">
        <f t="shared" si="46"/>
        <v>1896.9295342465755</v>
      </c>
      <c r="D116" s="82">
        <f t="shared" si="46"/>
        <v>2445.4059938082196</v>
      </c>
      <c r="E116" s="82">
        <f t="shared" si="46"/>
        <v>1922.9520607123286</v>
      </c>
      <c r="F116" s="82">
        <f t="shared" si="46"/>
        <v>1573.520238958904</v>
      </c>
      <c r="G116" s="82">
        <f t="shared" si="46"/>
        <v>2003.3180432328763</v>
      </c>
      <c r="H116" s="82">
        <f t="shared" si="46"/>
        <v>2009.1938774246573</v>
      </c>
      <c r="I116" s="82">
        <f t="shared" si="46"/>
        <v>2200.8679002739727</v>
      </c>
      <c r="J116" s="82">
        <f t="shared" si="46"/>
        <v>2169.3141177534249</v>
      </c>
      <c r="K116" s="82">
        <f t="shared" si="46"/>
        <v>2065.301236219178</v>
      </c>
    </row>
    <row r="117" spans="1:11" s="74" customFormat="1" ht="15.75" customHeight="1" x14ac:dyDescent="0.15">
      <c r="A117" s="74" t="s">
        <v>544</v>
      </c>
      <c r="B117" s="78">
        <f t="shared" ref="B117:K117" si="47">B115/B116</f>
        <v>41.028891227398837</v>
      </c>
      <c r="C117" s="78">
        <f t="shared" si="47"/>
        <v>30.026607985004979</v>
      </c>
      <c r="D117" s="78">
        <f t="shared" si="47"/>
        <v>10.922753141045408</v>
      </c>
      <c r="E117" s="78">
        <f t="shared" si="47"/>
        <v>20.489691763508969</v>
      </c>
      <c r="F117" s="78">
        <f t="shared" si="47"/>
        <v>37.868151628875381</v>
      </c>
      <c r="G117" s="78">
        <f t="shared" si="47"/>
        <v>51.508830985956841</v>
      </c>
      <c r="H117" s="78">
        <f t="shared" si="47"/>
        <v>66.076333146191544</v>
      </c>
      <c r="I117" s="78">
        <f t="shared" si="47"/>
        <v>60.847486340879186</v>
      </c>
      <c r="J117" s="78">
        <f t="shared" si="47"/>
        <v>64.683059660034544</v>
      </c>
      <c r="K117" s="78">
        <f t="shared" si="47"/>
        <v>68.769632007777105</v>
      </c>
    </row>
    <row r="118" spans="1:11" ht="15.75" customHeight="1" x14ac:dyDescent="0.15">
      <c r="B118" s="82"/>
      <c r="C118" s="82"/>
      <c r="D118" s="82"/>
      <c r="E118" s="82"/>
      <c r="F118" s="82"/>
      <c r="G118" s="82"/>
      <c r="H118" s="82"/>
      <c r="I118" s="82"/>
      <c r="J118" s="82"/>
      <c r="K118" s="82"/>
    </row>
    <row r="119" spans="1:11" ht="15.75" customHeight="1" x14ac:dyDescent="0.15">
      <c r="A119" s="65" t="s">
        <v>488</v>
      </c>
      <c r="B119" s="82">
        <f t="shared" ref="B119:K119" si="48">B33</f>
        <v>216267.5</v>
      </c>
      <c r="C119" s="82">
        <f t="shared" si="48"/>
        <v>217198.61499999999</v>
      </c>
      <c r="D119" s="82">
        <f t="shared" si="48"/>
        <v>221159.2965</v>
      </c>
      <c r="E119" s="82">
        <f t="shared" si="48"/>
        <v>162515.74350000001</v>
      </c>
      <c r="F119" s="82">
        <f t="shared" si="48"/>
        <v>137310.16649999999</v>
      </c>
      <c r="G119" s="82">
        <f t="shared" si="48"/>
        <v>168425.03350000002</v>
      </c>
      <c r="H119" s="82">
        <f t="shared" si="48"/>
        <v>169754.28600000002</v>
      </c>
      <c r="I119" s="82">
        <f t="shared" si="48"/>
        <v>141653.48850000001</v>
      </c>
      <c r="J119" s="82">
        <f t="shared" si="48"/>
        <v>147549.63</v>
      </c>
      <c r="K119" s="82">
        <f t="shared" si="48"/>
        <v>154221.997</v>
      </c>
    </row>
    <row r="120" spans="1:11" ht="15.75" customHeight="1" x14ac:dyDescent="0.15">
      <c r="A120" s="65" t="s">
        <v>545</v>
      </c>
      <c r="B120" s="82">
        <f t="shared" ref="B120:K120" si="49">-B11</f>
        <v>1607.7728219178082</v>
      </c>
      <c r="C120" s="82">
        <f t="shared" si="49"/>
        <v>1286.2710684931508</v>
      </c>
      <c r="D120" s="82">
        <f t="shared" si="49"/>
        <v>2046.1911796164379</v>
      </c>
      <c r="E120" s="82">
        <f t="shared" si="49"/>
        <v>1502.4248191780823</v>
      </c>
      <c r="F120" s="82">
        <f t="shared" si="49"/>
        <v>1196.550149369863</v>
      </c>
      <c r="G120" s="82">
        <f t="shared" si="49"/>
        <v>1338.0403111780822</v>
      </c>
      <c r="H120" s="82">
        <f t="shared" si="49"/>
        <v>1652.9299119452053</v>
      </c>
      <c r="I120" s="82">
        <f t="shared" si="49"/>
        <v>1500.7636203835616</v>
      </c>
      <c r="J120" s="82">
        <f t="shared" si="49"/>
        <v>1521.8916539178083</v>
      </c>
      <c r="K120" s="82">
        <f t="shared" si="49"/>
        <v>1516.063580219178</v>
      </c>
    </row>
    <row r="121" spans="1:11" s="74" customFormat="1" ht="15.75" customHeight="1" x14ac:dyDescent="0.15">
      <c r="A121" s="74" t="s">
        <v>546</v>
      </c>
      <c r="B121" s="78">
        <f t="shared" ref="B121:K121" si="50">B119/B120</f>
        <v>134.51371801522836</v>
      </c>
      <c r="C121" s="78">
        <f t="shared" si="50"/>
        <v>168.85913111179997</v>
      </c>
      <c r="D121" s="78">
        <f t="shared" si="50"/>
        <v>108.08339841512594</v>
      </c>
      <c r="E121" s="78">
        <f t="shared" si="50"/>
        <v>108.16896887320192</v>
      </c>
      <c r="F121" s="78">
        <f t="shared" si="50"/>
        <v>114.7550452208889</v>
      </c>
      <c r="G121" s="78">
        <f t="shared" si="50"/>
        <v>125.87440908391588</v>
      </c>
      <c r="H121" s="78">
        <f t="shared" si="50"/>
        <v>102.69902236824387</v>
      </c>
      <c r="I121" s="78">
        <f t="shared" si="50"/>
        <v>94.387608132316359</v>
      </c>
      <c r="J121" s="78">
        <f t="shared" si="50"/>
        <v>96.951468010329606</v>
      </c>
      <c r="K121" s="78">
        <f t="shared" si="50"/>
        <v>101.72528316899748</v>
      </c>
    </row>
    <row r="122" spans="1:11" ht="15.75" customHeight="1" x14ac:dyDescent="0.15">
      <c r="B122" s="82"/>
      <c r="C122" s="82"/>
      <c r="D122" s="82"/>
      <c r="E122" s="82"/>
      <c r="F122" s="82"/>
      <c r="G122" s="82"/>
      <c r="H122" s="82"/>
      <c r="I122" s="82"/>
      <c r="J122" s="82"/>
      <c r="K122" s="82"/>
    </row>
    <row r="123" spans="1:11" ht="15.75" customHeight="1" x14ac:dyDescent="0.15">
      <c r="A123" s="65" t="s">
        <v>547</v>
      </c>
      <c r="B123" s="82">
        <f t="shared" ref="B123:K123" si="51">B34</f>
        <v>124615</v>
      </c>
      <c r="C123" s="82">
        <f t="shared" si="51"/>
        <v>135911.57149999999</v>
      </c>
      <c r="D123" s="82">
        <f t="shared" si="51"/>
        <v>143120.66800000001</v>
      </c>
      <c r="E123" s="82">
        <f t="shared" si="51"/>
        <v>127459.789</v>
      </c>
      <c r="F123" s="82">
        <f t="shared" si="51"/>
        <v>120911.656</v>
      </c>
      <c r="G123" s="82">
        <f t="shared" si="51"/>
        <v>142660.633</v>
      </c>
      <c r="H123" s="82">
        <f t="shared" si="51"/>
        <v>144228.2115</v>
      </c>
      <c r="I123" s="82">
        <f t="shared" si="51"/>
        <v>126816.166</v>
      </c>
      <c r="J123" s="82">
        <f t="shared" si="51"/>
        <v>129151.2935</v>
      </c>
      <c r="K123" s="82">
        <f t="shared" si="51"/>
        <v>127191.33900000001</v>
      </c>
    </row>
    <row r="124" spans="1:11" ht="15.75" customHeight="1" x14ac:dyDescent="0.15">
      <c r="A124" s="65" t="s">
        <v>548</v>
      </c>
      <c r="B124" s="82">
        <f t="shared" ref="B124:K124" si="52">-B12</f>
        <v>1198.6753424657534</v>
      </c>
      <c r="C124" s="82">
        <f t="shared" si="52"/>
        <v>1362.4961616438356</v>
      </c>
      <c r="D124" s="82">
        <f t="shared" si="52"/>
        <v>1398.7046904109588</v>
      </c>
      <c r="E124" s="82">
        <f t="shared" si="52"/>
        <v>1075.4575808219179</v>
      </c>
      <c r="F124" s="82">
        <f t="shared" si="52"/>
        <v>1098.3528205479452</v>
      </c>
      <c r="G124" s="82">
        <f t="shared" si="52"/>
        <v>1230.1022041095889</v>
      </c>
      <c r="H124" s="82">
        <f t="shared" si="52"/>
        <v>1244.793116438356</v>
      </c>
      <c r="I124" s="82">
        <f t="shared" si="52"/>
        <v>1245.1907534246575</v>
      </c>
      <c r="J124" s="82">
        <f t="shared" si="52"/>
        <v>1235.5249315068493</v>
      </c>
      <c r="K124" s="82">
        <f t="shared" si="52"/>
        <v>1234.3371698630137</v>
      </c>
    </row>
    <row r="125" spans="1:11" ht="15.75" customHeight="1" x14ac:dyDescent="0.15">
      <c r="A125" s="65" t="s">
        <v>549</v>
      </c>
      <c r="B125" s="82">
        <f t="shared" ref="B125:K125" si="53">-B13</f>
        <v>262.40273972602739</v>
      </c>
      <c r="C125" s="82">
        <f t="shared" si="53"/>
        <v>253.37188767123288</v>
      </c>
      <c r="D125" s="82">
        <f t="shared" si="53"/>
        <v>278.26363424657535</v>
      </c>
      <c r="E125" s="82">
        <f t="shared" si="53"/>
        <v>253.38630136986302</v>
      </c>
      <c r="F125" s="82">
        <f t="shared" si="53"/>
        <v>244.25355616438355</v>
      </c>
      <c r="G125" s="82">
        <f t="shared" si="53"/>
        <v>247.58699726027396</v>
      </c>
      <c r="H125" s="82">
        <f t="shared" si="53"/>
        <v>242.6680410958904</v>
      </c>
      <c r="I125" s="82">
        <f t="shared" si="53"/>
        <v>247.94772054794521</v>
      </c>
      <c r="J125" s="82">
        <f t="shared" si="53"/>
        <v>246.62126164383562</v>
      </c>
      <c r="K125" s="82">
        <f t="shared" si="53"/>
        <v>242.84087123287674</v>
      </c>
    </row>
    <row r="126" spans="1:11" s="74" customFormat="1" ht="15.75" customHeight="1" x14ac:dyDescent="0.15">
      <c r="A126" s="74" t="s">
        <v>550</v>
      </c>
      <c r="B126" s="78">
        <f t="shared" ref="B126:K126" si="54">B123/(B124+B125)</f>
        <v>85.289760704002575</v>
      </c>
      <c r="C126" s="78">
        <f t="shared" si="54"/>
        <v>84.110563085649204</v>
      </c>
      <c r="D126" s="78">
        <f t="shared" si="54"/>
        <v>85.344884513085674</v>
      </c>
      <c r="E126" s="78">
        <f t="shared" si="54"/>
        <v>95.917805475966958</v>
      </c>
      <c r="F126" s="78">
        <f t="shared" si="54"/>
        <v>90.05741228198184</v>
      </c>
      <c r="G126" s="78">
        <f t="shared" si="54"/>
        <v>96.543057137961924</v>
      </c>
      <c r="H126" s="78">
        <f t="shared" si="54"/>
        <v>96.962674130654989</v>
      </c>
      <c r="I126" s="78">
        <f t="shared" si="54"/>
        <v>84.932622265499887</v>
      </c>
      <c r="J126" s="78">
        <f t="shared" si="54"/>
        <v>87.138025990172764</v>
      </c>
      <c r="K126" s="78">
        <f t="shared" si="54"/>
        <v>86.104271429352664</v>
      </c>
    </row>
    <row r="127" spans="1:11" ht="15.75" customHeight="1" x14ac:dyDescent="0.15">
      <c r="B127" s="82"/>
      <c r="C127" s="82"/>
      <c r="D127" s="82"/>
      <c r="E127" s="82"/>
      <c r="F127" s="82"/>
      <c r="G127" s="82"/>
      <c r="H127" s="82"/>
      <c r="I127" s="82"/>
      <c r="J127" s="82"/>
      <c r="K127" s="82"/>
    </row>
    <row r="128" spans="1:11" ht="15.75" customHeight="1" x14ac:dyDescent="0.15">
      <c r="A128" s="65" t="s">
        <v>462</v>
      </c>
      <c r="B128" s="82">
        <f t="shared" ref="B128:K128" si="55">B7</f>
        <v>700351</v>
      </c>
      <c r="C128" s="82">
        <f t="shared" si="55"/>
        <v>567524</v>
      </c>
      <c r="D128" s="82">
        <f t="shared" si="55"/>
        <v>731617.36700000009</v>
      </c>
      <c r="E128" s="82">
        <f t="shared" si="55"/>
        <v>575309.42799999996</v>
      </c>
      <c r="F128" s="82">
        <f t="shared" si="55"/>
        <v>470766.30099999998</v>
      </c>
      <c r="G128" s="82">
        <f t="shared" si="55"/>
        <v>599353.34899999993</v>
      </c>
      <c r="H128" s="82">
        <f t="shared" si="55"/>
        <v>601111.28299999994</v>
      </c>
      <c r="I128" s="82">
        <f t="shared" si="55"/>
        <v>658456.38</v>
      </c>
      <c r="J128" s="82">
        <f t="shared" si="55"/>
        <v>649016.10900000005</v>
      </c>
      <c r="K128" s="82">
        <f t="shared" si="55"/>
        <v>617897.50099999993</v>
      </c>
    </row>
    <row r="129" spans="1:11" ht="15.75" customHeight="1" x14ac:dyDescent="0.15">
      <c r="A129" s="65" t="s">
        <v>551</v>
      </c>
      <c r="B129" s="82">
        <f t="shared" ref="B129:K129" si="56">B123</f>
        <v>124615</v>
      </c>
      <c r="C129" s="82">
        <f t="shared" si="56"/>
        <v>135911.57149999999</v>
      </c>
      <c r="D129" s="82">
        <f t="shared" si="56"/>
        <v>143120.66800000001</v>
      </c>
      <c r="E129" s="82">
        <f t="shared" si="56"/>
        <v>127459.789</v>
      </c>
      <c r="F129" s="82">
        <f t="shared" si="56"/>
        <v>120911.656</v>
      </c>
      <c r="G129" s="82">
        <f t="shared" si="56"/>
        <v>142660.633</v>
      </c>
      <c r="H129" s="82">
        <f t="shared" si="56"/>
        <v>144228.2115</v>
      </c>
      <c r="I129" s="82">
        <f t="shared" si="56"/>
        <v>126816.166</v>
      </c>
      <c r="J129" s="82">
        <f t="shared" si="56"/>
        <v>129151.2935</v>
      </c>
      <c r="K129" s="82">
        <f t="shared" si="56"/>
        <v>127191.33900000001</v>
      </c>
    </row>
    <row r="130" spans="1:11" s="74" customFormat="1" ht="15.75" customHeight="1" x14ac:dyDescent="0.15">
      <c r="A130" s="74" t="s">
        <v>552</v>
      </c>
      <c r="B130" s="78">
        <f t="shared" ref="B130:K130" si="57">B128/B129</f>
        <v>5.6201179633270471</v>
      </c>
      <c r="C130" s="78">
        <f t="shared" si="57"/>
        <v>4.1756856589653957</v>
      </c>
      <c r="D130" s="78">
        <f t="shared" si="57"/>
        <v>5.1118917849097798</v>
      </c>
      <c r="E130" s="78">
        <f t="shared" si="57"/>
        <v>4.5136543259145041</v>
      </c>
      <c r="F130" s="78">
        <f t="shared" si="57"/>
        <v>3.8934732727504779</v>
      </c>
      <c r="G130" s="78">
        <f t="shared" si="57"/>
        <v>4.2012525557768967</v>
      </c>
      <c r="H130" s="78">
        <f t="shared" si="57"/>
        <v>4.1677788051888855</v>
      </c>
      <c r="I130" s="78">
        <f t="shared" si="57"/>
        <v>5.1922116932631441</v>
      </c>
      <c r="J130" s="78">
        <f t="shared" si="57"/>
        <v>5.0252389380831097</v>
      </c>
      <c r="K130" s="78">
        <f t="shared" si="57"/>
        <v>4.8580155367339906</v>
      </c>
    </row>
    <row r="131" spans="1:11" ht="15.75" customHeight="1" x14ac:dyDescent="0.15">
      <c r="B131" s="82"/>
      <c r="C131" s="82"/>
      <c r="D131" s="82"/>
      <c r="E131" s="82"/>
      <c r="F131" s="82"/>
      <c r="G131" s="82"/>
      <c r="H131" s="82"/>
      <c r="I131" s="82"/>
      <c r="J131" s="82"/>
      <c r="K131" s="82"/>
    </row>
    <row r="132" spans="1:11" ht="15.75" customHeight="1" x14ac:dyDescent="0.15">
      <c r="A132" s="65" t="s">
        <v>462</v>
      </c>
      <c r="B132" s="82">
        <f t="shared" ref="B132:K132" si="58">B128</f>
        <v>700351</v>
      </c>
      <c r="C132" s="82">
        <f t="shared" si="58"/>
        <v>567524</v>
      </c>
      <c r="D132" s="82">
        <f t="shared" si="58"/>
        <v>731617.36700000009</v>
      </c>
      <c r="E132" s="82">
        <f t="shared" si="58"/>
        <v>575309.42799999996</v>
      </c>
      <c r="F132" s="82">
        <f t="shared" si="58"/>
        <v>470766.30099999998</v>
      </c>
      <c r="G132" s="82">
        <f t="shared" si="58"/>
        <v>599353.34899999993</v>
      </c>
      <c r="H132" s="82">
        <f t="shared" si="58"/>
        <v>601111.28299999994</v>
      </c>
      <c r="I132" s="82">
        <f t="shared" si="58"/>
        <v>658456.38</v>
      </c>
      <c r="J132" s="82">
        <f t="shared" si="58"/>
        <v>649016.10900000005</v>
      </c>
      <c r="K132" s="82">
        <f t="shared" si="58"/>
        <v>617897.50099999993</v>
      </c>
    </row>
    <row r="133" spans="1:11" ht="15.75" customHeight="1" x14ac:dyDescent="0.15">
      <c r="A133" s="65" t="s">
        <v>553</v>
      </c>
      <c r="B133" s="82">
        <f>AVERAGE('RC'!B102:C102)</f>
        <v>1340987</v>
      </c>
      <c r="C133" s="82">
        <f>AVERAGE('RC'!C102:D102)</f>
        <v>404793.33799999999</v>
      </c>
      <c r="D133" s="82">
        <f>AVERAGE('RC'!D102:E102)</f>
        <v>253355.60400000002</v>
      </c>
      <c r="E133" s="82">
        <f>AVERAGE('RC'!E102:F102)</f>
        <v>300250.44900000002</v>
      </c>
      <c r="F133" s="82">
        <f>AVERAGE('RC'!F102:G102)</f>
        <v>260630.3665</v>
      </c>
      <c r="G133" s="82">
        <f>AVERAGE('RC'!G102:H102)</f>
        <v>218848.66350000002</v>
      </c>
      <c r="H133" s="82">
        <f>AVERAGE('RC'!H102:I102)</f>
        <v>250934.1905</v>
      </c>
      <c r="I133" s="82">
        <f>AVERAGE('RC'!I102:J102)</f>
        <v>259010.17299999995</v>
      </c>
      <c r="J133" s="82">
        <f>AVERAGE('RC'!J102:K102)</f>
        <v>263043.79099999997</v>
      </c>
      <c r="K133" s="82">
        <f>AVERAGE('RC'!K102:L102)</f>
        <v>264605.65700000001</v>
      </c>
    </row>
    <row r="134" spans="1:11" s="74" customFormat="1" ht="15.75" customHeight="1" x14ac:dyDescent="0.15">
      <c r="A134" s="74" t="s">
        <v>554</v>
      </c>
      <c r="B134" s="78">
        <f t="shared" ref="B134:K134" si="59">B132/B133</f>
        <v>0.52226531651686403</v>
      </c>
      <c r="C134" s="78">
        <f t="shared" si="59"/>
        <v>1.4020092395888195</v>
      </c>
      <c r="D134" s="78">
        <f t="shared" si="59"/>
        <v>2.8877094307335711</v>
      </c>
      <c r="E134" s="78">
        <f t="shared" si="59"/>
        <v>1.9160984768419111</v>
      </c>
      <c r="F134" s="78">
        <f t="shared" si="59"/>
        <v>1.8062603652901665</v>
      </c>
      <c r="G134" s="78">
        <f t="shared" si="59"/>
        <v>2.7386657949592634</v>
      </c>
      <c r="H134" s="78">
        <f t="shared" si="59"/>
        <v>2.3954937420136053</v>
      </c>
      <c r="I134" s="78">
        <f t="shared" si="59"/>
        <v>2.5422027728617445</v>
      </c>
      <c r="J134" s="78">
        <f t="shared" si="59"/>
        <v>2.4673310346260946</v>
      </c>
      <c r="K134" s="78">
        <f t="shared" si="59"/>
        <v>2.335163609143851</v>
      </c>
    </row>
    <row r="135" spans="1:11" ht="15.75" customHeight="1" x14ac:dyDescent="0.15">
      <c r="B135" s="82"/>
      <c r="C135" s="82"/>
      <c r="D135" s="82"/>
      <c r="E135" s="82"/>
      <c r="F135" s="82"/>
      <c r="G135" s="82"/>
      <c r="H135" s="82"/>
      <c r="I135" s="82"/>
      <c r="J135" s="82"/>
      <c r="K135" s="82"/>
    </row>
    <row r="136" spans="1:11" ht="15.75" customHeight="1" x14ac:dyDescent="0.15">
      <c r="A136" s="65" t="s">
        <v>462</v>
      </c>
      <c r="B136" s="82">
        <f t="shared" ref="B136:K136" si="60">B132</f>
        <v>700351</v>
      </c>
      <c r="C136" s="82">
        <f t="shared" si="60"/>
        <v>567524</v>
      </c>
      <c r="D136" s="82">
        <f t="shared" si="60"/>
        <v>731617.36700000009</v>
      </c>
      <c r="E136" s="82">
        <f t="shared" si="60"/>
        <v>575309.42799999996</v>
      </c>
      <c r="F136" s="82">
        <f t="shared" si="60"/>
        <v>470766.30099999998</v>
      </c>
      <c r="G136" s="82">
        <f t="shared" si="60"/>
        <v>599353.34899999993</v>
      </c>
      <c r="H136" s="82">
        <f t="shared" si="60"/>
        <v>601111.28299999994</v>
      </c>
      <c r="I136" s="82">
        <f t="shared" si="60"/>
        <v>658456.38</v>
      </c>
      <c r="J136" s="82">
        <f t="shared" si="60"/>
        <v>649016.10900000005</v>
      </c>
      <c r="K136" s="82">
        <f t="shared" si="60"/>
        <v>617897.50099999993</v>
      </c>
    </row>
    <row r="137" spans="1:11" ht="15.75" customHeight="1" x14ac:dyDescent="0.15">
      <c r="A137" s="65" t="s">
        <v>555</v>
      </c>
      <c r="B137" s="82">
        <f t="shared" ref="B137:K137" si="61">B14</f>
        <v>1292505.5</v>
      </c>
      <c r="C137" s="82">
        <f t="shared" si="61"/>
        <v>402682.08650000003</v>
      </c>
      <c r="D137" s="82">
        <f t="shared" si="61"/>
        <v>246543.91850000003</v>
      </c>
      <c r="E137" s="82">
        <f t="shared" si="61"/>
        <v>270002.11550000001</v>
      </c>
      <c r="F137" s="82">
        <f t="shared" si="61"/>
        <v>226122.826</v>
      </c>
      <c r="G137" s="82">
        <f t="shared" si="61"/>
        <v>191205.77150000003</v>
      </c>
      <c r="H137" s="82">
        <f t="shared" si="61"/>
        <v>225113.75750000001</v>
      </c>
      <c r="I137" s="82">
        <f t="shared" si="61"/>
        <v>230898.89399999997</v>
      </c>
      <c r="J137" s="82">
        <f t="shared" si="61"/>
        <v>239675.13699999999</v>
      </c>
      <c r="K137" s="82">
        <f t="shared" si="61"/>
        <v>249554.54300000001</v>
      </c>
    </row>
    <row r="138" spans="1:11" s="74" customFormat="1" ht="15.75" customHeight="1" x14ac:dyDescent="0.15">
      <c r="A138" s="74" t="s">
        <v>556</v>
      </c>
      <c r="B138" s="78">
        <f t="shared" ref="B138:K138" si="62">B136/B137</f>
        <v>0.54185533446472767</v>
      </c>
      <c r="C138" s="78">
        <f t="shared" si="62"/>
        <v>1.4093599368493388</v>
      </c>
      <c r="D138" s="78">
        <f t="shared" si="62"/>
        <v>2.9674930594566664</v>
      </c>
      <c r="E138" s="78">
        <f t="shared" si="62"/>
        <v>2.1307589643681881</v>
      </c>
      <c r="F138" s="78">
        <f t="shared" si="62"/>
        <v>2.0819052606391888</v>
      </c>
      <c r="G138" s="78">
        <f t="shared" si="62"/>
        <v>3.1345986279498881</v>
      </c>
      <c r="H138" s="78">
        <f t="shared" si="62"/>
        <v>2.6702556506347683</v>
      </c>
      <c r="I138" s="78">
        <f t="shared" si="62"/>
        <v>2.8517086790376749</v>
      </c>
      <c r="J138" s="78">
        <f t="shared" si="62"/>
        <v>2.70789918855872</v>
      </c>
      <c r="K138" s="78">
        <f t="shared" si="62"/>
        <v>2.4760018133590935</v>
      </c>
    </row>
    <row r="139" spans="1:11" ht="15.75" customHeight="1" x14ac:dyDescent="0.15">
      <c r="B139" s="82"/>
      <c r="C139" s="82"/>
      <c r="D139" s="82"/>
      <c r="E139" s="82"/>
      <c r="F139" s="82"/>
      <c r="G139" s="82"/>
      <c r="H139" s="82"/>
      <c r="I139" s="82"/>
      <c r="J139" s="82"/>
      <c r="K139" s="82"/>
    </row>
    <row r="140" spans="1:11" ht="15.75" customHeight="1" x14ac:dyDescent="0.15">
      <c r="A140" s="65" t="s">
        <v>513</v>
      </c>
      <c r="B140" s="82">
        <f t="shared" ref="B140:K140" si="63">B64</f>
        <v>4.6836164333536684E-2</v>
      </c>
      <c r="C140" s="82">
        <f t="shared" si="63"/>
        <v>0.14202270703690714</v>
      </c>
      <c r="D140" s="82">
        <f t="shared" si="63"/>
        <v>4.5810434379058108E-2</v>
      </c>
      <c r="E140" s="82">
        <f t="shared" si="63"/>
        <v>3.4402737855585168E-2</v>
      </c>
      <c r="F140" s="82">
        <f t="shared" si="63"/>
        <v>1.443543784474002E-2</v>
      </c>
      <c r="G140" s="82">
        <f t="shared" si="63"/>
        <v>0.16037057751679806</v>
      </c>
      <c r="H140" s="82">
        <f t="shared" si="63"/>
        <v>0.14978012172356889</v>
      </c>
      <c r="I140" s="82">
        <f t="shared" si="63"/>
        <v>0.33477297210440504</v>
      </c>
      <c r="J140" s="82">
        <f t="shared" si="63"/>
        <v>0.29562219463756928</v>
      </c>
      <c r="K140" s="82">
        <f t="shared" si="63"/>
        <v>0.20810616939960877</v>
      </c>
    </row>
    <row r="141" spans="1:11" ht="15.75" customHeight="1" x14ac:dyDescent="0.15">
      <c r="A141" s="65" t="s">
        <v>557</v>
      </c>
      <c r="B141" s="82">
        <f t="shared" ref="B141:K141" si="64">B60</f>
        <v>8.6436658189964752E-2</v>
      </c>
      <c r="C141" s="82">
        <f t="shared" si="64"/>
        <v>0.1007710687125126</v>
      </c>
      <c r="D141" s="82">
        <f t="shared" si="64"/>
        <v>1.5437419215883786E-2</v>
      </c>
      <c r="E141" s="82">
        <f t="shared" si="64"/>
        <v>1.6145767039298251E-2</v>
      </c>
      <c r="F141" s="82">
        <f t="shared" si="64"/>
        <v>6.9337630859859752E-3</v>
      </c>
      <c r="G141" s="82">
        <f t="shared" si="64"/>
        <v>5.1161439326503098E-2</v>
      </c>
      <c r="H141" s="82">
        <f t="shared" si="64"/>
        <v>5.6092053091606954E-2</v>
      </c>
      <c r="I141" s="82">
        <f t="shared" si="64"/>
        <v>0.11739381885858555</v>
      </c>
      <c r="J141" s="82">
        <f t="shared" si="64"/>
        <v>0.10917031028578071</v>
      </c>
      <c r="K141" s="82">
        <f t="shared" si="64"/>
        <v>8.4049279882101285E-2</v>
      </c>
    </row>
    <row r="142" spans="1:11" s="74" customFormat="1" ht="15.75" customHeight="1" x14ac:dyDescent="0.15">
      <c r="A142" s="74" t="s">
        <v>558</v>
      </c>
      <c r="B142" s="78">
        <f t="shared" ref="B142:K142" si="65">B140/B141</f>
        <v>0.54185533446472756</v>
      </c>
      <c r="C142" s="78">
        <f t="shared" si="65"/>
        <v>1.4093599368493388</v>
      </c>
      <c r="D142" s="78">
        <f t="shared" si="65"/>
        <v>2.9674930594566664</v>
      </c>
      <c r="E142" s="78">
        <f t="shared" si="65"/>
        <v>2.1307589643681881</v>
      </c>
      <c r="F142" s="78">
        <f t="shared" si="65"/>
        <v>2.0819052606391892</v>
      </c>
      <c r="G142" s="78">
        <f t="shared" si="65"/>
        <v>3.1345986279498881</v>
      </c>
      <c r="H142" s="78">
        <f t="shared" si="65"/>
        <v>2.6702556506347683</v>
      </c>
      <c r="I142" s="78">
        <f t="shared" si="65"/>
        <v>2.8517086790376744</v>
      </c>
      <c r="J142" s="78">
        <f t="shared" si="65"/>
        <v>2.70789918855872</v>
      </c>
      <c r="K142" s="78">
        <f t="shared" si="65"/>
        <v>2.4760018133590935</v>
      </c>
    </row>
    <row r="145" spans="1:11" ht="15.75" customHeight="1" x14ac:dyDescent="0.15">
      <c r="A145" s="80" t="s">
        <v>456</v>
      </c>
    </row>
    <row r="146" spans="1:11" ht="15.75" customHeight="1" x14ac:dyDescent="0.15">
      <c r="A146" s="80" t="s">
        <v>559</v>
      </c>
    </row>
    <row r="147" spans="1:11" ht="15.75" customHeight="1" x14ac:dyDescent="0.15">
      <c r="A147" s="65" t="s">
        <v>560</v>
      </c>
      <c r="B147" s="82">
        <f t="shared" ref="B147:K147" si="66">B37</f>
        <v>565393</v>
      </c>
      <c r="C147" s="82">
        <f t="shared" si="66"/>
        <v>484604</v>
      </c>
      <c r="D147" s="82">
        <f t="shared" si="66"/>
        <v>245922.712</v>
      </c>
      <c r="E147" s="82">
        <f t="shared" si="66"/>
        <v>206304.06900000002</v>
      </c>
      <c r="F147" s="82">
        <f t="shared" si="66"/>
        <v>206466.72700000001</v>
      </c>
      <c r="G147" s="82">
        <f t="shared" si="66"/>
        <v>195918.19999999998</v>
      </c>
      <c r="H147" s="82">
        <f t="shared" si="66"/>
        <v>311831.27600000001</v>
      </c>
      <c r="I147" s="82">
        <f t="shared" si="66"/>
        <v>258856.51400000002</v>
      </c>
      <c r="J147" s="82">
        <f t="shared" si="66"/>
        <v>273770.84000000003</v>
      </c>
      <c r="K147" s="82">
        <f t="shared" si="66"/>
        <v>281017.50499999995</v>
      </c>
    </row>
    <row r="148" spans="1:11" ht="15.75" customHeight="1" x14ac:dyDescent="0.15">
      <c r="A148" s="65" t="s">
        <v>561</v>
      </c>
      <c r="B148" s="82">
        <f t="shared" ref="B148:K148" si="67">B39</f>
        <v>382681</v>
      </c>
      <c r="C148" s="82">
        <f t="shared" si="67"/>
        <v>268361</v>
      </c>
      <c r="D148" s="82">
        <f t="shared" si="67"/>
        <v>313220.59400000004</v>
      </c>
      <c r="E148" s="82">
        <f t="shared" si="67"/>
        <v>237133.405</v>
      </c>
      <c r="F148" s="82">
        <f t="shared" si="67"/>
        <v>204202.61000000002</v>
      </c>
      <c r="G148" s="82">
        <f t="shared" si="67"/>
        <v>167429.73300000001</v>
      </c>
      <c r="H148" s="82">
        <f t="shared" si="67"/>
        <v>243918.12299999999</v>
      </c>
      <c r="I148" s="82">
        <f t="shared" si="67"/>
        <v>269864.50100000005</v>
      </c>
      <c r="J148" s="82">
        <f t="shared" si="67"/>
        <v>258461.76800000001</v>
      </c>
      <c r="K148" s="82">
        <f t="shared" si="67"/>
        <v>281006.04300000001</v>
      </c>
    </row>
    <row r="149" spans="1:11" s="74" customFormat="1" ht="15.75" customHeight="1" x14ac:dyDescent="0.15">
      <c r="A149" s="74" t="s">
        <v>562</v>
      </c>
      <c r="B149" s="78">
        <f t="shared" ref="B149:K149" si="68">B147/B148</f>
        <v>1.4774524996014957</v>
      </c>
      <c r="C149" s="78">
        <f t="shared" si="68"/>
        <v>1.8057914525583076</v>
      </c>
      <c r="D149" s="78">
        <f t="shared" si="68"/>
        <v>0.78514221833063746</v>
      </c>
      <c r="E149" s="78">
        <f t="shared" si="68"/>
        <v>0.86999159397217785</v>
      </c>
      <c r="F149" s="78">
        <f t="shared" si="68"/>
        <v>1.0110876006922733</v>
      </c>
      <c r="G149" s="78">
        <f t="shared" si="68"/>
        <v>1.1701517794333458</v>
      </c>
      <c r="H149" s="78">
        <f t="shared" si="68"/>
        <v>1.2784260233094693</v>
      </c>
      <c r="I149" s="78">
        <f t="shared" si="68"/>
        <v>0.95920920699384604</v>
      </c>
      <c r="J149" s="78">
        <f t="shared" si="68"/>
        <v>1.0592314759682369</v>
      </c>
      <c r="K149" s="78">
        <f t="shared" si="68"/>
        <v>1.0000407891584024</v>
      </c>
    </row>
    <row r="150" spans="1:11" ht="15.75" customHeight="1" x14ac:dyDescent="0.15">
      <c r="B150" s="82"/>
      <c r="C150" s="82"/>
      <c r="D150" s="82"/>
      <c r="E150" s="82"/>
      <c r="F150" s="82"/>
      <c r="G150" s="82"/>
      <c r="H150" s="82"/>
      <c r="I150" s="82"/>
      <c r="J150" s="82"/>
      <c r="K150" s="82"/>
    </row>
    <row r="151" spans="1:11" ht="15.75" customHeight="1" x14ac:dyDescent="0.15">
      <c r="A151" s="65" t="s">
        <v>563</v>
      </c>
      <c r="B151" s="82">
        <f t="shared" ref="B151:K151" si="69">B37-B35</f>
        <v>434227</v>
      </c>
      <c r="C151" s="82">
        <f t="shared" si="69"/>
        <v>366540</v>
      </c>
      <c r="D151" s="82">
        <f t="shared" si="69"/>
        <v>92163.569000000018</v>
      </c>
      <c r="E151" s="82">
        <f t="shared" si="69"/>
        <v>73821.876000000018</v>
      </c>
      <c r="F151" s="82">
        <f t="shared" si="69"/>
        <v>84029.342000000004</v>
      </c>
      <c r="G151" s="82">
        <f t="shared" si="69"/>
        <v>76532.272999999986</v>
      </c>
      <c r="H151" s="82">
        <f t="shared" si="69"/>
        <v>145895.93700000001</v>
      </c>
      <c r="I151" s="82">
        <f t="shared" si="69"/>
        <v>136335.43000000002</v>
      </c>
      <c r="J151" s="82">
        <f t="shared" si="69"/>
        <v>142659.59200000003</v>
      </c>
      <c r="K151" s="82">
        <f t="shared" si="69"/>
        <v>153826.16599999994</v>
      </c>
    </row>
    <row r="152" spans="1:11" ht="15.75" customHeight="1" x14ac:dyDescent="0.15">
      <c r="A152" s="65" t="s">
        <v>564</v>
      </c>
      <c r="B152" s="82">
        <f t="shared" ref="B152:K152" si="70">B148</f>
        <v>382681</v>
      </c>
      <c r="C152" s="82">
        <f t="shared" si="70"/>
        <v>268361</v>
      </c>
      <c r="D152" s="82">
        <f t="shared" si="70"/>
        <v>313220.59400000004</v>
      </c>
      <c r="E152" s="82">
        <f t="shared" si="70"/>
        <v>237133.405</v>
      </c>
      <c r="F152" s="82">
        <f t="shared" si="70"/>
        <v>204202.61000000002</v>
      </c>
      <c r="G152" s="82">
        <f t="shared" si="70"/>
        <v>167429.73300000001</v>
      </c>
      <c r="H152" s="82">
        <f t="shared" si="70"/>
        <v>243918.12299999999</v>
      </c>
      <c r="I152" s="82">
        <f t="shared" si="70"/>
        <v>269864.50100000005</v>
      </c>
      <c r="J152" s="82">
        <f t="shared" si="70"/>
        <v>258461.76800000001</v>
      </c>
      <c r="K152" s="82">
        <f t="shared" si="70"/>
        <v>281006.04300000001</v>
      </c>
    </row>
    <row r="153" spans="1:11" s="74" customFormat="1" ht="15.75" customHeight="1" x14ac:dyDescent="0.15">
      <c r="A153" s="74" t="s">
        <v>565</v>
      </c>
      <c r="B153" s="78">
        <f t="shared" ref="B153:K153" si="71">B151/B152</f>
        <v>1.1346970453197311</v>
      </c>
      <c r="C153" s="78">
        <f t="shared" si="71"/>
        <v>1.3658467512045342</v>
      </c>
      <c r="D153" s="78">
        <f t="shared" si="71"/>
        <v>0.29424492120080714</v>
      </c>
      <c r="E153" s="78">
        <f t="shared" si="71"/>
        <v>0.31130947577799095</v>
      </c>
      <c r="F153" s="78">
        <f t="shared" si="71"/>
        <v>0.41149984321943778</v>
      </c>
      <c r="G153" s="78">
        <f t="shared" si="71"/>
        <v>0.45710084838993315</v>
      </c>
      <c r="H153" s="78">
        <f t="shared" si="71"/>
        <v>0.59813487905529683</v>
      </c>
      <c r="I153" s="78">
        <f t="shared" si="71"/>
        <v>0.50519957050594066</v>
      </c>
      <c r="J153" s="78">
        <f t="shared" si="71"/>
        <v>0.55195626457217462</v>
      </c>
      <c r="K153" s="78">
        <f t="shared" si="71"/>
        <v>0.54741230600510582</v>
      </c>
    </row>
    <row r="154" spans="1:11" ht="15.75" customHeight="1" x14ac:dyDescent="0.15">
      <c r="B154" s="82"/>
      <c r="C154" s="82"/>
      <c r="D154" s="82"/>
      <c r="E154" s="82"/>
      <c r="F154" s="82"/>
      <c r="G154" s="82"/>
      <c r="H154" s="82"/>
      <c r="I154" s="82"/>
      <c r="J154" s="82"/>
      <c r="K154" s="82"/>
    </row>
    <row r="155" spans="1:11" ht="15.75" customHeight="1" x14ac:dyDescent="0.15">
      <c r="A155" s="65" t="s">
        <v>566</v>
      </c>
      <c r="B155" s="82">
        <f t="shared" ref="B155:K155" si="72">B48</f>
        <v>1840823</v>
      </c>
      <c r="C155" s="82">
        <f t="shared" si="72"/>
        <v>638820</v>
      </c>
      <c r="D155" s="82">
        <f t="shared" si="72"/>
        <v>756119.07400000002</v>
      </c>
      <c r="E155" s="82">
        <f t="shared" si="72"/>
        <v>114823.66799999999</v>
      </c>
      <c r="F155" s="82">
        <f t="shared" si="72"/>
        <v>124773.66099999998</v>
      </c>
      <c r="G155" s="82">
        <f t="shared" si="72"/>
        <v>421937.37099999993</v>
      </c>
      <c r="H155" s="82">
        <f t="shared" si="72"/>
        <v>432394.81199999992</v>
      </c>
      <c r="I155" s="82">
        <f t="shared" si="72"/>
        <v>374278.67499999999</v>
      </c>
      <c r="J155" s="82">
        <f t="shared" si="72"/>
        <v>348379.52899999998</v>
      </c>
      <c r="K155" s="82">
        <f t="shared" si="72"/>
        <v>307236.20199999999</v>
      </c>
    </row>
    <row r="156" spans="1:11" ht="15.75" customHeight="1" x14ac:dyDescent="0.15">
      <c r="A156" s="65" t="s">
        <v>567</v>
      </c>
      <c r="B156" s="82">
        <f t="shared" ref="B156:K156" si="73">B45+B20</f>
        <v>2855833</v>
      </c>
      <c r="C156" s="82">
        <f t="shared" si="73"/>
        <v>870568</v>
      </c>
      <c r="D156" s="82">
        <f t="shared" si="73"/>
        <v>1151472.5179999999</v>
      </c>
      <c r="E156" s="82">
        <f t="shared" si="73"/>
        <v>978158.96900000004</v>
      </c>
      <c r="F156" s="82">
        <f t="shared" si="73"/>
        <v>949045.18400000001</v>
      </c>
      <c r="G156" s="82">
        <f t="shared" si="73"/>
        <v>421132.85</v>
      </c>
      <c r="H156" s="82">
        <f t="shared" si="73"/>
        <v>443642.77100000001</v>
      </c>
      <c r="I156" s="82">
        <f t="shared" si="73"/>
        <v>466241.076</v>
      </c>
      <c r="J156" s="82">
        <f t="shared" si="73"/>
        <v>461962.39499999996</v>
      </c>
      <c r="K156" s="82">
        <f t="shared" si="73"/>
        <v>471693.6</v>
      </c>
    </row>
    <row r="157" spans="1:11" s="74" customFormat="1" ht="15.75" customHeight="1" x14ac:dyDescent="0.15">
      <c r="A157" s="74" t="s">
        <v>568</v>
      </c>
      <c r="B157" s="78">
        <f t="shared" ref="B157:K157" si="74">B155-B156</f>
        <v>-1015010</v>
      </c>
      <c r="C157" s="78">
        <f t="shared" si="74"/>
        <v>-231748</v>
      </c>
      <c r="D157" s="78">
        <f t="shared" si="74"/>
        <v>-395353.4439999999</v>
      </c>
      <c r="E157" s="78">
        <f t="shared" si="74"/>
        <v>-863335.30100000009</v>
      </c>
      <c r="F157" s="78">
        <f t="shared" si="74"/>
        <v>-824271.52300000004</v>
      </c>
      <c r="G157" s="78">
        <f t="shared" si="74"/>
        <v>804.52099999994971</v>
      </c>
      <c r="H157" s="78">
        <f t="shared" si="74"/>
        <v>-11247.95900000009</v>
      </c>
      <c r="I157" s="78">
        <f t="shared" si="74"/>
        <v>-91962.401000000013</v>
      </c>
      <c r="J157" s="78">
        <f t="shared" si="74"/>
        <v>-113582.86599999998</v>
      </c>
      <c r="K157" s="78">
        <f t="shared" si="74"/>
        <v>-164457.39799999999</v>
      </c>
    </row>
    <row r="158" spans="1:11" ht="15.75" customHeight="1" x14ac:dyDescent="0.15">
      <c r="B158" s="82"/>
      <c r="C158" s="82"/>
      <c r="D158" s="82"/>
      <c r="E158" s="82"/>
      <c r="F158" s="82"/>
      <c r="G158" s="82"/>
      <c r="H158" s="82"/>
      <c r="I158" s="82"/>
      <c r="J158" s="82"/>
      <c r="K158" s="82"/>
    </row>
    <row r="159" spans="1:11" ht="15.75" customHeight="1" x14ac:dyDescent="0.15">
      <c r="A159" s="65" t="s">
        <v>566</v>
      </c>
      <c r="B159" s="82">
        <f t="shared" ref="B159:K159" si="75">B155</f>
        <v>1840823</v>
      </c>
      <c r="C159" s="82">
        <f t="shared" si="75"/>
        <v>638820</v>
      </c>
      <c r="D159" s="82">
        <f t="shared" si="75"/>
        <v>756119.07400000002</v>
      </c>
      <c r="E159" s="82">
        <f t="shared" si="75"/>
        <v>114823.66799999999</v>
      </c>
      <c r="F159" s="82">
        <f t="shared" si="75"/>
        <v>124773.66099999998</v>
      </c>
      <c r="G159" s="82">
        <f t="shared" si="75"/>
        <v>421937.37099999993</v>
      </c>
      <c r="H159" s="82">
        <f t="shared" si="75"/>
        <v>432394.81199999992</v>
      </c>
      <c r="I159" s="82">
        <f t="shared" si="75"/>
        <v>374278.67499999999</v>
      </c>
      <c r="J159" s="82">
        <f t="shared" si="75"/>
        <v>348379.52899999998</v>
      </c>
      <c r="K159" s="82">
        <f t="shared" si="75"/>
        <v>307236.20199999999</v>
      </c>
    </row>
    <row r="160" spans="1:11" ht="15.75" customHeight="1" x14ac:dyDescent="0.15">
      <c r="A160" s="65" t="s">
        <v>569</v>
      </c>
      <c r="B160" s="82">
        <f>B41+B22+B43</f>
        <v>1425629</v>
      </c>
      <c r="C160" s="82">
        <f t="shared" ref="C160:K160" si="76">C41+C22+C43</f>
        <v>703519</v>
      </c>
      <c r="D160" s="82">
        <f t="shared" si="76"/>
        <v>395029.18599999999</v>
      </c>
      <c r="E160" s="82">
        <f t="shared" si="76"/>
        <v>899897.60600000003</v>
      </c>
      <c r="F160" s="82">
        <f t="shared" si="76"/>
        <v>922018.57599999988</v>
      </c>
      <c r="G160" s="82">
        <f t="shared" si="76"/>
        <v>103931.448</v>
      </c>
      <c r="H160" s="82">
        <f t="shared" si="76"/>
        <v>67952.994000000006</v>
      </c>
      <c r="I160" s="82">
        <f t="shared" si="76"/>
        <v>102281.731</v>
      </c>
      <c r="J160" s="82">
        <f t="shared" si="76"/>
        <v>133992.008</v>
      </c>
      <c r="K160" s="82">
        <f t="shared" si="76"/>
        <v>152869.88</v>
      </c>
    </row>
    <row r="161" spans="1:11" ht="15.75" customHeight="1" x14ac:dyDescent="0.15">
      <c r="A161" s="65" t="s">
        <v>567</v>
      </c>
      <c r="B161" s="82">
        <f t="shared" ref="B161:K161" si="77">B156</f>
        <v>2855833</v>
      </c>
      <c r="C161" s="82">
        <f t="shared" si="77"/>
        <v>870568</v>
      </c>
      <c r="D161" s="82">
        <f t="shared" si="77"/>
        <v>1151472.5179999999</v>
      </c>
      <c r="E161" s="82">
        <f t="shared" si="77"/>
        <v>978158.96900000004</v>
      </c>
      <c r="F161" s="82">
        <f t="shared" si="77"/>
        <v>949045.18400000001</v>
      </c>
      <c r="G161" s="82">
        <f t="shared" si="77"/>
        <v>421132.85</v>
      </c>
      <c r="H161" s="82">
        <f t="shared" si="77"/>
        <v>443642.77100000001</v>
      </c>
      <c r="I161" s="82">
        <f t="shared" si="77"/>
        <v>466241.076</v>
      </c>
      <c r="J161" s="82">
        <f t="shared" si="77"/>
        <v>461962.39499999996</v>
      </c>
      <c r="K161" s="82">
        <f t="shared" si="77"/>
        <v>471693.6</v>
      </c>
    </row>
    <row r="162" spans="1:11" s="74" customFormat="1" ht="15.75" customHeight="1" x14ac:dyDescent="0.15">
      <c r="A162" s="74" t="s">
        <v>570</v>
      </c>
      <c r="B162" s="78">
        <f t="shared" ref="B162:K162" si="78">B159+B160-B161</f>
        <v>410619</v>
      </c>
      <c r="C162" s="78">
        <f t="shared" si="78"/>
        <v>471771</v>
      </c>
      <c r="D162" s="78">
        <f t="shared" si="78"/>
        <v>-324.25799999991432</v>
      </c>
      <c r="E162" s="78">
        <f t="shared" si="78"/>
        <v>36562.304999999935</v>
      </c>
      <c r="F162" s="78">
        <f t="shared" si="78"/>
        <v>97747.05299999984</v>
      </c>
      <c r="G162" s="78">
        <f t="shared" si="78"/>
        <v>104735.96899999992</v>
      </c>
      <c r="H162" s="78">
        <f t="shared" si="78"/>
        <v>56705.034999999916</v>
      </c>
      <c r="I162" s="78">
        <f t="shared" si="78"/>
        <v>10319.329999999958</v>
      </c>
      <c r="J162" s="78">
        <f t="shared" si="78"/>
        <v>20409.142000000051</v>
      </c>
      <c r="K162" s="78">
        <f t="shared" si="78"/>
        <v>-11587.517999999982</v>
      </c>
    </row>
    <row r="165" spans="1:11" ht="15.75" customHeight="1" x14ac:dyDescent="0.15">
      <c r="A165" s="80" t="s">
        <v>456</v>
      </c>
    </row>
    <row r="166" spans="1:11" ht="15.75" customHeight="1" x14ac:dyDescent="0.15">
      <c r="A166" s="80" t="s">
        <v>571</v>
      </c>
    </row>
    <row r="167" spans="1:11" ht="15.75" customHeight="1" x14ac:dyDescent="0.15">
      <c r="A167" s="65" t="s">
        <v>572</v>
      </c>
      <c r="B167" s="82">
        <f t="shared" ref="B167:K167" si="79">B16-B15</f>
        <v>1456569</v>
      </c>
      <c r="C167" s="82">
        <f t="shared" si="79"/>
        <v>323077.82699999993</v>
      </c>
      <c r="D167" s="82">
        <f t="shared" si="79"/>
        <v>-10801.49099999998</v>
      </c>
      <c r="E167" s="82">
        <f t="shared" si="79"/>
        <v>-36114.90300000002</v>
      </c>
      <c r="F167" s="82">
        <f t="shared" si="79"/>
        <v>123873.48200000008</v>
      </c>
      <c r="G167" s="82">
        <f t="shared" si="79"/>
        <v>-54039.373000000109</v>
      </c>
      <c r="H167" s="82">
        <f t="shared" si="79"/>
        <v>-13776.598999999871</v>
      </c>
      <c r="I167" s="82">
        <f t="shared" si="79"/>
        <v>2206.3259999999718</v>
      </c>
      <c r="J167" s="82">
        <f t="shared" si="79"/>
        <v>-19758.812000000034</v>
      </c>
      <c r="K167" s="82">
        <f t="shared" si="79"/>
        <v>249554.54300000001</v>
      </c>
    </row>
    <row r="168" spans="1:11" ht="15.75" customHeight="1" x14ac:dyDescent="0.15">
      <c r="A168" s="65" t="s">
        <v>573</v>
      </c>
      <c r="B168" s="82">
        <f>B15</f>
        <v>564221</v>
      </c>
      <c r="C168" s="82">
        <f t="shared" ref="C168:K168" si="80">C15</f>
        <v>241143.17300000004</v>
      </c>
      <c r="D168" s="82">
        <f t="shared" si="80"/>
        <v>251944.66400000002</v>
      </c>
      <c r="E168" s="82">
        <f t="shared" si="80"/>
        <v>288059.56700000004</v>
      </c>
      <c r="F168" s="82">
        <f t="shared" si="80"/>
        <v>164186.08499999996</v>
      </c>
      <c r="G168" s="82">
        <f t="shared" si="80"/>
        <v>218225.45800000007</v>
      </c>
      <c r="H168" s="82">
        <f t="shared" si="80"/>
        <v>232002.05699999994</v>
      </c>
      <c r="I168" s="82">
        <f t="shared" si="80"/>
        <v>229795.73099999997</v>
      </c>
      <c r="J168" s="82">
        <f t="shared" si="80"/>
        <v>249554.54300000001</v>
      </c>
      <c r="K168" s="82">
        <f t="shared" si="80"/>
        <v>0</v>
      </c>
    </row>
    <row r="169" spans="1:11" s="74" customFormat="1" ht="15.75" customHeight="1" x14ac:dyDescent="0.15">
      <c r="A169" s="74" t="s">
        <v>574</v>
      </c>
      <c r="B169" s="78">
        <f t="shared" ref="B169:K169" si="81">B167/B168</f>
        <v>2.5815575811605735</v>
      </c>
      <c r="C169" s="78">
        <f t="shared" si="81"/>
        <v>1.3397759637176205</v>
      </c>
      <c r="D169" s="78">
        <f t="shared" si="81"/>
        <v>-4.2872473774637987E-2</v>
      </c>
      <c r="E169" s="78">
        <f t="shared" si="81"/>
        <v>-0.12537303786199197</v>
      </c>
      <c r="F169" s="78">
        <f t="shared" si="81"/>
        <v>0.75447003928499856</v>
      </c>
      <c r="G169" s="78">
        <f t="shared" si="81"/>
        <v>-0.24763092947661539</v>
      </c>
      <c r="H169" s="78">
        <f t="shared" si="81"/>
        <v>-5.938136574366612E-2</v>
      </c>
      <c r="I169" s="78">
        <f t="shared" si="81"/>
        <v>9.6012488587090949E-3</v>
      </c>
      <c r="J169" s="78">
        <f t="shared" si="81"/>
        <v>-7.9176326595665439E-2</v>
      </c>
      <c r="K169" s="78" t="e">
        <f t="shared" si="81"/>
        <v>#DIV/0!</v>
      </c>
    </row>
    <row r="170" spans="1:11" ht="15.75" customHeight="1" x14ac:dyDescent="0.15">
      <c r="B170" s="82"/>
      <c r="C170" s="82"/>
      <c r="D170" s="82"/>
      <c r="E170" s="82"/>
      <c r="F170" s="82"/>
      <c r="G170" s="82"/>
      <c r="H170" s="82"/>
      <c r="I170" s="82"/>
      <c r="J170" s="82"/>
      <c r="K170" s="82"/>
    </row>
    <row r="171" spans="1:11" ht="15.75" customHeight="1" x14ac:dyDescent="0.15">
      <c r="A171" s="65" t="s">
        <v>575</v>
      </c>
      <c r="B171" s="82">
        <f t="shared" ref="B171:K171" si="82">B48-B47</f>
        <v>1202003</v>
      </c>
      <c r="C171" s="82">
        <f t="shared" si="82"/>
        <v>-117299.07400000002</v>
      </c>
      <c r="D171" s="82">
        <f t="shared" si="82"/>
        <v>641295.40600000008</v>
      </c>
      <c r="E171" s="82">
        <f t="shared" si="82"/>
        <v>-9949.9929999999877</v>
      </c>
      <c r="F171" s="82">
        <f t="shared" si="82"/>
        <v>-297163.70999999996</v>
      </c>
      <c r="G171" s="82">
        <f t="shared" si="82"/>
        <v>-10457.440999999992</v>
      </c>
      <c r="H171" s="82">
        <f t="shared" si="82"/>
        <v>58116.13699999993</v>
      </c>
      <c r="I171" s="82">
        <f t="shared" si="82"/>
        <v>25899.146000000008</v>
      </c>
      <c r="J171" s="82">
        <f t="shared" si="82"/>
        <v>41143.32699999999</v>
      </c>
      <c r="K171" s="82">
        <f t="shared" si="82"/>
        <v>307236.20199999999</v>
      </c>
    </row>
    <row r="172" spans="1:11" ht="15.75" customHeight="1" x14ac:dyDescent="0.15">
      <c r="A172" s="65" t="s">
        <v>576</v>
      </c>
      <c r="B172" s="82">
        <f t="shared" ref="B172:K172" si="83">B47</f>
        <v>638820</v>
      </c>
      <c r="C172" s="82">
        <f t="shared" si="83"/>
        <v>756119.07400000002</v>
      </c>
      <c r="D172" s="82">
        <f t="shared" si="83"/>
        <v>114823.66799999999</v>
      </c>
      <c r="E172" s="82">
        <f t="shared" si="83"/>
        <v>124773.66099999998</v>
      </c>
      <c r="F172" s="82">
        <f t="shared" si="83"/>
        <v>421937.37099999993</v>
      </c>
      <c r="G172" s="82">
        <f t="shared" si="83"/>
        <v>432394.81199999992</v>
      </c>
      <c r="H172" s="82">
        <f t="shared" si="83"/>
        <v>374278.67499999999</v>
      </c>
      <c r="I172" s="82">
        <f t="shared" si="83"/>
        <v>348379.52899999998</v>
      </c>
      <c r="J172" s="82">
        <f t="shared" si="83"/>
        <v>307236.20199999999</v>
      </c>
      <c r="K172" s="82">
        <f t="shared" si="83"/>
        <v>0</v>
      </c>
    </row>
    <row r="173" spans="1:11" s="74" customFormat="1" ht="15.75" customHeight="1" x14ac:dyDescent="0.15">
      <c r="A173" s="74" t="s">
        <v>577</v>
      </c>
      <c r="B173" s="78">
        <f t="shared" ref="B173:K173" si="84">B171/B172</f>
        <v>1.8815988854450394</v>
      </c>
      <c r="C173" s="78">
        <f t="shared" si="84"/>
        <v>-0.15513307101151111</v>
      </c>
      <c r="D173" s="78">
        <f t="shared" si="84"/>
        <v>5.5850454629266864</v>
      </c>
      <c r="E173" s="78">
        <f t="shared" si="84"/>
        <v>-7.9744338029802533E-2</v>
      </c>
      <c r="F173" s="78">
        <f t="shared" si="84"/>
        <v>-0.70428393032766001</v>
      </c>
      <c r="G173" s="78">
        <f t="shared" si="84"/>
        <v>-2.4184936335452593E-2</v>
      </c>
      <c r="H173" s="78">
        <f t="shared" si="84"/>
        <v>0.15527504205255599</v>
      </c>
      <c r="I173" s="78">
        <f t="shared" si="84"/>
        <v>7.4341756171327766E-2</v>
      </c>
      <c r="J173" s="78">
        <f t="shared" si="84"/>
        <v>0.13391431977147014</v>
      </c>
      <c r="K173" s="78" t="e">
        <f t="shared" si="84"/>
        <v>#DIV/0!</v>
      </c>
    </row>
    <row r="174" spans="1:11" ht="15.75" customHeight="1" x14ac:dyDescent="0.15">
      <c r="B174" s="82"/>
      <c r="C174" s="82"/>
      <c r="D174" s="82"/>
      <c r="E174" s="82"/>
      <c r="F174" s="82"/>
      <c r="G174" s="82"/>
      <c r="H174" s="82"/>
      <c r="I174" s="82"/>
      <c r="J174" s="82"/>
      <c r="K174" s="82"/>
    </row>
    <row r="175" spans="1:11" ht="15.75" customHeight="1" x14ac:dyDescent="0.15">
      <c r="A175" s="65" t="s">
        <v>578</v>
      </c>
      <c r="B175" s="82">
        <f>B167-B171</f>
        <v>254566</v>
      </c>
      <c r="C175" s="82">
        <f t="shared" ref="C175:K175" si="85">C167-C171</f>
        <v>440376.90099999995</v>
      </c>
      <c r="D175" s="82">
        <f t="shared" si="85"/>
        <v>-652096.89700000011</v>
      </c>
      <c r="E175" s="82">
        <f t="shared" si="85"/>
        <v>-26164.910000000033</v>
      </c>
      <c r="F175" s="82">
        <f t="shared" si="85"/>
        <v>421037.19200000004</v>
      </c>
      <c r="G175" s="82">
        <f t="shared" si="85"/>
        <v>-43581.932000000117</v>
      </c>
      <c r="H175" s="82">
        <f t="shared" si="85"/>
        <v>-71892.735999999801</v>
      </c>
      <c r="I175" s="82">
        <f t="shared" si="85"/>
        <v>-23692.820000000036</v>
      </c>
      <c r="J175" s="82">
        <f t="shared" si="85"/>
        <v>-60902.139000000025</v>
      </c>
      <c r="K175" s="82">
        <f t="shared" si="85"/>
        <v>-57681.658999999985</v>
      </c>
    </row>
    <row r="176" spans="1:11" ht="15.75" customHeight="1" x14ac:dyDescent="0.15">
      <c r="B176" s="82"/>
      <c r="C176" s="82"/>
      <c r="D176" s="82"/>
      <c r="E176" s="82"/>
      <c r="F176" s="82"/>
      <c r="G176" s="82"/>
      <c r="H176" s="82"/>
      <c r="I176" s="82"/>
      <c r="J176" s="82"/>
      <c r="K176" s="82"/>
    </row>
    <row r="177" spans="1:11" ht="15.75" customHeight="1" x14ac:dyDescent="0.15">
      <c r="A177" s="65" t="s">
        <v>579</v>
      </c>
      <c r="B177" s="82">
        <f t="shared" ref="B177:K177" si="86">B175</f>
        <v>254566</v>
      </c>
      <c r="C177" s="82">
        <f t="shared" si="86"/>
        <v>440376.90099999995</v>
      </c>
      <c r="D177" s="82">
        <f t="shared" si="86"/>
        <v>-652096.89700000011</v>
      </c>
      <c r="E177" s="82">
        <f t="shared" si="86"/>
        <v>-26164.910000000033</v>
      </c>
      <c r="F177" s="82">
        <f t="shared" si="86"/>
        <v>421037.19200000004</v>
      </c>
      <c r="G177" s="82">
        <f t="shared" si="86"/>
        <v>-43581.932000000117</v>
      </c>
      <c r="H177" s="82">
        <f t="shared" si="86"/>
        <v>-71892.735999999801</v>
      </c>
      <c r="I177" s="82">
        <f t="shared" si="86"/>
        <v>-23692.820000000036</v>
      </c>
      <c r="J177" s="82">
        <f t="shared" si="86"/>
        <v>-60902.139000000025</v>
      </c>
      <c r="K177" s="82">
        <f t="shared" si="86"/>
        <v>-57681.658999999985</v>
      </c>
    </row>
    <row r="178" spans="1:11" ht="15.75" customHeight="1" x14ac:dyDescent="0.15">
      <c r="A178" s="65" t="s">
        <v>580</v>
      </c>
      <c r="B178" s="82">
        <f t="shared" ref="B178:K178" si="87">B171</f>
        <v>1202003</v>
      </c>
      <c r="C178" s="82">
        <f t="shared" si="87"/>
        <v>-117299.07400000002</v>
      </c>
      <c r="D178" s="82">
        <f t="shared" si="87"/>
        <v>641295.40600000008</v>
      </c>
      <c r="E178" s="82">
        <f t="shared" si="87"/>
        <v>-9949.9929999999877</v>
      </c>
      <c r="F178" s="82">
        <f t="shared" si="87"/>
        <v>-297163.70999999996</v>
      </c>
      <c r="G178" s="82">
        <f t="shared" si="87"/>
        <v>-10457.440999999992</v>
      </c>
      <c r="H178" s="82">
        <f t="shared" si="87"/>
        <v>58116.13699999993</v>
      </c>
      <c r="I178" s="82">
        <f t="shared" si="87"/>
        <v>25899.146000000008</v>
      </c>
      <c r="J178" s="82">
        <f t="shared" si="87"/>
        <v>41143.32699999999</v>
      </c>
      <c r="K178" s="82">
        <f t="shared" si="87"/>
        <v>307236.20199999999</v>
      </c>
    </row>
    <row r="179" spans="1:11" s="74" customFormat="1" ht="15.75" customHeight="1" x14ac:dyDescent="0.15">
      <c r="A179" s="74" t="s">
        <v>581</v>
      </c>
      <c r="B179" s="78">
        <f t="shared" ref="B179:K179" si="88">B177/B178</f>
        <v>0.21178482915600044</v>
      </c>
      <c r="C179" s="78">
        <f t="shared" si="88"/>
        <v>-3.7543084184961244</v>
      </c>
      <c r="D179" s="78">
        <f t="shared" si="88"/>
        <v>-1.0168432377636587</v>
      </c>
      <c r="E179" s="78">
        <f t="shared" si="88"/>
        <v>2.6296410459786319</v>
      </c>
      <c r="F179" s="78">
        <f t="shared" si="88"/>
        <v>-1.4168526567392772</v>
      </c>
      <c r="G179" s="78">
        <f t="shared" si="88"/>
        <v>4.1675522721094147</v>
      </c>
      <c r="H179" s="78">
        <f t="shared" si="88"/>
        <v>-1.2370529032237618</v>
      </c>
      <c r="I179" s="78">
        <f t="shared" si="88"/>
        <v>-0.91481085901442571</v>
      </c>
      <c r="J179" s="78">
        <f t="shared" si="88"/>
        <v>-1.480243418331241</v>
      </c>
      <c r="K179" s="78">
        <f t="shared" si="88"/>
        <v>-0.18774369239208336</v>
      </c>
    </row>
    <row r="180" spans="1:11" ht="15.75" customHeight="1" x14ac:dyDescent="0.15">
      <c r="B180" s="82"/>
      <c r="C180" s="82"/>
      <c r="D180" s="82"/>
      <c r="E180" s="82"/>
      <c r="F180" s="82"/>
      <c r="G180" s="82"/>
      <c r="H180" s="82"/>
      <c r="I180" s="82"/>
      <c r="J180" s="82"/>
      <c r="K180" s="82"/>
    </row>
    <row r="181" spans="1:11" ht="15.75" customHeight="1" x14ac:dyDescent="0.15">
      <c r="A181" s="65" t="s">
        <v>582</v>
      </c>
      <c r="B181" s="82">
        <f t="shared" ref="B181:K181" si="89">B169-B173</f>
        <v>0.69995869571553415</v>
      </c>
      <c r="C181" s="82">
        <f t="shared" si="89"/>
        <v>1.4949090347291316</v>
      </c>
      <c r="D181" s="82">
        <f t="shared" si="89"/>
        <v>-5.6279179367013246</v>
      </c>
      <c r="E181" s="82">
        <f t="shared" si="89"/>
        <v>-4.5628699832189437E-2</v>
      </c>
      <c r="F181" s="82">
        <f t="shared" si="89"/>
        <v>1.4587539696126586</v>
      </c>
      <c r="G181" s="82">
        <f t="shared" si="89"/>
        <v>-0.22344599314116279</v>
      </c>
      <c r="H181" s="82">
        <f t="shared" si="89"/>
        <v>-0.21465640779622211</v>
      </c>
      <c r="I181" s="82">
        <f t="shared" si="89"/>
        <v>-6.474050731261867E-2</v>
      </c>
      <c r="J181" s="82">
        <f t="shared" si="89"/>
        <v>-0.21309064636713559</v>
      </c>
      <c r="K181" s="82" t="e">
        <f t="shared" si="89"/>
        <v>#DIV/0!</v>
      </c>
    </row>
    <row r="182" spans="1:11" ht="15.75" customHeight="1" x14ac:dyDescent="0.15">
      <c r="B182" s="82"/>
      <c r="C182" s="82"/>
      <c r="D182" s="82"/>
      <c r="E182" s="82"/>
      <c r="F182" s="82"/>
      <c r="G182" s="82"/>
      <c r="H182" s="82"/>
      <c r="I182" s="82"/>
      <c r="J182" s="82"/>
      <c r="K182" s="82"/>
    </row>
    <row r="183" spans="1:11" ht="15.75" customHeight="1" x14ac:dyDescent="0.15">
      <c r="B183" s="82"/>
      <c r="C183" s="82"/>
      <c r="D183" s="82"/>
      <c r="E183" s="82"/>
      <c r="F183" s="82"/>
      <c r="G183" s="82"/>
      <c r="H183" s="82"/>
      <c r="I183" s="82"/>
      <c r="J183" s="82"/>
      <c r="K183" s="82"/>
    </row>
    <row r="184" spans="1:11" ht="15.75" customHeight="1" x14ac:dyDescent="0.15">
      <c r="A184" s="81" t="s">
        <v>583</v>
      </c>
      <c r="B184" s="82"/>
      <c r="C184" s="82"/>
      <c r="D184" s="82"/>
      <c r="E184" s="82"/>
      <c r="F184" s="82"/>
      <c r="G184" s="82"/>
      <c r="H184" s="82"/>
      <c r="I184" s="82"/>
      <c r="J184" s="82"/>
      <c r="K184" s="82"/>
    </row>
    <row r="185" spans="1:11" ht="15.75" customHeight="1" x14ac:dyDescent="0.15">
      <c r="A185" s="65" t="s">
        <v>584</v>
      </c>
      <c r="B185" s="82">
        <f t="shared" ref="B185:K185" si="90">(B7-B8)/B8</f>
        <v>0.23404648966387326</v>
      </c>
      <c r="C185" s="82">
        <f t="shared" si="90"/>
        <v>-0.22428850708241876</v>
      </c>
      <c r="D185" s="82">
        <f t="shared" si="90"/>
        <v>0.27169368585421505</v>
      </c>
      <c r="E185" s="82">
        <f t="shared" si="90"/>
        <v>0.22207011584714087</v>
      </c>
      <c r="F185" s="82">
        <f t="shared" si="90"/>
        <v>-0.21454297071092193</v>
      </c>
      <c r="G185" s="82">
        <f t="shared" si="90"/>
        <v>-2.9244734705803359E-3</v>
      </c>
      <c r="H185" s="82">
        <f t="shared" si="90"/>
        <v>-8.7090198746346825E-2</v>
      </c>
      <c r="I185" s="82">
        <f t="shared" si="90"/>
        <v>1.4545511072977002E-2</v>
      </c>
      <c r="J185" s="82">
        <f t="shared" si="90"/>
        <v>5.0362087481561325E-2</v>
      </c>
      <c r="K185" s="82" t="e">
        <f t="shared" si="90"/>
        <v>#DIV/0!</v>
      </c>
    </row>
    <row r="186" spans="1:11" ht="15.75" customHeight="1" x14ac:dyDescent="0.15">
      <c r="A186" s="65" t="s">
        <v>585</v>
      </c>
      <c r="B186" s="82">
        <f t="shared" ref="B186:K186" si="91">B167/(B7-B8)</f>
        <v>10.965910545295761</v>
      </c>
      <c r="C186" s="82">
        <f t="shared" si="91"/>
        <v>-1.968865853060348</v>
      </c>
      <c r="D186" s="82">
        <f t="shared" si="91"/>
        <v>-6.9103918003806386E-2</v>
      </c>
      <c r="E186" s="82">
        <f t="shared" si="91"/>
        <v>-0.34545458928160844</v>
      </c>
      <c r="F186" s="82">
        <f t="shared" si="91"/>
        <v>-0.96334338431970323</v>
      </c>
      <c r="G186" s="82">
        <f t="shared" si="91"/>
        <v>30.740274094476728</v>
      </c>
      <c r="H186" s="82">
        <f t="shared" si="91"/>
        <v>0.24024022489664382</v>
      </c>
      <c r="I186" s="82">
        <f t="shared" si="91"/>
        <v>0.23371426519429195</v>
      </c>
      <c r="J186" s="82">
        <f t="shared" si="91"/>
        <v>-0.63495166621848753</v>
      </c>
      <c r="K186" s="82">
        <f t="shared" si="91"/>
        <v>0.40387692553558335</v>
      </c>
    </row>
    <row r="187" spans="1:11" ht="15.75" customHeight="1" x14ac:dyDescent="0.15">
      <c r="A187" s="65" t="s">
        <v>586</v>
      </c>
      <c r="B187" s="82">
        <f t="shared" ref="B187:K187" si="92">B8/B15</f>
        <v>1.0058540890892045</v>
      </c>
      <c r="C187" s="82">
        <f t="shared" si="92"/>
        <v>3.0339543014970611</v>
      </c>
      <c r="D187" s="82">
        <f t="shared" si="92"/>
        <v>2.2834753428236922</v>
      </c>
      <c r="E187" s="82">
        <f t="shared" si="92"/>
        <v>1.6342671965482747</v>
      </c>
      <c r="F187" s="82">
        <f t="shared" si="92"/>
        <v>3.6504515531873487</v>
      </c>
      <c r="G187" s="82">
        <f t="shared" si="92"/>
        <v>2.7545424283174134</v>
      </c>
      <c r="H187" s="82">
        <f t="shared" si="92"/>
        <v>2.8381488876195617</v>
      </c>
      <c r="I187" s="82">
        <f t="shared" si="92"/>
        <v>2.8243175196322516</v>
      </c>
      <c r="J187" s="82">
        <f t="shared" si="92"/>
        <v>2.4760018133590935</v>
      </c>
      <c r="K187" s="82" t="e">
        <f t="shared" si="92"/>
        <v>#DIV/0!</v>
      </c>
    </row>
    <row r="188" spans="1:11" s="74" customFormat="1" ht="15.75" customHeight="1" x14ac:dyDescent="0.15">
      <c r="A188" s="74" t="s">
        <v>587</v>
      </c>
      <c r="B188" s="78">
        <f t="shared" ref="B188:K188" si="93">B185*B186*B187</f>
        <v>2.581557581160574</v>
      </c>
      <c r="C188" s="78">
        <f t="shared" si="93"/>
        <v>1.3397759637176203</v>
      </c>
      <c r="D188" s="78">
        <f t="shared" si="93"/>
        <v>-4.2872473774637987E-2</v>
      </c>
      <c r="E188" s="78">
        <f t="shared" si="93"/>
        <v>-0.125373037861992</v>
      </c>
      <c r="F188" s="78">
        <f t="shared" si="93"/>
        <v>0.75447003928499856</v>
      </c>
      <c r="G188" s="78">
        <f t="shared" si="93"/>
        <v>-0.24763092947661536</v>
      </c>
      <c r="H188" s="78">
        <f t="shared" si="93"/>
        <v>-5.938136574366612E-2</v>
      </c>
      <c r="I188" s="78">
        <f t="shared" si="93"/>
        <v>9.6012488587090949E-3</v>
      </c>
      <c r="J188" s="78">
        <f t="shared" si="93"/>
        <v>-7.9176326595665439E-2</v>
      </c>
      <c r="K188" s="78" t="e">
        <f t="shared" si="93"/>
        <v>#DIV/0!</v>
      </c>
    </row>
    <row r="189" spans="1:11" ht="15.75" customHeight="1" x14ac:dyDescent="0.15">
      <c r="A189" s="65" t="s">
        <v>588</v>
      </c>
      <c r="B189" s="82">
        <f t="shared" ref="B189:K189" si="94">B167/B168</f>
        <v>2.5815575811605735</v>
      </c>
      <c r="C189" s="82">
        <f t="shared" si="94"/>
        <v>1.3397759637176205</v>
      </c>
      <c r="D189" s="82">
        <f t="shared" si="94"/>
        <v>-4.2872473774637987E-2</v>
      </c>
      <c r="E189" s="82">
        <f t="shared" si="94"/>
        <v>-0.12537303786199197</v>
      </c>
      <c r="F189" s="82">
        <f t="shared" si="94"/>
        <v>0.75447003928499856</v>
      </c>
      <c r="G189" s="82">
        <f t="shared" si="94"/>
        <v>-0.24763092947661539</v>
      </c>
      <c r="H189" s="82">
        <f t="shared" si="94"/>
        <v>-5.938136574366612E-2</v>
      </c>
      <c r="I189" s="82">
        <f t="shared" si="94"/>
        <v>9.6012488587090949E-3</v>
      </c>
      <c r="J189" s="82">
        <f t="shared" si="94"/>
        <v>-7.9176326595665439E-2</v>
      </c>
      <c r="K189" s="82" t="e">
        <f t="shared" si="94"/>
        <v>#DIV/0!</v>
      </c>
    </row>
    <row r="190" spans="1:11" ht="15.75" customHeight="1" x14ac:dyDescent="0.15">
      <c r="A190" s="65" t="s">
        <v>589</v>
      </c>
      <c r="B190" s="82">
        <f t="shared" ref="B190:K190" si="95">B188-B189</f>
        <v>0</v>
      </c>
      <c r="C190" s="82">
        <f t="shared" si="95"/>
        <v>0</v>
      </c>
      <c r="D190" s="82">
        <f t="shared" si="95"/>
        <v>0</v>
      </c>
      <c r="E190" s="82">
        <f t="shared" si="95"/>
        <v>0</v>
      </c>
      <c r="F190" s="82">
        <f t="shared" si="95"/>
        <v>0</v>
      </c>
      <c r="G190" s="82">
        <f t="shared" si="95"/>
        <v>0</v>
      </c>
      <c r="H190" s="82">
        <f t="shared" si="95"/>
        <v>0</v>
      </c>
      <c r="I190" s="82">
        <f t="shared" si="95"/>
        <v>0</v>
      </c>
      <c r="J190" s="82">
        <f t="shared" si="95"/>
        <v>0</v>
      </c>
      <c r="K190" s="82" t="e">
        <f t="shared" si="95"/>
        <v>#DIV/0!</v>
      </c>
    </row>
    <row r="191" spans="1:11" ht="15.75" customHeight="1" x14ac:dyDescent="0.15">
      <c r="B191" s="82"/>
      <c r="C191" s="82"/>
      <c r="D191" s="82"/>
      <c r="E191" s="82"/>
      <c r="F191" s="82"/>
      <c r="G191" s="82"/>
      <c r="H191" s="82"/>
      <c r="I191" s="82"/>
      <c r="J191" s="82"/>
      <c r="K191" s="82"/>
    </row>
    <row r="192" spans="1:11" ht="15.75" customHeight="1" x14ac:dyDescent="0.15">
      <c r="A192" s="81" t="s">
        <v>590</v>
      </c>
      <c r="B192" s="82"/>
      <c r="C192" s="82"/>
      <c r="D192" s="82"/>
      <c r="E192" s="82"/>
      <c r="F192" s="82"/>
      <c r="G192" s="82"/>
      <c r="H192" s="82"/>
      <c r="I192" s="82"/>
      <c r="J192" s="82"/>
      <c r="K192" s="82"/>
    </row>
    <row r="193" spans="1:11" ht="15.75" customHeight="1" x14ac:dyDescent="0.15">
      <c r="A193" s="65" t="s">
        <v>591</v>
      </c>
      <c r="B193" s="82">
        <f t="shared" ref="B193:K193" si="96">B6/B47</f>
        <v>-0.50862058169750479</v>
      </c>
      <c r="C193" s="82">
        <f t="shared" si="96"/>
        <v>-8.502893553509272E-2</v>
      </c>
      <c r="D193" s="82">
        <f t="shared" si="96"/>
        <v>0.15460637435829092</v>
      </c>
      <c r="E193" s="82">
        <f t="shared" si="96"/>
        <v>-9.0855489124424108E-2</v>
      </c>
      <c r="F193" s="82">
        <f t="shared" si="96"/>
        <v>-0.13136701275981558</v>
      </c>
      <c r="G193" s="82">
        <f t="shared" si="96"/>
        <v>1.0089182106096304E-3</v>
      </c>
      <c r="H193" s="82">
        <f t="shared" si="96"/>
        <v>1.5783771276843304E-2</v>
      </c>
      <c r="I193" s="82">
        <f t="shared" si="96"/>
        <v>0.14055195246561109</v>
      </c>
      <c r="J193" s="82">
        <f t="shared" si="96"/>
        <v>0.17788811879662569</v>
      </c>
      <c r="K193" s="82" t="e">
        <f t="shared" si="96"/>
        <v>#DIV/0!</v>
      </c>
    </row>
    <row r="194" spans="1:11" ht="15.75" customHeight="1" x14ac:dyDescent="0.15">
      <c r="A194" s="65" t="s">
        <v>592</v>
      </c>
      <c r="B194" s="82">
        <f t="shared" ref="B194:K194" si="97">B49/B6</f>
        <v>3.351455910278625</v>
      </c>
      <c r="C194" s="82">
        <f t="shared" si="97"/>
        <v>0.48484903253904077</v>
      </c>
      <c r="D194" s="82">
        <f t="shared" si="97"/>
        <v>-0.25348583867563956</v>
      </c>
      <c r="E194" s="82">
        <f t="shared" si="97"/>
        <v>0</v>
      </c>
      <c r="F194" s="82">
        <f t="shared" si="97"/>
        <v>-3.1038606531510071</v>
      </c>
      <c r="G194" s="82">
        <f t="shared" si="97"/>
        <v>9.1690380079373401</v>
      </c>
      <c r="H194" s="82">
        <f t="shared" si="97"/>
        <v>4.7397404227723898</v>
      </c>
      <c r="I194" s="82">
        <f t="shared" si="97"/>
        <v>0.61268060525077161</v>
      </c>
      <c r="J194" s="82">
        <f t="shared" si="97"/>
        <v>0.40253695680454649</v>
      </c>
      <c r="K194" s="82">
        <f t="shared" si="97"/>
        <v>-4.44550803703103</v>
      </c>
    </row>
    <row r="195" spans="1:11" ht="15.75" customHeight="1" x14ac:dyDescent="0.15">
      <c r="A195" s="65" t="s">
        <v>593</v>
      </c>
      <c r="B195" s="82">
        <f t="shared" ref="B195:K195" si="98">B193*(1-B194)</f>
        <v>1.19599887292195</v>
      </c>
      <c r="C195" s="82">
        <f t="shared" si="98"/>
        <v>-4.380273840307855E-2</v>
      </c>
      <c r="D195" s="82">
        <f t="shared" si="98"/>
        <v>0.19379690082710219</v>
      </c>
      <c r="E195" s="82">
        <f t="shared" si="98"/>
        <v>-9.0855489124424108E-2</v>
      </c>
      <c r="F195" s="82">
        <f t="shared" si="98"/>
        <v>-0.53911191478699338</v>
      </c>
      <c r="G195" s="82">
        <f t="shared" si="98"/>
        <v>-8.2418912093702012E-3</v>
      </c>
      <c r="H195" s="82">
        <f t="shared" si="98"/>
        <v>-5.9027207467804682E-2</v>
      </c>
      <c r="I195" s="82">
        <f t="shared" si="98"/>
        <v>5.4438497159802805E-2</v>
      </c>
      <c r="J195" s="82">
        <f t="shared" si="98"/>
        <v>0.10628157680454635</v>
      </c>
      <c r="K195" s="82" t="e">
        <f t="shared" si="98"/>
        <v>#DIV/0!</v>
      </c>
    </row>
    <row r="196" spans="1:11" ht="15.75" customHeight="1" x14ac:dyDescent="0.15">
      <c r="A196" s="65" t="s">
        <v>594</v>
      </c>
      <c r="B196" s="82">
        <f t="shared" ref="B196:K196" si="99">B50/B6</f>
        <v>-1.347959632767753</v>
      </c>
      <c r="C196" s="82">
        <f t="shared" si="99"/>
        <v>1.0727517109438189</v>
      </c>
      <c r="D196" s="82">
        <f t="shared" si="99"/>
        <v>35.02921965060505</v>
      </c>
      <c r="E196" s="82">
        <f t="shared" si="99"/>
        <v>0.19373684984931555</v>
      </c>
      <c r="F196" s="82">
        <f t="shared" si="99"/>
        <v>1.3904584762407708</v>
      </c>
      <c r="G196" s="82">
        <f t="shared" si="99"/>
        <v>-15.802118505175114</v>
      </c>
      <c r="H196" s="82">
        <f t="shared" si="99"/>
        <v>13.577379306982737</v>
      </c>
      <c r="I196" s="82">
        <f t="shared" si="99"/>
        <v>0.14160784437622451</v>
      </c>
      <c r="J196" s="82">
        <f t="shared" si="99"/>
        <v>0.15533776597253185</v>
      </c>
      <c r="K196" s="82">
        <f t="shared" si="99"/>
        <v>-0.30241163664650544</v>
      </c>
    </row>
    <row r="197" spans="1:11" s="74" customFormat="1" ht="15.75" customHeight="1" x14ac:dyDescent="0.15">
      <c r="A197" s="74" t="s">
        <v>595</v>
      </c>
      <c r="B197" s="78">
        <f t="shared" ref="B197:K197" si="100">B193*(1-B194+B196)</f>
        <v>1.8815988854450392</v>
      </c>
      <c r="C197" s="78">
        <f t="shared" si="100"/>
        <v>-0.13501767447808097</v>
      </c>
      <c r="D197" s="78">
        <f t="shared" si="100"/>
        <v>5.6095375476073466</v>
      </c>
      <c r="E197" s="78">
        <f t="shared" si="100"/>
        <v>-0.10845754537890878</v>
      </c>
      <c r="F197" s="78">
        <f t="shared" si="100"/>
        <v>-0.72177229117730857</v>
      </c>
      <c r="G197" s="78">
        <f t="shared" si="100"/>
        <v>-2.4184936335452805E-2</v>
      </c>
      <c r="H197" s="78">
        <f t="shared" si="100"/>
        <v>0.15527504205255607</v>
      </c>
      <c r="I197" s="78">
        <f t="shared" si="100"/>
        <v>7.4341756171327572E-2</v>
      </c>
      <c r="J197" s="78">
        <f t="shared" si="100"/>
        <v>0.13391431977147053</v>
      </c>
      <c r="K197" s="78" t="e">
        <f t="shared" si="100"/>
        <v>#DIV/0!</v>
      </c>
    </row>
    <row r="198" spans="1:11" ht="15.75" customHeight="1" x14ac:dyDescent="0.15">
      <c r="A198" s="65" t="s">
        <v>596</v>
      </c>
      <c r="B198" s="82">
        <f t="shared" ref="B198:K198" si="101">B173</f>
        <v>1.8815988854450394</v>
      </c>
      <c r="C198" s="82">
        <f t="shared" si="101"/>
        <v>-0.15513307101151111</v>
      </c>
      <c r="D198" s="82">
        <f t="shared" si="101"/>
        <v>5.5850454629266864</v>
      </c>
      <c r="E198" s="82">
        <f t="shared" si="101"/>
        <v>-7.9744338029802533E-2</v>
      </c>
      <c r="F198" s="82">
        <f t="shared" si="101"/>
        <v>-0.70428393032766001</v>
      </c>
      <c r="G198" s="82">
        <f t="shared" si="101"/>
        <v>-2.4184936335452593E-2</v>
      </c>
      <c r="H198" s="82">
        <f t="shared" si="101"/>
        <v>0.15527504205255599</v>
      </c>
      <c r="I198" s="82">
        <f t="shared" si="101"/>
        <v>7.4341756171327766E-2</v>
      </c>
      <c r="J198" s="82">
        <f t="shared" si="101"/>
        <v>0.13391431977147014</v>
      </c>
      <c r="K198" s="82" t="e">
        <f t="shared" si="101"/>
        <v>#DIV/0!</v>
      </c>
    </row>
    <row r="199" spans="1:11" ht="15.75" customHeight="1" x14ac:dyDescent="0.15">
      <c r="A199" s="65" t="s">
        <v>589</v>
      </c>
      <c r="B199" s="82">
        <f t="shared" ref="B199:K199" si="102">B197-B198</f>
        <v>0</v>
      </c>
      <c r="C199" s="82">
        <f t="shared" si="102"/>
        <v>2.0115396533430141E-2</v>
      </c>
      <c r="D199" s="82">
        <f t="shared" si="102"/>
        <v>2.449208468066022E-2</v>
      </c>
      <c r="E199" s="82">
        <f t="shared" si="102"/>
        <v>-2.8713207349106248E-2</v>
      </c>
      <c r="F199" s="82">
        <f t="shared" si="102"/>
        <v>-1.7488360849648554E-2</v>
      </c>
      <c r="G199" s="82">
        <f t="shared" si="102"/>
        <v>-2.1163626406917047E-16</v>
      </c>
      <c r="H199" s="82">
        <f t="shared" si="102"/>
        <v>0</v>
      </c>
      <c r="I199" s="82">
        <f t="shared" si="102"/>
        <v>-1.9428902930940239E-16</v>
      </c>
      <c r="J199" s="82">
        <f t="shared" si="102"/>
        <v>3.8857805861880479E-16</v>
      </c>
      <c r="K199" s="82" t="e">
        <f t="shared" si="102"/>
        <v>#DIV/0!</v>
      </c>
    </row>
    <row r="200" spans="1:11" ht="15.75" customHeight="1" x14ac:dyDescent="0.15">
      <c r="B200" s="82"/>
      <c r="C200" s="82"/>
      <c r="D200" s="82"/>
      <c r="E200" s="82"/>
      <c r="F200" s="82"/>
      <c r="G200" s="82"/>
      <c r="H200" s="82"/>
      <c r="I200" s="82"/>
      <c r="J200" s="82"/>
      <c r="K200" s="82"/>
    </row>
    <row r="201" spans="1:11" ht="15.75" customHeight="1" x14ac:dyDescent="0.15">
      <c r="A201" s="65" t="s">
        <v>597</v>
      </c>
      <c r="B201" s="82"/>
      <c r="C201" s="82"/>
      <c r="D201" s="82"/>
      <c r="E201" s="82"/>
      <c r="F201" s="82"/>
      <c r="G201" s="82"/>
      <c r="H201" s="82"/>
      <c r="I201" s="82"/>
      <c r="J201" s="82"/>
      <c r="K201" s="82"/>
    </row>
    <row r="202" spans="1:11" ht="15.75" customHeight="1" x14ac:dyDescent="0.15">
      <c r="A202" s="65" t="s">
        <v>598</v>
      </c>
      <c r="B202" s="82">
        <f t="shared" ref="B202:K202" si="103">B24</f>
        <v>840524.5</v>
      </c>
      <c r="C202" s="82">
        <f t="shared" si="103"/>
        <v>207845.20899999997</v>
      </c>
      <c r="D202" s="82">
        <f t="shared" si="103"/>
        <v>280960.69799999997</v>
      </c>
      <c r="E202" s="82">
        <f t="shared" si="103"/>
        <v>647119.22950000002</v>
      </c>
      <c r="F202" s="82">
        <f t="shared" si="103"/>
        <v>277420.77399999998</v>
      </c>
      <c r="G202" s="82">
        <f t="shared" si="103"/>
        <v>-53843.292499999996</v>
      </c>
      <c r="H202" s="82">
        <f t="shared" si="103"/>
        <v>53384.411</v>
      </c>
      <c r="I202" s="82">
        <f t="shared" si="103"/>
        <v>118192.26750000002</v>
      </c>
      <c r="J202" s="82">
        <f t="shared" si="103"/>
        <v>162539.55149999997</v>
      </c>
      <c r="K202" s="82">
        <f t="shared" si="103"/>
        <v>195238.04199999999</v>
      </c>
    </row>
    <row r="203" spans="1:11" ht="15.75" customHeight="1" x14ac:dyDescent="0.15">
      <c r="A203" s="65" t="s">
        <v>599</v>
      </c>
      <c r="B203" s="82">
        <f t="shared" ref="B203:K203" si="104">B48</f>
        <v>1840823</v>
      </c>
      <c r="C203" s="82">
        <f t="shared" si="104"/>
        <v>638820</v>
      </c>
      <c r="D203" s="82">
        <f t="shared" si="104"/>
        <v>756119.07400000002</v>
      </c>
      <c r="E203" s="82">
        <f t="shared" si="104"/>
        <v>114823.66799999999</v>
      </c>
      <c r="F203" s="82">
        <f t="shared" si="104"/>
        <v>124773.66099999998</v>
      </c>
      <c r="G203" s="82">
        <f t="shared" si="104"/>
        <v>421937.37099999993</v>
      </c>
      <c r="H203" s="82">
        <f t="shared" si="104"/>
        <v>432394.81199999992</v>
      </c>
      <c r="I203" s="82">
        <f t="shared" si="104"/>
        <v>374278.67499999999</v>
      </c>
      <c r="J203" s="82">
        <f t="shared" si="104"/>
        <v>348379.52899999998</v>
      </c>
      <c r="K203" s="82">
        <f t="shared" si="104"/>
        <v>307236.20199999999</v>
      </c>
    </row>
    <row r="204" spans="1:11" s="74" customFormat="1" ht="15.75" customHeight="1" x14ac:dyDescent="0.15">
      <c r="A204" s="74" t="s">
        <v>600</v>
      </c>
      <c r="B204" s="78">
        <f t="shared" ref="B204:K204" si="105">B202/B203</f>
        <v>0.45660256309270364</v>
      </c>
      <c r="C204" s="78">
        <f t="shared" si="105"/>
        <v>0.32535801790801788</v>
      </c>
      <c r="D204" s="78">
        <f t="shared" si="105"/>
        <v>0.37158260869372006</v>
      </c>
      <c r="E204" s="78">
        <f t="shared" si="105"/>
        <v>5.6357651760436713</v>
      </c>
      <c r="F204" s="78">
        <f t="shared" si="105"/>
        <v>2.2233921147829432</v>
      </c>
      <c r="G204" s="78">
        <f t="shared" si="105"/>
        <v>-0.12760967906774962</v>
      </c>
      <c r="H204" s="78">
        <f t="shared" si="105"/>
        <v>0.12346219130862285</v>
      </c>
      <c r="I204" s="78">
        <f t="shared" si="105"/>
        <v>0.31578680644843049</v>
      </c>
      <c r="J204" s="78">
        <f t="shared" si="105"/>
        <v>0.46655884737705122</v>
      </c>
      <c r="K204" s="78">
        <f t="shared" si="105"/>
        <v>0.63546561482360731</v>
      </c>
    </row>
    <row r="205" spans="1:11" ht="15.75" customHeight="1" x14ac:dyDescent="0.15">
      <c r="B205" s="82"/>
      <c r="C205" s="82"/>
      <c r="D205" s="82"/>
      <c r="E205" s="82"/>
      <c r="F205" s="82"/>
      <c r="G205" s="82"/>
      <c r="H205" s="82"/>
      <c r="I205" s="82"/>
      <c r="J205" s="82"/>
      <c r="K205" s="82"/>
    </row>
    <row r="206" spans="1:11" ht="15.75" customHeight="1" x14ac:dyDescent="0.15">
      <c r="A206" s="65" t="s">
        <v>601</v>
      </c>
      <c r="B206" s="82">
        <f t="shared" ref="B206:K206" si="106">B175/B48</f>
        <v>0.13828923258781534</v>
      </c>
      <c r="C206" s="82">
        <f t="shared" si="106"/>
        <v>0.68935991515606898</v>
      </c>
      <c r="D206" s="82">
        <f t="shared" si="106"/>
        <v>-0.86242619637975182</v>
      </c>
      <c r="E206" s="82">
        <f t="shared" si="106"/>
        <v>-0.2278703550909037</v>
      </c>
      <c r="F206" s="82">
        <f t="shared" si="106"/>
        <v>3.3744076163638423</v>
      </c>
      <c r="G206" s="82">
        <f t="shared" si="106"/>
        <v>-0.10329004965052059</v>
      </c>
      <c r="H206" s="82">
        <f t="shared" si="106"/>
        <v>-0.16626641672102166</v>
      </c>
      <c r="I206" s="82">
        <f t="shared" si="106"/>
        <v>-6.330261802919987E-2</v>
      </c>
      <c r="J206" s="82">
        <f t="shared" si="106"/>
        <v>-0.17481549267494426</v>
      </c>
      <c r="K206" s="82">
        <f t="shared" si="106"/>
        <v>-0.18774369239208336</v>
      </c>
    </row>
    <row r="207" spans="1:11" ht="15.75" customHeight="1" x14ac:dyDescent="0.15">
      <c r="A207" s="65" t="s">
        <v>602</v>
      </c>
      <c r="B207" s="82">
        <f t="shared" ref="B207:K207" si="107">B169-B173</f>
        <v>0.69995869571553415</v>
      </c>
      <c r="C207" s="82">
        <f t="shared" si="107"/>
        <v>1.4949090347291316</v>
      </c>
      <c r="D207" s="82">
        <f t="shared" si="107"/>
        <v>-5.6279179367013246</v>
      </c>
      <c r="E207" s="82">
        <f t="shared" si="107"/>
        <v>-4.5628699832189437E-2</v>
      </c>
      <c r="F207" s="82">
        <f t="shared" si="107"/>
        <v>1.4587539696126586</v>
      </c>
      <c r="G207" s="82">
        <f t="shared" si="107"/>
        <v>-0.22344599314116279</v>
      </c>
      <c r="H207" s="82">
        <f t="shared" si="107"/>
        <v>-0.21465640779622211</v>
      </c>
      <c r="I207" s="82">
        <f t="shared" si="107"/>
        <v>-6.474050731261867E-2</v>
      </c>
      <c r="J207" s="82">
        <f t="shared" si="107"/>
        <v>-0.21309064636713559</v>
      </c>
      <c r="K207" s="82" t="e">
        <f t="shared" si="107"/>
        <v>#DIV/0!</v>
      </c>
    </row>
    <row r="208" spans="1:11" ht="15.75" customHeight="1" x14ac:dyDescent="0.15">
      <c r="B208" s="82"/>
      <c r="C208" s="82"/>
      <c r="D208" s="82"/>
      <c r="E208" s="82"/>
      <c r="F208" s="82"/>
      <c r="G208" s="82"/>
      <c r="H208" s="82"/>
      <c r="I208" s="82"/>
      <c r="J208" s="82"/>
      <c r="K208" s="82"/>
    </row>
    <row r="209" spans="1:11" ht="15.75" customHeight="1" x14ac:dyDescent="0.15">
      <c r="A209" s="65" t="s">
        <v>603</v>
      </c>
      <c r="B209" s="82"/>
      <c r="C209" s="82"/>
      <c r="D209" s="82"/>
      <c r="E209" s="82"/>
      <c r="F209" s="82"/>
      <c r="G209" s="82"/>
      <c r="H209" s="82"/>
      <c r="I209" s="82"/>
      <c r="J209" s="82"/>
      <c r="K209" s="82"/>
    </row>
    <row r="210" spans="1:11" ht="15.75" customHeight="1" x14ac:dyDescent="0.15">
      <c r="A210" s="74" t="s">
        <v>604</v>
      </c>
      <c r="B210" s="82">
        <f>'RC'!B94-'RC'!C94</f>
        <v>455975</v>
      </c>
      <c r="C210" s="82">
        <f>'RC'!C94-'RC'!D94</f>
        <v>114440.6810000001</v>
      </c>
      <c r="D210" s="82">
        <f>'RC'!D94-'RC'!E94</f>
        <v>-48951.663000000175</v>
      </c>
      <c r="E210" s="82">
        <f>'RC'!E94-'RC'!F94</f>
        <v>-5103.5929999999353</v>
      </c>
      <c r="F210" s="82">
        <f>'RC'!F94-'RC'!G94</f>
        <v>349628.22200000001</v>
      </c>
      <c r="G210" s="82">
        <f>'RC'!G94-'RC'!H94</f>
        <v>-64555.348999999987</v>
      </c>
      <c r="H210" s="82">
        <f>'RC'!H94-'RC'!I94</f>
        <v>-34425.389999999985</v>
      </c>
      <c r="I210" s="82">
        <f>'RC'!I94-'RC'!J94</f>
        <v>395.23300000000745</v>
      </c>
      <c r="J210" s="82">
        <f>'RC'!J94-'RC'!K94</f>
        <v>-4494.8420000000333</v>
      </c>
      <c r="K210" s="82">
        <f>'RC'!K94-'RC'!L94</f>
        <v>252919.701</v>
      </c>
    </row>
    <row r="211" spans="1:11" ht="15.75" customHeight="1" x14ac:dyDescent="0.15">
      <c r="A211" s="74" t="s">
        <v>605</v>
      </c>
      <c r="B211" s="82">
        <f>'RC'!C94</f>
        <v>559853</v>
      </c>
      <c r="C211" s="82">
        <f>'RC'!D94</f>
        <v>445412.3189999999</v>
      </c>
      <c r="D211" s="82">
        <f>'RC'!E94</f>
        <v>494363.98200000008</v>
      </c>
      <c r="E211" s="82">
        <f>'RC'!F94</f>
        <v>499467.57500000001</v>
      </c>
      <c r="F211" s="82">
        <f>'RC'!G94</f>
        <v>149839.353</v>
      </c>
      <c r="G211" s="82">
        <f>'RC'!H94</f>
        <v>214394.70199999999</v>
      </c>
      <c r="H211" s="82">
        <f>'RC'!I94</f>
        <v>248820.09199999998</v>
      </c>
      <c r="I211" s="82">
        <f>'RC'!J94</f>
        <v>248424.85899999997</v>
      </c>
      <c r="J211" s="82">
        <f>'RC'!K94</f>
        <v>252919.701</v>
      </c>
      <c r="K211" s="82">
        <f>'RC'!L94</f>
        <v>0</v>
      </c>
    </row>
    <row r="212" spans="1:11" s="74" customFormat="1" ht="15.75" customHeight="1" x14ac:dyDescent="0.15">
      <c r="A212" s="74" t="s">
        <v>603</v>
      </c>
      <c r="B212" s="78">
        <f>('RC'!B94-'RC'!C94)/'RC'!C94</f>
        <v>0.81445486583085203</v>
      </c>
      <c r="C212" s="78">
        <f>('RC'!C94-'RC'!D94)/'RC'!D94</f>
        <v>0.25693200685812223</v>
      </c>
      <c r="D212" s="78">
        <f>('RC'!D94-'RC'!E94)/'RC'!E94</f>
        <v>-9.9019477110693241E-2</v>
      </c>
      <c r="E212" s="78">
        <f>('RC'!E94-'RC'!F94)/'RC'!F94</f>
        <v>-1.021806670833424E-2</v>
      </c>
      <c r="F212" s="78">
        <f>('RC'!F94-'RC'!G94)/'RC'!G94</f>
        <v>2.3333537885738203</v>
      </c>
      <c r="G212" s="78">
        <f>('RC'!G94-'RC'!H94)/'RC'!H94</f>
        <v>-0.301105150443503</v>
      </c>
      <c r="H212" s="78">
        <f>('RC'!H94-'RC'!I94)/'RC'!I94</f>
        <v>-0.13835454252625221</v>
      </c>
      <c r="I212" s="78">
        <f>('RC'!I94-'RC'!J94)/'RC'!J94</f>
        <v>1.590955919592602E-3</v>
      </c>
      <c r="J212" s="78">
        <f>('RC'!J94-'RC'!K94)/'RC'!K94</f>
        <v>-1.7771814462172061E-2</v>
      </c>
      <c r="K212" s="78" t="e">
        <f>('RC'!K94-'RC'!L94)/'RC'!L94</f>
        <v>#DIV/0!</v>
      </c>
    </row>
    <row r="215" spans="1:11" ht="15.75" customHeight="1" x14ac:dyDescent="0.15">
      <c r="A215" s="80" t="s">
        <v>456</v>
      </c>
    </row>
    <row r="216" spans="1:11" ht="15.75" customHeight="1" x14ac:dyDescent="0.15">
      <c r="A216" s="80" t="s">
        <v>606</v>
      </c>
    </row>
    <row r="217" spans="1:11" ht="15.75" customHeight="1" x14ac:dyDescent="0.15">
      <c r="A217" s="65" t="s">
        <v>459</v>
      </c>
      <c r="B217" s="82">
        <f t="shared" ref="B217:K217" si="108">B4</f>
        <v>60536</v>
      </c>
      <c r="C217" s="82">
        <f t="shared" si="108"/>
        <v>57190</v>
      </c>
      <c r="D217" s="82">
        <f t="shared" si="108"/>
        <v>11294.284000000102</v>
      </c>
      <c r="E217" s="82">
        <f t="shared" si="108"/>
        <v>9288.811999999929</v>
      </c>
      <c r="F217" s="82">
        <f t="shared" si="108"/>
        <v>3264.1819999999625</v>
      </c>
      <c r="G217" s="82">
        <f t="shared" si="108"/>
        <v>30663.779999999933</v>
      </c>
      <c r="H217" s="82">
        <f t="shared" si="108"/>
        <v>33717.56599999997</v>
      </c>
      <c r="I217" s="82">
        <f t="shared" si="108"/>
        <v>77298.708999999973</v>
      </c>
      <c r="J217" s="82">
        <f t="shared" si="108"/>
        <v>70853.290000000081</v>
      </c>
      <c r="K217" s="82">
        <f t="shared" si="108"/>
        <v>51933.839999999953</v>
      </c>
    </row>
    <row r="218" spans="1:11" ht="15.75" customHeight="1" x14ac:dyDescent="0.15">
      <c r="A218" s="65" t="s">
        <v>607</v>
      </c>
      <c r="B218" s="82">
        <f t="shared" ref="B218:K218" si="109">-B27</f>
        <v>355850</v>
      </c>
      <c r="C218" s="82">
        <f t="shared" si="109"/>
        <v>135795</v>
      </c>
      <c r="D218" s="82">
        <f t="shared" si="109"/>
        <v>57535.862000000001</v>
      </c>
      <c r="E218" s="82">
        <f t="shared" si="109"/>
        <v>41740</v>
      </c>
      <c r="F218" s="82">
        <f t="shared" si="109"/>
        <v>69507.698999999993</v>
      </c>
      <c r="G218" s="82">
        <f t="shared" si="109"/>
        <v>5823.7510000000002</v>
      </c>
      <c r="H218" s="82">
        <f t="shared" si="109"/>
        <v>4557.97</v>
      </c>
      <c r="I218" s="82">
        <f t="shared" si="109"/>
        <v>2723.6190000000001</v>
      </c>
      <c r="J218" s="82">
        <f t="shared" si="109"/>
        <v>3414.9189999999999</v>
      </c>
      <c r="K218" s="82">
        <f t="shared" si="109"/>
        <v>4104.1790000000001</v>
      </c>
    </row>
    <row r="219" spans="1:11" s="74" customFormat="1" ht="15.75" customHeight="1" x14ac:dyDescent="0.15">
      <c r="A219" s="74" t="s">
        <v>608</v>
      </c>
      <c r="B219" s="78">
        <f t="shared" ref="B219:K219" si="110">B217/B218</f>
        <v>0.17011662217226359</v>
      </c>
      <c r="C219" s="78">
        <f t="shared" si="110"/>
        <v>0.42114952686034096</v>
      </c>
      <c r="D219" s="78">
        <f t="shared" si="110"/>
        <v>0.19629990074712189</v>
      </c>
      <c r="E219" s="78">
        <f t="shared" si="110"/>
        <v>0.22253981792045829</v>
      </c>
      <c r="F219" s="78">
        <f t="shared" si="110"/>
        <v>4.6961445235008614E-2</v>
      </c>
      <c r="G219" s="78">
        <f t="shared" si="110"/>
        <v>5.2652972285387776</v>
      </c>
      <c r="H219" s="78">
        <f t="shared" si="110"/>
        <v>7.3974962538147393</v>
      </c>
      <c r="I219" s="78">
        <f t="shared" si="110"/>
        <v>28.380881834059746</v>
      </c>
      <c r="J219" s="78">
        <f t="shared" si="110"/>
        <v>20.748161230178543</v>
      </c>
      <c r="K219" s="78">
        <f t="shared" si="110"/>
        <v>12.653892532465068</v>
      </c>
    </row>
    <row r="220" spans="1:11" ht="15.75" customHeight="1" x14ac:dyDescent="0.15">
      <c r="B220" s="82"/>
      <c r="C220" s="82"/>
      <c r="D220" s="82"/>
      <c r="E220" s="82"/>
      <c r="F220" s="82"/>
      <c r="G220" s="82"/>
      <c r="H220" s="82"/>
      <c r="I220" s="82"/>
      <c r="J220" s="82"/>
      <c r="K220" s="82"/>
    </row>
    <row r="221" spans="1:11" ht="15.75" customHeight="1" x14ac:dyDescent="0.15">
      <c r="A221" s="65" t="s">
        <v>609</v>
      </c>
      <c r="B221" s="82">
        <f t="shared" ref="B221:K221" si="111">B25</f>
        <v>840524.5</v>
      </c>
      <c r="C221" s="82">
        <f t="shared" si="111"/>
        <v>207845.20899999997</v>
      </c>
      <c r="D221" s="82">
        <f t="shared" si="111"/>
        <v>280960.69799999997</v>
      </c>
      <c r="E221" s="82">
        <f t="shared" si="111"/>
        <v>647119.22950000002</v>
      </c>
      <c r="F221" s="82">
        <f t="shared" si="111"/>
        <v>277420.77399999998</v>
      </c>
      <c r="G221" s="82">
        <f t="shared" si="111"/>
        <v>0</v>
      </c>
      <c r="H221" s="82">
        <f t="shared" si="111"/>
        <v>53384.411</v>
      </c>
      <c r="I221" s="82">
        <f t="shared" si="111"/>
        <v>118192.26750000002</v>
      </c>
      <c r="J221" s="82">
        <f t="shared" si="111"/>
        <v>162539.55149999997</v>
      </c>
      <c r="K221" s="82">
        <f t="shared" si="111"/>
        <v>195238.04199999999</v>
      </c>
    </row>
    <row r="222" spans="1:11" ht="15.75" customHeight="1" x14ac:dyDescent="0.15">
      <c r="A222" s="65" t="s">
        <v>610</v>
      </c>
      <c r="B222" s="82">
        <f>B5</f>
        <v>119175</v>
      </c>
      <c r="C222" s="82">
        <f t="shared" ref="C222:K222" si="112">C5</f>
        <v>82113</v>
      </c>
      <c r="D222" s="82">
        <f t="shared" si="112"/>
        <v>37444.691000000108</v>
      </c>
      <c r="E222" s="82">
        <f t="shared" si="112"/>
        <v>45295.226999999926</v>
      </c>
      <c r="F222" s="82">
        <f t="shared" si="112"/>
        <v>30724.467999999964</v>
      </c>
      <c r="G222" s="82">
        <f t="shared" si="112"/>
        <v>59292.526999999944</v>
      </c>
      <c r="H222" s="82">
        <f t="shared" si="112"/>
        <v>62458.987999999983</v>
      </c>
      <c r="I222" s="82">
        <f t="shared" si="112"/>
        <v>111262.02999999998</v>
      </c>
      <c r="J222" s="82">
        <f t="shared" si="112"/>
        <v>106219.37300000008</v>
      </c>
      <c r="K222" s="82">
        <f t="shared" si="112"/>
        <v>78727.515999999945</v>
      </c>
    </row>
    <row r="223" spans="1:11" s="74" customFormat="1" ht="15.75" customHeight="1" x14ac:dyDescent="0.15">
      <c r="A223" s="74" t="s">
        <v>611</v>
      </c>
      <c r="B223" s="78">
        <f t="shared" ref="B223:K223" si="113">B221/B222</f>
        <v>7.0528592406125448</v>
      </c>
      <c r="C223" s="78">
        <f t="shared" si="113"/>
        <v>2.5312095405112465</v>
      </c>
      <c r="D223" s="78">
        <f t="shared" si="113"/>
        <v>7.5033520239224076</v>
      </c>
      <c r="E223" s="78">
        <f t="shared" si="113"/>
        <v>14.286698011249642</v>
      </c>
      <c r="F223" s="78">
        <f t="shared" si="113"/>
        <v>9.0293109062132597</v>
      </c>
      <c r="G223" s="78">
        <f t="shared" si="113"/>
        <v>0</v>
      </c>
      <c r="H223" s="78">
        <f t="shared" si="113"/>
        <v>0.85471143080320189</v>
      </c>
      <c r="I223" s="78">
        <f t="shared" si="113"/>
        <v>1.0622875342109077</v>
      </c>
      <c r="J223" s="78">
        <f t="shared" si="113"/>
        <v>1.5302251078058977</v>
      </c>
      <c r="K223" s="78">
        <f t="shared" si="113"/>
        <v>2.4799212768252477</v>
      </c>
    </row>
  </sheetData>
  <conditionalFormatting sqref="B58:K22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5E7B-8B24-C54B-8859-848E12C8B8AC}">
  <dimension ref="B3:B218"/>
  <sheetViews>
    <sheetView topLeftCell="A224" workbookViewId="0">
      <selection activeCell="P39" sqref="P39"/>
    </sheetView>
  </sheetViews>
  <sheetFormatPr baseColWidth="10" defaultRowHeight="13" x14ac:dyDescent="0.15"/>
  <sheetData>
    <row r="3" spans="2:2" ht="25" x14ac:dyDescent="0.25">
      <c r="B3" s="84" t="s">
        <v>509</v>
      </c>
    </row>
    <row r="80" spans="2:2" ht="25" x14ac:dyDescent="0.25">
      <c r="B80" s="84" t="s">
        <v>542</v>
      </c>
    </row>
    <row r="135" spans="2:2" ht="25" x14ac:dyDescent="0.25">
      <c r="B135" s="84" t="s">
        <v>559</v>
      </c>
    </row>
    <row r="218" spans="2:2" ht="25" x14ac:dyDescent="0.25">
      <c r="B218" s="84" t="s">
        <v>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input</vt:lpstr>
      <vt:lpstr>case</vt:lpstr>
      <vt:lpstr>RC</vt:lpstr>
      <vt:lpstr>RF</vt:lpstr>
      <vt:lpstr>ind</vt:lpstr>
      <vt:lpstr>grph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Box, Alif Mahajan Fuhad</cp:lastModifiedBy>
  <dcterms:modified xsi:type="dcterms:W3CDTF">2026-01-23T11:56:56Z</dcterms:modified>
</cp:coreProperties>
</file>