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<sst xmlns="http://schemas.openxmlformats.org/spreadsheetml/2006/main" count="837" uniqueCount="611">
  <si>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</si>
  <si>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</si>
  <si>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</si>
  <si>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</si>
  <si>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</si>
  <si>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</si>
  <si>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</si>
  <si>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</si>
  <si>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</si>
  <si>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</si>
  <si>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</si>
  <si>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</si>
  <si>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</si>
  <si>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</si>
  <si>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</si>
  <si>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</si>
  <si>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</si>
  <si>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</si>
  <si>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</si>
  <si>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</si>
  <si>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</si>
  <si>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</si>
  <si>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</si>
  <si>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</si>
  <si>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</si>
  <si>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</si>
  <si>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</si>
  <si>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</si>
  <si>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</si>
  <si>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</si>
  <si>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</si>
  <si>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</si>
  <si>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</si>
  <si>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</si>
  <si>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</si>
  <si>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</si>
  <si>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</si>
  <si>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</si>
  <si>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</si>
  <si>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</si>
  <si>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</si>
  <si>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</si>
  <si>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</si>
  <si>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</si>
  <si>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</si>
  <si>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</si>
  <si>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</si>
  <si>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</si>
  <si>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</si>
  <si>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</si>
  <si>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</si>
  <si>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</si>
  <si>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</si>
  <si>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</si>
  <si>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</si>
  <si>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</si>
  <si>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</si>
  <si>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</si>
  <si>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</si>
  <si>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</si>
  <si>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</si>
  <si>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</si>
  <si>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</si>
  <si>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</si>
  <si>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</si>
  <si>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</si>
  <si>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</si>
  <si>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</si>
  <si>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</si>
  <si>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</si>
  <si>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</si>
  <si>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</si>
  <si>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</si>
  <si>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</si>
  <si>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</si>
  <si>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</si>
  <si>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</si>
  <si>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</si>
  <si>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</si>
  <si>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</si>
  <si>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</si>
  <si>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</si>
  <si>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</si>
  <si>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</si>
  <si>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</si>
  <si>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</si>
  <si>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</si>
  <si>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</si>
  <si>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</si>
  <si>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</si>
  <si>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</si>
  <si>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</si>
  <si>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</si>
  <si>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</si>
  <si>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</si>
  <si>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</si>
  <si>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</si>
  <si>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</si>
  <si>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</si>
  <si>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</si>
  <si>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</si>
  <si>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</si>
  <si>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</si>
  <si>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</si>
  <si>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</si>
  <si>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</si>
  <si>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</si>
  <si>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</si>
  <si>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</si>
  <si>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</si>
  <si>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</si>
  <si>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</si>
  <si>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</si>
  <si>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</si>
  <si>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</si>
  <si>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</si>
  <si>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</si>
  <si>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</si>
  <si>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</si>
  <si>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</si>
  <si>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</si>
  <si>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</si>
  <si>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</si>
  <si>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</si>
  <si>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</si>
  <si>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</si>
  <si>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</si>
  <si>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</si>
  <si>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</si>
  <si>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</si>
  <si>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</si>
  <si>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</si>
  <si>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</si>
  <si>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</si>
  <si>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</si>
  <si>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</si>
  <si>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</si>
  <si>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</si>
  <si>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</si>
  <si>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</si>
  <si>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</si>
  <si>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</si>
  <si>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</si>
  <si>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</si>
  <si>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</si>
  <si>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</si>
  <si>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</si>
  <si>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</si>
  <si>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</si>
  <si>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</si>
  <si>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</si>
  <si>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</si>
  <si>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</si>
  <si>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</si>
  <si>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</si>
  <si>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</si>
  <si>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</si>
  <si>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</si>
  <si>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</si>
  <si>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</si>
  <si>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</si>
  <si>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</si>
  <si>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</si>
  <si>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</si>
  <si>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</si>
  <si>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</si>
  <si>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</si>
  <si>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</si>
  <si>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</si>
  <si>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</si>
  <si>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</si>
  <si>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</si>
  <si>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</si>
  <si>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</si>
  <si>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</si>
  <si>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</si>
  <si>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</si>
  <si>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</si>
  <si>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</si>
  <si>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</si>
  <si>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</si>
  <si>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</si>
  <si>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</si>
  <si>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</si>
  <si>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</si>
  <si>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</si>
  <si>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</si>
  <si>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</si>
  <si>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</si>
  <si>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</si>
  <si>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</si>
  <si>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</si>
  <si>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</si>
  <si>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</si>
  <si>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</si>
  <si>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</si>
  <si>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</si>
  <si>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</si>
  <si>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</si>
  <si>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</si>
  <si>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</si>
  <si>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</si>
  <si>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</si>
  <si>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</si>
  <si>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</si>
  <si>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</si>
  <si>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</si>
  <si>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</si>
  <si>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</si>
  <si>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</si>
  <si>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</si>
  <si>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</si>
  <si>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</si>
  <si>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</si>
  <si>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</si>
  <si>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</si>
  <si>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</si>
  <si>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</si>
  <si>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</si>
  <si>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</si>
  <si>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</si>
  <si>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</si>
  <si>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</si>
  <si>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</si>
  <si>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</si>
  <si>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</si>
  <si>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</si>
  <si>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</si>
  <si>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</si>
  <si>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</si>
  <si>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</si>
  <si>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</si>
  <si>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</si>
  <si>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</si>
  <si>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</si>
  <si>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</si>
  <si>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</si>
  <si>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</si>
  <si>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</si>
  <si>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</si>
  <si>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SALUMIFICIO VAL RENDENA S.P.A.</t>
  </si>
  <si>
    <t xml:space="preserve">00184900223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</si>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</sst>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0.018183561251322</c:v>
                </c:pt>
                <c:pt idx="1">
                  <c:v>0.0131824771556549</c:v>
                </c:pt>
                <c:pt idx="2">
                  <c:v>0.0114865087259295</c:v>
                </c:pt>
                <c:pt idx="3">
                  <c:v>-0.0175573159072154</c:v>
                </c:pt>
                <c:pt idx="4">
                  <c:v>-0.0596026355602276</c:v>
                </c:pt>
                <c:pt idx="5">
                  <c:v>0.0415890687587289</c:v>
                </c:pt>
                <c:pt idx="6">
                  <c:v>0.0674727453935262</c:v>
                </c:pt>
                <c:pt idx="7">
                  <c:v>0.0490500057666116</c:v>
                </c:pt>
                <c:pt idx="8">
                  <c:v>0.0775762710819602</c:v>
                </c:pt>
                <c:pt idx="9">
                  <c:v>0.0632006993836691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351288"/>
        <c:axId val="90200547"/>
      </c:lineChart>
      <c:catAx>
        <c:axId val="52351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0200547"/>
        <c:crosses val="autoZero"/>
        <c:auto val="1"/>
        <c:lblAlgn val="ctr"/>
        <c:lblOffset val="100"/>
        <c:noMultiLvlLbl val="0"/>
      </c:catAx>
      <c:valAx>
        <c:axId val="902005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23512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0.0332879862551044</c:v>
                </c:pt>
                <c:pt idx="1">
                  <c:v>0.0216137172343717</c:v>
                </c:pt>
                <c:pt idx="2">
                  <c:v>0.019190597695754</c:v>
                </c:pt>
                <c:pt idx="3">
                  <c:v>-0.0263018734987016</c:v>
                </c:pt>
                <c:pt idx="4">
                  <c:v>-0.0796929149068355</c:v>
                </c:pt>
                <c:pt idx="5">
                  <c:v>0.0672296063541587</c:v>
                </c:pt>
                <c:pt idx="6">
                  <c:v>0.117343718573542</c:v>
                </c:pt>
                <c:pt idx="7">
                  <c:v>0.0757287513008076</c:v>
                </c:pt>
                <c:pt idx="8">
                  <c:v>0.11054204802497</c:v>
                </c:pt>
                <c:pt idx="9">
                  <c:v>0.0827905108317237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286538"/>
        <c:axId val="17824099"/>
      </c:lineChart>
      <c:catAx>
        <c:axId val="212865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7824099"/>
        <c:crosses val="autoZero"/>
        <c:auto val="1"/>
        <c:lblAlgn val="ctr"/>
        <c:lblOffset val="100"/>
        <c:noMultiLvlLbl val="0"/>
      </c:catAx>
      <c:valAx>
        <c:axId val="178240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12865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0.0352075891081529</c:v>
                </c:pt>
                <c:pt idx="1">
                  <c:v>0.0284847766365687</c:v>
                </c:pt>
                <c:pt idx="2">
                  <c:v>0.0169557878621184</c:v>
                </c:pt>
                <c:pt idx="3">
                  <c:v>0.0123314140345085</c:v>
                </c:pt>
                <c:pt idx="4">
                  <c:v>0.0149613093303576</c:v>
                </c:pt>
                <c:pt idx="5">
                  <c:v>0.0149650639578159</c:v>
                </c:pt>
                <c:pt idx="6">
                  <c:v>0.0146047133528453</c:v>
                </c:pt>
                <c:pt idx="7">
                  <c:v>0.0235994153547849</c:v>
                </c:pt>
                <c:pt idx="8">
                  <c:v>0.0273398314019328</c:v>
                </c:pt>
                <c:pt idx="9">
                  <c:v>0.063456846681409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619080"/>
        <c:axId val="64302784"/>
      </c:lineChart>
      <c:catAx>
        <c:axId val="97619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4302784"/>
        <c:crosses val="autoZero"/>
        <c:auto val="1"/>
        <c:lblAlgn val="ctr"/>
        <c:lblOffset val="100"/>
        <c:noMultiLvlLbl val="0"/>
      </c:catAx>
      <c:valAx>
        <c:axId val="643027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76190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0.0240003704401532</c:v>
                </c:pt>
                <c:pt idx="1">
                  <c:v>0.012666497248983</c:v>
                </c:pt>
                <c:pt idx="2">
                  <c:v>0.0386446445439051</c:v>
                </c:pt>
                <c:pt idx="3">
                  <c:v>0.0379822682386339</c:v>
                </c:pt>
                <c:pt idx="4">
                  <c:v>0.099022784700063</c:v>
                </c:pt>
                <c:pt idx="5">
                  <c:v>0.0840703330767579</c:v>
                </c:pt>
                <c:pt idx="6">
                  <c:v>0.0685494835631597</c:v>
                </c:pt>
                <c:pt idx="7">
                  <c:v>0.216929837916788</c:v>
                </c:pt>
                <c:pt idx="8">
                  <c:v>0.312244284690599</c:v>
                </c:pt>
                <c:pt idx="9">
                  <c:v>0.612910258443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55405"/>
        <c:axId val="32966750"/>
      </c:lineChart>
      <c:catAx>
        <c:axId val="72554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2966750"/>
        <c:crosses val="autoZero"/>
        <c:auto val="1"/>
        <c:lblAlgn val="ctr"/>
        <c:lblOffset val="100"/>
        <c:noMultiLvlLbl val="0"/>
      </c:catAx>
      <c:valAx>
        <c:axId val="329667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2554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877306"/>
        <c:axId val="7020066"/>
      </c:lineChart>
      <c:catAx>
        <c:axId val="90877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020066"/>
        <c:crosses val="autoZero"/>
        <c:auto val="1"/>
        <c:lblAlgn val="ctr"/>
        <c:lblOffset val="100"/>
        <c:noMultiLvlLbl val="0"/>
      </c:catAx>
      <c:valAx>
        <c:axId val="70200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08773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0.0259978985181796</c:v>
                </c:pt>
                <c:pt idx="1">
                  <c:v>0.0103367185489821</c:v>
                </c:pt>
                <c:pt idx="2">
                  <c:v>0.0233079753745395</c:v>
                </c:pt>
                <c:pt idx="3">
                  <c:v>-0.0500173980378721</c:v>
                </c:pt>
                <c:pt idx="4">
                  <c:v>-0.136002654076382</c:v>
                </c:pt>
                <c:pt idx="5">
                  <c:v>0.0781464826491336</c:v>
                </c:pt>
                <c:pt idx="6">
                  <c:v>0.130417047872144</c:v>
                </c:pt>
                <c:pt idx="7">
                  <c:v>0.0810691094054475</c:v>
                </c:pt>
                <c:pt idx="8">
                  <c:v>0.137439546744192</c:v>
                </c:pt>
                <c:pt idx="9">
                  <c:v>0.0774113778907524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0.0288618741574618</c:v>
                </c:pt>
                <c:pt idx="1">
                  <c:v>0.0126067771600296</c:v>
                </c:pt>
                <c:pt idx="2">
                  <c:v>0.0262051415167089</c:v>
                </c:pt>
                <c:pt idx="3">
                  <c:v>-0.0497198844599157</c:v>
                </c:pt>
                <c:pt idx="4">
                  <c:v>-0.136002654076382</c:v>
                </c:pt>
                <c:pt idx="5">
                  <c:v>0.101882422980725</c:v>
                </c:pt>
                <c:pt idx="6">
                  <c:v>0.170737095487679</c:v>
                </c:pt>
                <c:pt idx="7">
                  <c:v>0.119932689776633</c:v>
                </c:pt>
                <c:pt idx="8">
                  <c:v>0.203772903278264</c:v>
                </c:pt>
                <c:pt idx="9">
                  <c:v>0.11956814853701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548069"/>
        <c:axId val="24991232"/>
      </c:lineChart>
      <c:catAx>
        <c:axId val="595480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4991232"/>
        <c:crosses val="autoZero"/>
        <c:auto val="1"/>
        <c:lblAlgn val="ctr"/>
        <c:lblOffset val="100"/>
        <c:noMultiLvlLbl val="0"/>
      </c:catAx>
      <c:valAx>
        <c:axId val="249912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95480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39.3417998836896</c:v>
                </c:pt>
                <c:pt idx="1">
                  <c:v>40.0071054452459</c:v>
                </c:pt>
                <c:pt idx="2">
                  <c:v>36.9496988987903</c:v>
                </c:pt>
                <c:pt idx="3">
                  <c:v>36.751035463945</c:v>
                </c:pt>
                <c:pt idx="4">
                  <c:v>40.4349361615312</c:v>
                </c:pt>
                <c:pt idx="5">
                  <c:v>45.7178339640521</c:v>
                </c:pt>
                <c:pt idx="6">
                  <c:v>48.5139031632708</c:v>
                </c:pt>
                <c:pt idx="7">
                  <c:v>52.7226344693214</c:v>
                </c:pt>
                <c:pt idx="8">
                  <c:v>49.8124126800593</c:v>
                </c:pt>
                <c:pt idx="9">
                  <c:v>47.0551549815307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174853"/>
        <c:axId val="58934660"/>
      </c:lineChart>
      <c:catAx>
        <c:axId val="861748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8934660"/>
        <c:crosses val="autoZero"/>
        <c:auto val="1"/>
        <c:lblAlgn val="ctr"/>
        <c:lblOffset val="100"/>
        <c:noMultiLvlLbl val="0"/>
      </c:catAx>
      <c:valAx>
        <c:axId val="589346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61748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66.5076357178523</c:v>
                </c:pt>
                <c:pt idx="1">
                  <c:v>63.1674329069033</c:v>
                </c:pt>
                <c:pt idx="2">
                  <c:v>70.6985824187604</c:v>
                </c:pt>
                <c:pt idx="3">
                  <c:v>67.9832702551719</c:v>
                </c:pt>
                <c:pt idx="4">
                  <c:v>72.1277798518277</c:v>
                </c:pt>
                <c:pt idx="5">
                  <c:v>67.9701844529948</c:v>
                </c:pt>
                <c:pt idx="6">
                  <c:v>59.7352442951506</c:v>
                </c:pt>
                <c:pt idx="7">
                  <c:v>62.5266851611935</c:v>
                </c:pt>
                <c:pt idx="8">
                  <c:v>64.693004036634</c:v>
                </c:pt>
                <c:pt idx="9">
                  <c:v>65.0999183891379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102968"/>
        <c:axId val="49386152"/>
      </c:lineChart>
      <c:catAx>
        <c:axId val="28102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9386152"/>
        <c:crosses val="autoZero"/>
        <c:auto val="1"/>
        <c:lblAlgn val="ctr"/>
        <c:lblOffset val="100"/>
        <c:noMultiLvlLbl val="0"/>
      </c:catAx>
      <c:valAx>
        <c:axId val="493861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1029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91.6077706480869</c:v>
                </c:pt>
                <c:pt idx="1">
                  <c:v>81.8084162860928</c:v>
                </c:pt>
                <c:pt idx="2">
                  <c:v>87.6053655270365</c:v>
                </c:pt>
                <c:pt idx="3">
                  <c:v>85.4378882436326</c:v>
                </c:pt>
                <c:pt idx="4">
                  <c:v>85.1019363362901</c:v>
                </c:pt>
                <c:pt idx="5">
                  <c:v>88.634417498033</c:v>
                </c:pt>
                <c:pt idx="6">
                  <c:v>86.804638763933</c:v>
                </c:pt>
                <c:pt idx="7">
                  <c:v>91.1774127143866</c:v>
                </c:pt>
                <c:pt idx="8">
                  <c:v>91.2766275384487</c:v>
                </c:pt>
                <c:pt idx="9">
                  <c:v>90.7756943453825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6757125"/>
        <c:axId val="52756325"/>
      </c:lineChart>
      <c:catAx>
        <c:axId val="967571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2756325"/>
        <c:crosses val="autoZero"/>
        <c:auto val="1"/>
        <c:lblAlgn val="ctr"/>
        <c:lblOffset val="100"/>
        <c:noMultiLvlLbl val="0"/>
      </c:catAx>
      <c:valAx>
        <c:axId val="527563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67571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4.37641472780278</c:v>
                </c:pt>
                <c:pt idx="1">
                  <c:v>4.78444408179434</c:v>
                </c:pt>
                <c:pt idx="2">
                  <c:v>4.74895917979655</c:v>
                </c:pt>
                <c:pt idx="3">
                  <c:v>4.76003010781111</c:v>
                </c:pt>
                <c:pt idx="4">
                  <c:v>4.54072158596791</c:v>
                </c:pt>
                <c:pt idx="5">
                  <c:v>4.74972618129636</c:v>
                </c:pt>
                <c:pt idx="6">
                  <c:v>4.90267093437203</c:v>
                </c:pt>
                <c:pt idx="7">
                  <c:v>4.59453129550647</c:v>
                </c:pt>
                <c:pt idx="8">
                  <c:v>4.64244122447769</c:v>
                </c:pt>
                <c:pt idx="9">
                  <c:v>4.48952677303048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747539"/>
        <c:axId val="60358357"/>
      </c:lineChart>
      <c:catAx>
        <c:axId val="437475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0358357"/>
        <c:crosses val="autoZero"/>
        <c:auto val="1"/>
        <c:lblAlgn val="ctr"/>
        <c:lblOffset val="100"/>
        <c:noMultiLvlLbl val="0"/>
      </c:catAx>
      <c:valAx>
        <c:axId val="603583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37475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1.7744503616666</c:v>
                </c:pt>
                <c:pt idx="1">
                  <c:v>1.59598412099708</c:v>
                </c:pt>
                <c:pt idx="2">
                  <c:v>1.62550296968074</c:v>
                </c:pt>
                <c:pt idx="3">
                  <c:v>1.45391711512165</c:v>
                </c:pt>
                <c:pt idx="4">
                  <c:v>1.31476084969911</c:v>
                </c:pt>
                <c:pt idx="5">
                  <c:v>1.54430638946923</c:v>
                </c:pt>
                <c:pt idx="6">
                  <c:v>1.59813066900434</c:v>
                </c:pt>
                <c:pt idx="7">
                  <c:v>1.43300962691631</c:v>
                </c:pt>
                <c:pt idx="8">
                  <c:v>1.37012598457099</c:v>
                </c:pt>
                <c:pt idx="9">
                  <c:v>1.30410702430359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014537"/>
        <c:axId val="82445043"/>
      </c:lineChart>
      <c:catAx>
        <c:axId val="18014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2445043"/>
        <c:crosses val="autoZero"/>
        <c:auto val="1"/>
        <c:lblAlgn val="ctr"/>
        <c:lblOffset val="100"/>
        <c:noMultiLvlLbl val="0"/>
      </c:catAx>
      <c:valAx>
        <c:axId val="824450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80145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1.83066374045317</c:v>
                </c:pt>
                <c:pt idx="1">
                  <c:v>1.63957934302962</c:v>
                </c:pt>
                <c:pt idx="2">
                  <c:v>1.67070762349515</c:v>
                </c:pt>
                <c:pt idx="3">
                  <c:v>1.49805776906324</c:v>
                </c:pt>
                <c:pt idx="4">
                  <c:v>1.33707031841414</c:v>
                </c:pt>
                <c:pt idx="5">
                  <c:v>1.61652108019486</c:v>
                </c:pt>
                <c:pt idx="6">
                  <c:v>1.73912767131602</c:v>
                </c:pt>
                <c:pt idx="7">
                  <c:v>1.54390912125756</c:v>
                </c:pt>
                <c:pt idx="8">
                  <c:v>1.42494665550734</c:v>
                </c:pt>
                <c:pt idx="9">
                  <c:v>1.30996194091353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839286"/>
        <c:axId val="85160887"/>
      </c:lineChart>
      <c:catAx>
        <c:axId val="958392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5160887"/>
        <c:crosses val="autoZero"/>
        <c:auto val="1"/>
        <c:lblAlgn val="ctr"/>
        <c:lblOffset val="100"/>
        <c:noMultiLvlLbl val="0"/>
      </c:catAx>
      <c:valAx>
        <c:axId val="851608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58392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1.10495601899806</c:v>
                </c:pt>
                <c:pt idx="1">
                  <c:v>1.13993058331982</c:v>
                </c:pt>
                <c:pt idx="2">
                  <c:v>1.10247551166644</c:v>
                </c:pt>
                <c:pt idx="3">
                  <c:v>1.08703309767398</c:v>
                </c:pt>
                <c:pt idx="4">
                  <c:v>1.10836635703914</c:v>
                </c:pt>
                <c:pt idx="5">
                  <c:v>1.00883724476969</c:v>
                </c:pt>
                <c:pt idx="6">
                  <c:v>1.18099231982815</c:v>
                </c:pt>
                <c:pt idx="7">
                  <c:v>1.35420310271809</c:v>
                </c:pt>
                <c:pt idx="8">
                  <c:v>1.25312615160868</c:v>
                </c:pt>
                <c:pt idx="9">
                  <c:v>1.13814272010359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004207"/>
        <c:axId val="1514840"/>
      </c:lineChart>
      <c:catAx>
        <c:axId val="83004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514840"/>
        <c:crosses val="autoZero"/>
        <c:auto val="1"/>
        <c:lblAlgn val="ctr"/>
        <c:lblOffset val="100"/>
        <c:noMultiLvlLbl val="0"/>
      </c:catAx>
      <c:valAx>
        <c:axId val="15148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30042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0.410321084236226</c:v>
                </c:pt>
                <c:pt idx="1">
                  <c:v>0.538362075729869</c:v>
                </c:pt>
                <c:pt idx="2">
                  <c:v>0.485727511633827</c:v>
                </c:pt>
                <c:pt idx="3">
                  <c:v>0.509354425817384</c:v>
                </c:pt>
                <c:pt idx="4">
                  <c:v>0.534056605225756</c:v>
                </c:pt>
                <c:pt idx="5">
                  <c:v>0.486215479871998</c:v>
                </c:pt>
                <c:pt idx="6">
                  <c:v>0.543459356062013</c:v>
                </c:pt>
                <c:pt idx="7">
                  <c:v>0.616529487893586</c:v>
                </c:pt>
                <c:pt idx="8">
                  <c:v>0.589221202704193</c:v>
                </c:pt>
                <c:pt idx="9">
                  <c:v>0.504579896064011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816358"/>
        <c:axId val="57147877"/>
      </c:lineChart>
      <c:catAx>
        <c:axId val="218163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7147877"/>
        <c:crosses val="autoZero"/>
        <c:auto val="1"/>
        <c:lblAlgn val="ctr"/>
        <c:lblOffset val="100"/>
        <c:noMultiLvlLbl val="0"/>
      </c:catAx>
      <c:valAx>
        <c:axId val="571478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18163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1.88384408935673</c:v>
                </c:pt>
                <c:pt idx="1">
                  <c:v>1.36910785444631</c:v>
                </c:pt>
                <c:pt idx="2">
                  <c:v>1.87085298664236</c:v>
                </c:pt>
                <c:pt idx="3">
                  <c:v>-3.64538807649044</c:v>
                </c:pt>
                <c:pt idx="4">
                  <c:v>-10.7136680750712</c:v>
                </c:pt>
                <c:pt idx="5">
                  <c:v>10.1338407382742</c:v>
                </c:pt>
                <c:pt idx="6">
                  <c:v>18.5711275742541</c:v>
                </c:pt>
                <c:pt idx="7">
                  <c:v>6.96521978296745</c:v>
                </c:pt>
                <c:pt idx="8">
                  <c:v>7.8816225390976</c:v>
                </c:pt>
                <c:pt idx="9">
                  <c:v>2.44616591629688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982944"/>
        <c:axId val="58700918"/>
      </c:lineChart>
      <c:catAx>
        <c:axId val="77982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8700918"/>
        <c:crosses val="autoZero"/>
        <c:auto val="1"/>
        <c:lblAlgn val="ctr"/>
        <c:lblOffset val="100"/>
        <c:noMultiLvlLbl val="0"/>
      </c:catAx>
      <c:valAx>
        <c:axId val="587009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79829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2.04561730054485</c:v>
                </c:pt>
                <c:pt idx="1">
                  <c:v>3.20899648508567</c:v>
                </c:pt>
                <c:pt idx="2">
                  <c:v>3.15026375659568</c:v>
                </c:pt>
                <c:pt idx="3">
                  <c:v>4.68103527800074</c:v>
                </c:pt>
                <c:pt idx="4">
                  <c:v>33.2991761615472</c:v>
                </c:pt>
                <c:pt idx="5">
                  <c:v>2.11788598148272</c:v>
                </c:pt>
                <c:pt idx="6">
                  <c:v>1.60822363503723</c:v>
                </c:pt>
                <c:pt idx="7">
                  <c:v>2.62691944101932</c:v>
                </c:pt>
                <c:pt idx="8">
                  <c:v>2.54281062406872</c:v>
                </c:pt>
                <c:pt idx="9">
                  <c:v>3.85565077187575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233583"/>
        <c:axId val="71928013"/>
      </c:lineChart>
      <c:catAx>
        <c:axId val="972335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1928013"/>
        <c:crosses val="autoZero"/>
        <c:auto val="1"/>
        <c:lblAlgn val="ctr"/>
        <c:lblOffset val="100"/>
        <c:noMultiLvlLbl val="0"/>
      </c:catAx>
      <c:valAx>
        <c:axId val="719280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72335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1405230</c:v>
                </c:pt>
                <c:pt idx="1">
                  <c:v>1220704</c:v>
                </c:pt>
                <c:pt idx="2">
                  <c:v>1065212</c:v>
                </c:pt>
                <c:pt idx="3">
                  <c:v>1209670</c:v>
                </c:pt>
                <c:pt idx="4">
                  <c:v>474104</c:v>
                </c:pt>
                <c:pt idx="5">
                  <c:v>-477630</c:v>
                </c:pt>
                <c:pt idx="6">
                  <c:v>1017692</c:v>
                </c:pt>
                <c:pt idx="7">
                  <c:v>671427</c:v>
                </c:pt>
                <c:pt idx="8">
                  <c:v>421529</c:v>
                </c:pt>
                <c:pt idx="9">
                  <c:v>-32095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369676"/>
        <c:axId val="84713438"/>
      </c:lineChart>
      <c:catAx>
        <c:axId val="183696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4713438"/>
        <c:auto val="1"/>
        <c:lblAlgn val="ctr"/>
        <c:lblOffset val="100"/>
        <c:noMultiLvlLbl val="0"/>
      </c:catAx>
      <c:valAx>
        <c:axId val="847134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83696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-1156346</c:v>
                </c:pt>
                <c:pt idx="1">
                  <c:v>-2225025</c:v>
                </c:pt>
                <c:pt idx="2">
                  <c:v>-3252178</c:v>
                </c:pt>
                <c:pt idx="3">
                  <c:v>-3572113</c:v>
                </c:pt>
                <c:pt idx="4">
                  <c:v>-3734755</c:v>
                </c:pt>
                <c:pt idx="5">
                  <c:v>-2823324</c:v>
                </c:pt>
                <c:pt idx="6">
                  <c:v>-912089</c:v>
                </c:pt>
                <c:pt idx="7">
                  <c:v>-1775001</c:v>
                </c:pt>
                <c:pt idx="8">
                  <c:v>-2537242</c:v>
                </c:pt>
                <c:pt idx="9">
                  <c:v>-3599311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513663"/>
        <c:axId val="94302538"/>
      </c:lineChart>
      <c:dateAx>
        <c:axId val="74513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4302538"/>
        <c:auto val="1"/>
        <c:lblOffset val="100"/>
        <c:baseTimeUnit val="days"/>
        <c:noMultiLvlLbl val="0"/>
      </c:dateAx>
      <c:valAx>
        <c:axId val="943025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45136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6963491</v>
      </c>
      <c r="C4" s="0" t="n">
        <v>7883168</v>
      </c>
      <c r="D4" s="0" t="n">
        <v>8847151</v>
      </c>
      <c r="E4" s="0" t="n">
        <v>9038097</v>
      </c>
      <c r="F4" s="0" t="n">
        <v>9481177</v>
      </c>
      <c r="G4" s="0" t="n">
        <v>8369855</v>
      </c>
      <c r="H4" s="0" t="n">
        <v>6039898</v>
      </c>
      <c r="I4" s="0" t="n">
        <v>6274383</v>
      </c>
      <c r="J4" s="0" t="n">
        <v>6685683</v>
      </c>
      <c r="K4" s="0" t="n">
        <v>7132515</v>
      </c>
    </row>
    <row r="5" customFormat="false" ht="15.75" hidden="false" customHeight="true" outlineLevel="0" collapsed="false">
      <c r="A5" s="0" t="s">
        <v>4</v>
      </c>
      <c r="B5" s="0" t="n">
        <v>34699</v>
      </c>
      <c r="C5" s="0" t="n">
        <v>40584</v>
      </c>
      <c r="D5" s="0" t="n">
        <v>92011</v>
      </c>
      <c r="E5" s="0" t="n">
        <v>90137</v>
      </c>
      <c r="F5" s="0" t="n">
        <v>53975</v>
      </c>
      <c r="G5" s="0" t="n">
        <v>13063</v>
      </c>
      <c r="H5" s="0" t="n">
        <v>13065</v>
      </c>
      <c r="I5" s="0" t="n">
        <v>5538</v>
      </c>
      <c r="J5" s="0" t="n">
        <v>7052</v>
      </c>
      <c r="K5" s="0" t="n">
        <v>10450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5.75" hidden="false" customHeight="true" outlineLevel="0" collapsed="false">
      <c r="A8" s="0" t="s">
        <v>7</v>
      </c>
      <c r="B8" s="0" t="n">
        <v>7507</v>
      </c>
      <c r="C8" s="0" t="n">
        <v>8708</v>
      </c>
      <c r="D8" s="0" t="n">
        <v>55450</v>
      </c>
      <c r="E8" s="0" t="n">
        <v>73475</v>
      </c>
      <c r="F8" s="0" t="n">
        <v>47663</v>
      </c>
      <c r="G8" s="0" t="n">
        <v>11882</v>
      </c>
      <c r="H8" s="0" t="n">
        <v>0</v>
      </c>
      <c r="I8" s="0" t="n">
        <v>0</v>
      </c>
      <c r="J8" s="0" t="n">
        <v>0</v>
      </c>
      <c r="K8" s="0" t="n">
        <v>0</v>
      </c>
    </row>
    <row r="9" customFormat="false" ht="15.75" hidden="false" customHeight="true" outlineLevel="0" collapsed="false">
      <c r="A9" s="0" t="s">
        <v>8</v>
      </c>
      <c r="B9" s="0" t="n">
        <v>3613</v>
      </c>
      <c r="C9" s="0" t="n">
        <v>3890</v>
      </c>
      <c r="D9" s="0" t="n">
        <v>4167</v>
      </c>
      <c r="E9" s="0" t="n">
        <v>4445</v>
      </c>
      <c r="F9" s="0" t="n">
        <v>4723</v>
      </c>
      <c r="G9" s="0" t="n">
        <v>0</v>
      </c>
      <c r="H9" s="0" t="n">
        <v>12637</v>
      </c>
      <c r="I9" s="0" t="n">
        <v>3856</v>
      </c>
      <c r="J9" s="0" t="n">
        <v>2068</v>
      </c>
      <c r="K9" s="0" t="n">
        <v>3930</v>
      </c>
    </row>
    <row r="10" customFormat="false" ht="15.75" hidden="false" customHeight="true" outlineLevel="0" collapsed="false">
      <c r="A10" s="0" t="s">
        <v>9</v>
      </c>
      <c r="B10" s="0" t="n">
        <v>20649</v>
      </c>
      <c r="C10" s="0" t="n">
        <v>22026</v>
      </c>
      <c r="D10" s="0" t="n">
        <v>23404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5.75" hidden="false" customHeight="true" outlineLevel="0" collapsed="false">
      <c r="A11" s="0" t="s">
        <v>10</v>
      </c>
      <c r="B11" s="0" t="n">
        <v>20649</v>
      </c>
      <c r="C11" s="0" t="n">
        <v>22026</v>
      </c>
      <c r="D11" s="0" t="n">
        <v>23404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2930</v>
      </c>
      <c r="C13" s="0" t="n">
        <v>5960</v>
      </c>
      <c r="D13" s="0" t="n">
        <v>8990</v>
      </c>
      <c r="E13" s="0" t="n">
        <v>12217</v>
      </c>
      <c r="F13" s="0" t="n">
        <v>1589</v>
      </c>
      <c r="G13" s="0" t="n">
        <v>1181</v>
      </c>
      <c r="H13" s="0" t="n">
        <v>428</v>
      </c>
      <c r="I13" s="0" t="n">
        <v>1682</v>
      </c>
      <c r="J13" s="0" t="n">
        <v>4984</v>
      </c>
      <c r="K13" s="0" t="n">
        <v>6520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192497</v>
      </c>
    </row>
    <row r="15" customFormat="false" ht="15.75" hidden="false" customHeight="true" outlineLevel="0" collapsed="false">
      <c r="A15" s="0" t="s">
        <v>14</v>
      </c>
      <c r="B15" s="0" t="n">
        <v>6765600</v>
      </c>
      <c r="C15" s="0" t="n">
        <v>7679392</v>
      </c>
      <c r="D15" s="0" t="n">
        <v>8591948</v>
      </c>
      <c r="E15" s="0" t="n">
        <v>8784048</v>
      </c>
      <c r="F15" s="0" t="n">
        <v>9263440</v>
      </c>
      <c r="G15" s="0" t="n">
        <v>8192901</v>
      </c>
      <c r="H15" s="0" t="n">
        <v>5864242</v>
      </c>
      <c r="I15" s="0" t="n">
        <v>6106254</v>
      </c>
      <c r="J15" s="0" t="n">
        <v>6516040</v>
      </c>
      <c r="K15" s="0" t="n">
        <v>6959474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4148317</v>
      </c>
      <c r="C17" s="0" t="n">
        <v>4421481</v>
      </c>
      <c r="D17" s="0" t="n">
        <v>4655125</v>
      </c>
      <c r="E17" s="0" t="n">
        <v>4380818</v>
      </c>
      <c r="F17" s="0" t="n">
        <v>4511248</v>
      </c>
      <c r="G17" s="0" t="n">
        <v>4508740</v>
      </c>
      <c r="H17" s="0" t="n">
        <v>3881153</v>
      </c>
      <c r="I17" s="0" t="n">
        <v>4070504</v>
      </c>
      <c r="J17" s="0" t="n">
        <v>4281660</v>
      </c>
      <c r="K17" s="0" t="n">
        <v>4480422</v>
      </c>
    </row>
    <row r="18" customFormat="false" ht="15.75" hidden="false" customHeight="true" outlineLevel="0" collapsed="false">
      <c r="A18" s="0" t="s">
        <v>17</v>
      </c>
      <c r="B18" s="0" t="n">
        <v>2533789</v>
      </c>
      <c r="C18" s="0" t="n">
        <v>3164896</v>
      </c>
      <c r="D18" s="0" t="n">
        <v>3792256</v>
      </c>
      <c r="E18" s="0" t="n">
        <v>4161422</v>
      </c>
      <c r="F18" s="0" t="n">
        <v>4548901</v>
      </c>
      <c r="G18" s="0" t="n">
        <v>2656805</v>
      </c>
      <c r="H18" s="0" t="n">
        <v>1889503</v>
      </c>
      <c r="I18" s="0" t="n">
        <v>1990299</v>
      </c>
      <c r="J18" s="0" t="n">
        <v>2198695</v>
      </c>
      <c r="K18" s="0" t="n">
        <v>2449552</v>
      </c>
    </row>
    <row r="19" customFormat="false" ht="15.75" hidden="false" customHeight="true" outlineLevel="0" collapsed="false">
      <c r="A19" s="0" t="s">
        <v>18</v>
      </c>
      <c r="B19" s="0" t="n">
        <v>13144</v>
      </c>
      <c r="C19" s="0" t="n">
        <v>22048</v>
      </c>
      <c r="D19" s="0" t="n">
        <v>31336</v>
      </c>
      <c r="E19" s="0" t="n">
        <v>28355</v>
      </c>
      <c r="F19" s="0" t="n">
        <v>14881</v>
      </c>
      <c r="G19" s="0" t="n">
        <v>8948</v>
      </c>
      <c r="H19" s="0" t="n">
        <v>2044</v>
      </c>
      <c r="I19" s="0" t="n">
        <v>2490</v>
      </c>
      <c r="J19" s="0" t="n">
        <v>3350</v>
      </c>
      <c r="K19" s="0" t="n">
        <v>1221</v>
      </c>
    </row>
    <row r="20" customFormat="false" ht="15.75" hidden="false" customHeight="true" outlineLevel="0" collapsed="false">
      <c r="A20" s="0" t="s">
        <v>19</v>
      </c>
      <c r="B20" s="0" t="n">
        <v>37350</v>
      </c>
      <c r="C20" s="0" t="n">
        <v>70967</v>
      </c>
      <c r="D20" s="0" t="n">
        <v>113231</v>
      </c>
      <c r="E20" s="0" t="n">
        <v>154253</v>
      </c>
      <c r="F20" s="0" t="n">
        <v>150410</v>
      </c>
      <c r="G20" s="0" t="n">
        <v>79336</v>
      </c>
      <c r="H20" s="0" t="n">
        <v>91542</v>
      </c>
      <c r="I20" s="0" t="n">
        <v>27961</v>
      </c>
      <c r="J20" s="0" t="n">
        <v>32335</v>
      </c>
      <c r="K20" s="0" t="n">
        <v>28279</v>
      </c>
    </row>
    <row r="21" customFormat="false" ht="15.75" hidden="false" customHeight="true" outlineLevel="0" collapsed="false">
      <c r="A21" s="0" t="s">
        <v>20</v>
      </c>
      <c r="B21" s="0" t="n">
        <v>33000</v>
      </c>
      <c r="C21" s="0" t="n">
        <v>0</v>
      </c>
      <c r="D21" s="0" t="n">
        <v>0</v>
      </c>
      <c r="E21" s="0" t="n">
        <v>59200</v>
      </c>
      <c r="F21" s="0" t="n">
        <v>38000</v>
      </c>
      <c r="G21" s="0" t="n">
        <v>939072</v>
      </c>
      <c r="H21" s="0" t="n">
        <v>0</v>
      </c>
      <c r="I21" s="0" t="n">
        <v>15000</v>
      </c>
      <c r="J21" s="0" t="n">
        <v>0</v>
      </c>
      <c r="K21" s="0" t="n">
        <v>0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6099934</v>
      </c>
    </row>
    <row r="23" customFormat="false" ht="15.75" hidden="false" customHeight="true" outlineLevel="0" collapsed="false">
      <c r="A23" s="0" t="s">
        <v>22</v>
      </c>
      <c r="B23" s="0" t="n">
        <v>163192</v>
      </c>
      <c r="C23" s="0" t="n">
        <v>163192</v>
      </c>
      <c r="D23" s="0" t="n">
        <v>163192</v>
      </c>
      <c r="E23" s="0" t="n">
        <v>163912</v>
      </c>
      <c r="F23" s="0" t="n">
        <v>163762</v>
      </c>
      <c r="G23" s="0" t="n">
        <v>163891</v>
      </c>
      <c r="H23" s="0" t="n">
        <v>162591</v>
      </c>
      <c r="I23" s="0" t="n">
        <v>162591</v>
      </c>
      <c r="J23" s="0" t="n">
        <v>162591</v>
      </c>
      <c r="K23" s="0" t="n">
        <v>162591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1450</v>
      </c>
      <c r="E24" s="0" t="n">
        <v>1450</v>
      </c>
      <c r="F24" s="0" t="n">
        <v>1300</v>
      </c>
      <c r="G24" s="0" t="n">
        <v>1300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161742</v>
      </c>
      <c r="C25" s="0" t="n">
        <v>161742</v>
      </c>
      <c r="D25" s="0" t="n">
        <v>161742</v>
      </c>
      <c r="E25" s="0" t="n">
        <v>162462</v>
      </c>
      <c r="F25" s="0" t="n">
        <v>162462</v>
      </c>
      <c r="G25" s="0" t="n">
        <v>162591</v>
      </c>
      <c r="H25" s="0" t="n">
        <v>162591</v>
      </c>
      <c r="I25" s="0" t="n">
        <v>162591</v>
      </c>
      <c r="J25" s="0" t="n">
        <v>162591</v>
      </c>
      <c r="K25" s="0" t="n">
        <v>162591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  <c r="E26" s="0" t="n">
        <v>720</v>
      </c>
      <c r="F26" s="0" t="n">
        <v>720</v>
      </c>
      <c r="G26" s="0" t="n">
        <v>720</v>
      </c>
      <c r="H26" s="0" t="n">
        <v>720</v>
      </c>
      <c r="I26" s="0" t="n">
        <v>720</v>
      </c>
      <c r="J26" s="0" t="n">
        <v>720</v>
      </c>
      <c r="K26" s="0" t="n">
        <v>720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161742</v>
      </c>
      <c r="C30" s="0" t="n">
        <v>161742</v>
      </c>
      <c r="D30" s="0" t="n">
        <v>161742</v>
      </c>
      <c r="E30" s="0" t="n">
        <v>161742</v>
      </c>
      <c r="F30" s="0" t="n">
        <v>161742</v>
      </c>
      <c r="G30" s="0" t="n">
        <v>161871</v>
      </c>
      <c r="H30" s="0" t="n">
        <v>161871</v>
      </c>
      <c r="I30" s="0" t="n">
        <v>161871</v>
      </c>
      <c r="J30" s="0" t="n">
        <v>161871</v>
      </c>
      <c r="K30" s="0" t="n">
        <v>161871</v>
      </c>
    </row>
    <row r="31" customFormat="false" ht="15.75" hidden="false" customHeight="true" outlineLevel="0" collapsed="false">
      <c r="A31" s="0" t="s">
        <v>30</v>
      </c>
      <c r="B31" s="0" t="n">
        <v>1450</v>
      </c>
      <c r="C31" s="0" t="n">
        <v>1450</v>
      </c>
      <c r="D31" s="0" t="n">
        <v>1450</v>
      </c>
      <c r="E31" s="0" t="n">
        <v>1450</v>
      </c>
      <c r="F31" s="0" t="n">
        <v>1300</v>
      </c>
      <c r="G31" s="0" t="n">
        <v>1300</v>
      </c>
      <c r="H31" s="0" t="n">
        <v>0</v>
      </c>
      <c r="I31" s="0" t="n">
        <v>0</v>
      </c>
      <c r="J31" s="0" t="n">
        <v>0</v>
      </c>
      <c r="K31" s="0" t="n">
        <v>0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1450</v>
      </c>
      <c r="E40" s="0" t="n">
        <v>1450</v>
      </c>
      <c r="F40" s="0" t="n">
        <v>1300</v>
      </c>
      <c r="G40" s="0" t="n">
        <v>1300</v>
      </c>
      <c r="H40" s="0" t="n">
        <v>0</v>
      </c>
      <c r="I40" s="0" t="n">
        <v>0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1450</v>
      </c>
      <c r="C41" s="0" t="n">
        <v>1450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1450</v>
      </c>
      <c r="E42" s="0" t="n">
        <v>1450</v>
      </c>
      <c r="F42" s="0" t="n">
        <v>1300</v>
      </c>
      <c r="G42" s="0" t="n">
        <v>1300</v>
      </c>
      <c r="H42" s="0" t="n">
        <v>0</v>
      </c>
      <c r="I42" s="0" t="n">
        <v>0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1450</v>
      </c>
      <c r="C43" s="0" t="n">
        <v>1450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 customFormat="false" ht="15.75" hidden="false" customHeight="true" outlineLevel="0" collapsed="false">
      <c r="A44" s="0" t="s">
        <v>43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7847628</v>
      </c>
      <c r="C48" s="0" t="n">
        <v>7195639</v>
      </c>
      <c r="D48" s="0" t="n">
        <v>7323947</v>
      </c>
      <c r="E48" s="0" t="n">
        <v>8393085</v>
      </c>
      <c r="F48" s="0" t="n">
        <v>6178865</v>
      </c>
      <c r="G48" s="0" t="n">
        <v>6135352</v>
      </c>
      <c r="H48" s="0" t="n">
        <v>5730701</v>
      </c>
      <c r="I48" s="0" t="n">
        <v>4897934</v>
      </c>
      <c r="J48" s="0" t="n">
        <v>4803205</v>
      </c>
      <c r="K48" s="0" t="n">
        <v>4501621</v>
      </c>
    </row>
    <row r="49" customFormat="false" ht="15.75" hidden="false" customHeight="true" outlineLevel="0" collapsed="false">
      <c r="A49" s="0" t="s">
        <v>48</v>
      </c>
      <c r="B49" s="0" t="n">
        <v>4030465</v>
      </c>
      <c r="C49" s="0" t="n">
        <v>3219958</v>
      </c>
      <c r="D49" s="0" t="n">
        <v>3404119</v>
      </c>
      <c r="E49" s="0" t="n">
        <v>3518066</v>
      </c>
      <c r="F49" s="0" t="n">
        <v>2686304</v>
      </c>
      <c r="G49" s="0" t="n">
        <v>2953911</v>
      </c>
      <c r="H49" s="0" t="n">
        <v>2438343</v>
      </c>
      <c r="I49" s="0" t="n">
        <v>2517638</v>
      </c>
      <c r="J49" s="0" t="n">
        <v>2426714</v>
      </c>
      <c r="K49" s="0" t="n">
        <v>2395489</v>
      </c>
    </row>
    <row r="50" customFormat="false" ht="15.75" hidden="false" customHeight="true" outlineLevel="0" collapsed="false">
      <c r="A50" s="0" t="s">
        <v>49</v>
      </c>
      <c r="B50" s="0" t="n">
        <v>775119</v>
      </c>
      <c r="C50" s="0" t="n">
        <v>342044</v>
      </c>
      <c r="D50" s="0" t="n">
        <v>409696</v>
      </c>
      <c r="E50" s="0" t="n">
        <v>3335272</v>
      </c>
      <c r="F50" s="0" t="n">
        <v>2575604</v>
      </c>
      <c r="G50" s="0" t="n">
        <v>2865960</v>
      </c>
      <c r="H50" s="0" t="n">
        <v>0</v>
      </c>
      <c r="I50" s="0" t="n">
        <v>0</v>
      </c>
      <c r="J50" s="0" t="n">
        <v>0</v>
      </c>
      <c r="K50" s="0" t="n">
        <v>0</v>
      </c>
    </row>
    <row r="51" customFormat="false" ht="15.75" hidden="false" customHeight="true" outlineLevel="0" collapsed="false">
      <c r="A51" s="0" t="s">
        <v>50</v>
      </c>
      <c r="B51" s="0" t="n">
        <v>3179623</v>
      </c>
      <c r="C51" s="0" t="n">
        <v>2810060</v>
      </c>
      <c r="D51" s="0" t="n">
        <v>2940884</v>
      </c>
      <c r="E51" s="0" t="n">
        <v>0</v>
      </c>
      <c r="F51" s="0" t="n">
        <v>0</v>
      </c>
      <c r="G51" s="0" t="n">
        <v>0</v>
      </c>
      <c r="H51" s="0" t="n">
        <v>2350650</v>
      </c>
      <c r="I51" s="0" t="n">
        <v>2427919</v>
      </c>
      <c r="J51" s="0" t="n">
        <v>2345175</v>
      </c>
      <c r="K51" s="0" t="n">
        <v>2331146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75723</v>
      </c>
      <c r="C53" s="0" t="n">
        <v>67854</v>
      </c>
      <c r="D53" s="0" t="n">
        <v>53539</v>
      </c>
      <c r="E53" s="0" t="n">
        <v>182794</v>
      </c>
      <c r="F53" s="0" t="n">
        <v>110700</v>
      </c>
      <c r="G53" s="0" t="n">
        <v>87951</v>
      </c>
      <c r="H53" s="0" t="n">
        <v>87693</v>
      </c>
      <c r="I53" s="0" t="n">
        <v>89719</v>
      </c>
      <c r="J53" s="0" t="n">
        <v>81539</v>
      </c>
      <c r="K53" s="0" t="n">
        <v>64343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2406141</v>
      </c>
      <c r="C56" s="0" t="n">
        <v>2881575</v>
      </c>
      <c r="D56" s="0" t="n">
        <v>2704061</v>
      </c>
      <c r="E56" s="0" t="n">
        <v>3129703</v>
      </c>
      <c r="F56" s="0" t="n">
        <v>2532562</v>
      </c>
      <c r="G56" s="0" t="n">
        <v>2807343</v>
      </c>
      <c r="H56" s="0" t="n">
        <v>2138640</v>
      </c>
      <c r="I56" s="0" t="n">
        <v>2158628</v>
      </c>
      <c r="J56" s="0" t="n">
        <v>2210642</v>
      </c>
      <c r="K56" s="0" t="n">
        <v>2055676</v>
      </c>
    </row>
    <row r="57" customFormat="false" ht="15.75" hidden="false" customHeight="true" outlineLevel="0" collapsed="false">
      <c r="A57" s="0" t="s">
        <v>56</v>
      </c>
      <c r="B57" s="0" t="n">
        <v>1886858</v>
      </c>
      <c r="C57" s="0" t="n">
        <v>2285706</v>
      </c>
      <c r="D57" s="0" t="n">
        <v>1952294</v>
      </c>
      <c r="E57" s="0" t="n">
        <v>2107645</v>
      </c>
      <c r="F57" s="0" t="n">
        <v>1520160</v>
      </c>
      <c r="G57" s="0" t="n">
        <v>1941180</v>
      </c>
      <c r="H57" s="0" t="n">
        <v>1972556</v>
      </c>
      <c r="I57" s="0" t="n">
        <v>1967438</v>
      </c>
      <c r="J57" s="0" t="n">
        <v>2035830</v>
      </c>
      <c r="K57" s="0" t="n">
        <v>1691488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5000</v>
      </c>
      <c r="E59" s="0" t="n">
        <v>5000</v>
      </c>
      <c r="F59" s="0" t="n">
        <v>0</v>
      </c>
      <c r="G59" s="0" t="n">
        <v>5000</v>
      </c>
      <c r="H59" s="0" t="n">
        <v>0</v>
      </c>
      <c r="I59" s="0" t="n">
        <v>0</v>
      </c>
      <c r="J59" s="0" t="n">
        <v>0</v>
      </c>
      <c r="K59" s="0" t="n">
        <v>86096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5000</v>
      </c>
      <c r="G60" s="0" t="n">
        <v>0</v>
      </c>
      <c r="H60" s="0" t="n">
        <v>5000</v>
      </c>
      <c r="I60" s="0" t="n">
        <v>5000</v>
      </c>
      <c r="J60" s="0" t="n">
        <v>5000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177010</v>
      </c>
      <c r="C67" s="0" t="n">
        <v>133013</v>
      </c>
      <c r="D67" s="0" t="n">
        <v>276681</v>
      </c>
      <c r="E67" s="0" t="n">
        <v>462846</v>
      </c>
      <c r="F67" s="0" t="n">
        <v>494036</v>
      </c>
      <c r="G67" s="0" t="n">
        <v>664167</v>
      </c>
      <c r="H67" s="0" t="n">
        <v>33661</v>
      </c>
      <c r="I67" s="0" t="n">
        <v>42333</v>
      </c>
      <c r="J67" s="0" t="n">
        <v>4874</v>
      </c>
      <c r="K67" s="0" t="n">
        <v>83981</v>
      </c>
    </row>
    <row r="68" customFormat="false" ht="15.75" hidden="false" customHeight="true" outlineLevel="0" collapsed="false">
      <c r="A68" s="0" t="s">
        <v>67</v>
      </c>
      <c r="B68" s="0" t="n">
        <v>47408</v>
      </c>
      <c r="C68" s="0" t="n">
        <v>2690</v>
      </c>
      <c r="D68" s="0" t="n">
        <v>12358</v>
      </c>
      <c r="E68" s="0" t="n">
        <v>27079</v>
      </c>
      <c r="F68" s="0" t="n">
        <v>97</v>
      </c>
      <c r="G68" s="0" t="n">
        <v>97</v>
      </c>
      <c r="H68" s="0" t="n">
        <v>97</v>
      </c>
      <c r="I68" s="0" t="n">
        <v>97</v>
      </c>
      <c r="J68" s="0" t="n">
        <v>18718</v>
      </c>
      <c r="K68" s="0" t="n">
        <v>18718</v>
      </c>
    </row>
    <row r="69" customFormat="false" ht="15.75" hidden="false" customHeight="true" outlineLevel="0" collapsed="false">
      <c r="A69" s="0" t="s">
        <v>68</v>
      </c>
      <c r="B69" s="0" t="n">
        <v>100057</v>
      </c>
      <c r="C69" s="0" t="n">
        <v>100057</v>
      </c>
      <c r="D69" s="0" t="n">
        <v>100057</v>
      </c>
      <c r="E69" s="0" t="n">
        <v>100057</v>
      </c>
      <c r="F69" s="0" t="n">
        <v>100057</v>
      </c>
      <c r="G69" s="0" t="n">
        <v>100057</v>
      </c>
      <c r="H69" s="0" t="n">
        <v>100057</v>
      </c>
      <c r="I69" s="0" t="n">
        <v>100057</v>
      </c>
      <c r="J69" s="0" t="n">
        <v>100057</v>
      </c>
      <c r="K69" s="0" t="n">
        <v>0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114079</v>
      </c>
    </row>
    <row r="71" customFormat="false" ht="15.75" hidden="false" customHeight="true" outlineLevel="0" collapsed="false">
      <c r="A71" s="0" t="s">
        <v>70</v>
      </c>
      <c r="B71" s="0" t="n">
        <v>56608</v>
      </c>
      <c r="C71" s="0" t="n">
        <v>197386</v>
      </c>
      <c r="D71" s="0" t="n">
        <v>162410</v>
      </c>
      <c r="E71" s="0" t="n">
        <v>135676</v>
      </c>
      <c r="F71" s="0" t="n">
        <v>89274</v>
      </c>
      <c r="G71" s="0" t="n">
        <v>33242</v>
      </c>
      <c r="H71" s="0" t="n">
        <v>25969</v>
      </c>
      <c r="I71" s="0" t="n">
        <v>42553</v>
      </c>
      <c r="J71" s="0" t="n">
        <v>45013</v>
      </c>
      <c r="K71" s="0" t="n">
        <v>61314</v>
      </c>
    </row>
    <row r="72" customFormat="false" ht="15.75" hidden="false" customHeight="true" outlineLevel="0" collapsed="false">
      <c r="A72" s="0" t="s">
        <v>71</v>
      </c>
      <c r="B72" s="0" t="n">
        <v>138200</v>
      </c>
      <c r="C72" s="0" t="n">
        <v>162723</v>
      </c>
      <c r="D72" s="0" t="n">
        <v>195261</v>
      </c>
      <c r="E72" s="0" t="n">
        <v>291400</v>
      </c>
      <c r="F72" s="0" t="n">
        <v>323938</v>
      </c>
      <c r="G72" s="0" t="n">
        <v>63600</v>
      </c>
      <c r="H72" s="0" t="n">
        <v>1300</v>
      </c>
      <c r="I72" s="0" t="n">
        <v>1150</v>
      </c>
      <c r="J72" s="0" t="n">
        <v>1150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2220533</v>
      </c>
      <c r="C73" s="0" t="n">
        <v>2716162</v>
      </c>
      <c r="D73" s="0" t="n">
        <v>2496442</v>
      </c>
      <c r="E73" s="0" t="n">
        <v>2811224</v>
      </c>
      <c r="F73" s="0" t="n">
        <v>2203527</v>
      </c>
      <c r="G73" s="0" t="n">
        <v>2743646</v>
      </c>
      <c r="H73" s="0" t="n">
        <v>2132243</v>
      </c>
      <c r="I73" s="0" t="n">
        <v>2152381</v>
      </c>
      <c r="J73" s="0" t="n">
        <v>2185774</v>
      </c>
      <c r="K73" s="0" t="n">
        <v>1922879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185608</v>
      </c>
      <c r="C75" s="0" t="n">
        <v>165413</v>
      </c>
      <c r="D75" s="0" t="n">
        <v>207619</v>
      </c>
      <c r="E75" s="0" t="n">
        <v>318479</v>
      </c>
      <c r="F75" s="0" t="n">
        <v>329035</v>
      </c>
      <c r="G75" s="0" t="n">
        <v>63697</v>
      </c>
      <c r="H75" s="0" t="n">
        <v>6397</v>
      </c>
      <c r="I75" s="0" t="n">
        <v>6247</v>
      </c>
      <c r="J75" s="0" t="n">
        <v>24868</v>
      </c>
      <c r="K75" s="0" t="n">
        <v>132797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1411022</v>
      </c>
      <c r="C87" s="0" t="n">
        <v>1094106</v>
      </c>
      <c r="D87" s="0" t="n">
        <v>1215767</v>
      </c>
      <c r="E87" s="0" t="n">
        <v>1745316</v>
      </c>
      <c r="F87" s="0" t="n">
        <v>959999</v>
      </c>
      <c r="G87" s="0" t="n">
        <v>374098</v>
      </c>
      <c r="H87" s="0" t="n">
        <v>1153718</v>
      </c>
      <c r="I87" s="0" t="n">
        <v>221668</v>
      </c>
      <c r="J87" s="0" t="n">
        <v>165849</v>
      </c>
      <c r="K87" s="0" t="n">
        <v>50456</v>
      </c>
    </row>
    <row r="88" customFormat="false" ht="15.75" hidden="false" customHeight="true" outlineLevel="0" collapsed="false">
      <c r="A88" s="0" t="s">
        <v>86</v>
      </c>
      <c r="B88" s="0" t="n">
        <v>1403807</v>
      </c>
      <c r="C88" s="0" t="n">
        <v>1085436</v>
      </c>
      <c r="D88" s="0" t="n">
        <v>1208959</v>
      </c>
      <c r="E88" s="0" t="n">
        <v>1737724</v>
      </c>
      <c r="F88" s="0" t="n">
        <v>955547</v>
      </c>
      <c r="G88" s="0" t="n">
        <v>371853</v>
      </c>
      <c r="H88" s="0" t="n">
        <v>1150197</v>
      </c>
      <c r="I88" s="0" t="n">
        <v>216275</v>
      </c>
      <c r="J88" s="0" t="n">
        <v>159761</v>
      </c>
      <c r="K88" s="0" t="n">
        <v>47375</v>
      </c>
    </row>
    <row r="89" customFormat="false" ht="15.75" hidden="false" customHeight="true" outlineLevel="0" collapsed="false">
      <c r="A89" s="0" t="s">
        <v>87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.75" hidden="false" customHeight="true" outlineLevel="0" collapsed="false">
      <c r="A90" s="0" t="s">
        <v>88</v>
      </c>
      <c r="B90" s="0" t="n">
        <v>7215</v>
      </c>
      <c r="C90" s="0" t="n">
        <v>8670</v>
      </c>
      <c r="D90" s="0" t="n">
        <v>6808</v>
      </c>
      <c r="E90" s="0" t="n">
        <v>7592</v>
      </c>
      <c r="F90" s="0" t="n">
        <v>4452</v>
      </c>
      <c r="G90" s="0" t="n">
        <v>2245</v>
      </c>
      <c r="H90" s="0" t="n">
        <v>3521</v>
      </c>
      <c r="I90" s="0" t="n">
        <v>5393</v>
      </c>
      <c r="J90" s="0" t="n">
        <v>6088</v>
      </c>
      <c r="K90" s="0" t="n">
        <v>3081</v>
      </c>
    </row>
    <row r="91" customFormat="false" ht="15.75" hidden="false" customHeight="true" outlineLevel="0" collapsed="false">
      <c r="A91" s="0" t="s">
        <v>89</v>
      </c>
      <c r="B91" s="0" t="n">
        <v>74713</v>
      </c>
      <c r="C91" s="0" t="n">
        <v>100121</v>
      </c>
      <c r="D91" s="0" t="n">
        <v>81952</v>
      </c>
      <c r="E91" s="0" t="n">
        <v>77325</v>
      </c>
      <c r="F91" s="0" t="n">
        <v>70517</v>
      </c>
      <c r="G91" s="0" t="n">
        <v>45853</v>
      </c>
      <c r="H91" s="0" t="n">
        <v>44961</v>
      </c>
      <c r="I91" s="0" t="n">
        <v>50609</v>
      </c>
      <c r="J91" s="0" t="n">
        <v>48144</v>
      </c>
      <c r="K91" s="0" t="n">
        <v>52306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14885832</v>
      </c>
      <c r="C93" s="0" t="n">
        <v>15178928</v>
      </c>
      <c r="D93" s="0" t="n">
        <v>16253050</v>
      </c>
      <c r="E93" s="0" t="n">
        <v>17508507</v>
      </c>
      <c r="F93" s="0" t="n">
        <v>15730559</v>
      </c>
      <c r="G93" s="0" t="n">
        <v>14551060</v>
      </c>
      <c r="H93" s="0" t="n">
        <v>11815560</v>
      </c>
      <c r="I93" s="0" t="n">
        <v>11222926</v>
      </c>
      <c r="J93" s="0" t="n">
        <v>11537032</v>
      </c>
      <c r="K93" s="0" t="n">
        <v>11686442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5805695</v>
      </c>
      <c r="C96" s="0" t="n">
        <v>5656693</v>
      </c>
      <c r="D96" s="0" t="n">
        <v>5598523</v>
      </c>
      <c r="E96" s="0" t="n">
        <v>5469534</v>
      </c>
      <c r="F96" s="0" t="n">
        <v>5750122</v>
      </c>
      <c r="G96" s="0" t="n">
        <v>5550231</v>
      </c>
      <c r="H96" s="0" t="n">
        <v>5132809</v>
      </c>
      <c r="I96" s="0" t="n">
        <v>4504382</v>
      </c>
      <c r="J96" s="0" t="n">
        <v>4153441</v>
      </c>
      <c r="K96" s="0" t="n">
        <v>3619300</v>
      </c>
    </row>
    <row r="97" customFormat="false" ht="15.75" hidden="false" customHeight="true" outlineLevel="0" collapsed="false">
      <c r="A97" s="0" t="s">
        <v>95</v>
      </c>
      <c r="B97" s="0" t="n">
        <v>1500000</v>
      </c>
      <c r="C97" s="0" t="n">
        <v>1500000</v>
      </c>
      <c r="D97" s="0" t="n">
        <v>1500000</v>
      </c>
      <c r="E97" s="0" t="n">
        <v>1500000</v>
      </c>
      <c r="F97" s="0" t="n">
        <v>1500000</v>
      </c>
      <c r="G97" s="0" t="n">
        <v>1500000</v>
      </c>
      <c r="H97" s="0" t="n">
        <v>1500000</v>
      </c>
      <c r="I97" s="0" t="n">
        <v>1500000</v>
      </c>
      <c r="J97" s="0" t="n">
        <v>1500000</v>
      </c>
      <c r="K97" s="0" t="n">
        <v>1500000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1868495</v>
      </c>
      <c r="C103" s="0" t="n">
        <v>1868495</v>
      </c>
      <c r="D103" s="0" t="n">
        <v>1868495</v>
      </c>
      <c r="E103" s="0" t="n">
        <v>1868495</v>
      </c>
      <c r="F103" s="0" t="n">
        <v>1868495</v>
      </c>
      <c r="G103" s="0" t="n">
        <v>900162</v>
      </c>
      <c r="H103" s="0" t="n">
        <v>900162</v>
      </c>
      <c r="I103" s="0" t="n">
        <v>900162</v>
      </c>
      <c r="J103" s="0" t="n">
        <v>900162</v>
      </c>
      <c r="K103" s="0" t="n">
        <v>900162</v>
      </c>
    </row>
    <row r="104" customFormat="false" ht="15.75" hidden="false" customHeight="true" outlineLevel="0" collapsed="false">
      <c r="A104" s="0" t="s">
        <v>102</v>
      </c>
      <c r="B104" s="0" t="n">
        <v>186986</v>
      </c>
      <c r="C104" s="0" t="n">
        <v>184077</v>
      </c>
      <c r="D104" s="0" t="n">
        <v>177628</v>
      </c>
      <c r="E104" s="0" t="n">
        <v>177628</v>
      </c>
      <c r="F104" s="0" t="n">
        <v>177628</v>
      </c>
      <c r="G104" s="0" t="n">
        <v>156757</v>
      </c>
      <c r="H104" s="0" t="n">
        <v>125336</v>
      </c>
      <c r="I104" s="0" t="n">
        <v>107789</v>
      </c>
      <c r="J104" s="0" t="n">
        <v>81082</v>
      </c>
      <c r="K104" s="0" t="n">
        <v>67073</v>
      </c>
    </row>
    <row r="105" customFormat="false" ht="15.75" hidden="false" customHeight="true" outlineLevel="0" collapsed="false">
      <c r="A105" s="0" t="s">
        <v>103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3150243</v>
      </c>
      <c r="C107" s="0" t="n">
        <v>3094978</v>
      </c>
      <c r="D107" s="0" t="n">
        <v>2972441</v>
      </c>
      <c r="E107" s="0" t="n">
        <v>2972439</v>
      </c>
      <c r="F107" s="0" t="n">
        <v>2972438</v>
      </c>
      <c r="G107" s="0" t="n">
        <v>2575891</v>
      </c>
      <c r="H107" s="0" t="n">
        <v>1978884</v>
      </c>
      <c r="I107" s="0" t="n">
        <v>1645490</v>
      </c>
      <c r="J107" s="0" t="n">
        <v>1138056</v>
      </c>
      <c r="K107" s="0" t="n">
        <v>871890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-1049028</v>
      </c>
      <c r="C110" s="0" t="n">
        <v>-1049028</v>
      </c>
      <c r="D110" s="0" t="n">
        <v>-1049028</v>
      </c>
      <c r="E110" s="0" t="n">
        <v>-768439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.75" hidden="false" customHeight="true" outlineLevel="0" collapsed="false">
      <c r="A111" s="0" t="s">
        <v>109</v>
      </c>
      <c r="B111" s="0" t="n">
        <v>148999</v>
      </c>
      <c r="C111" s="0" t="n">
        <v>58171</v>
      </c>
      <c r="D111" s="0" t="n">
        <v>128987</v>
      </c>
      <c r="E111" s="0" t="n">
        <v>-280589</v>
      </c>
      <c r="F111" s="0" t="n">
        <v>-768439</v>
      </c>
      <c r="G111" s="0" t="n">
        <v>417421</v>
      </c>
      <c r="H111" s="0" t="n">
        <v>628427</v>
      </c>
      <c r="I111" s="0" t="n">
        <v>350941</v>
      </c>
      <c r="J111" s="0" t="n">
        <v>534141</v>
      </c>
      <c r="K111" s="0" t="n">
        <v>280175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409150</v>
      </c>
      <c r="C120" s="0" t="n">
        <v>400664</v>
      </c>
      <c r="D120" s="0" t="n">
        <v>451306</v>
      </c>
      <c r="E120" s="0" t="n">
        <v>742169</v>
      </c>
      <c r="F120" s="0" t="n">
        <v>714183</v>
      </c>
      <c r="G120" s="0" t="n">
        <v>666214</v>
      </c>
      <c r="H120" s="0" t="n">
        <v>631890</v>
      </c>
      <c r="I120" s="0" t="n">
        <v>596622</v>
      </c>
      <c r="J120" s="0" t="n">
        <v>536809</v>
      </c>
      <c r="K120" s="0" t="n">
        <v>510938</v>
      </c>
    </row>
    <row r="121" customFormat="false" ht="15.75" hidden="false" customHeight="true" outlineLevel="0" collapsed="false">
      <c r="A121" s="0" t="s">
        <v>119</v>
      </c>
      <c r="B121" s="0" t="n">
        <v>409150</v>
      </c>
      <c r="C121" s="0" t="n">
        <v>400664</v>
      </c>
      <c r="D121" s="0" t="n">
        <v>397306</v>
      </c>
      <c r="E121" s="0" t="n">
        <v>742169</v>
      </c>
      <c r="F121" s="0" t="n">
        <v>714183</v>
      </c>
      <c r="G121" s="0" t="n">
        <v>666214</v>
      </c>
      <c r="H121" s="0" t="n">
        <v>624163</v>
      </c>
      <c r="I121" s="0" t="n">
        <v>581304</v>
      </c>
      <c r="J121" s="0" t="n">
        <v>536809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7727</v>
      </c>
      <c r="I122" s="0" t="n">
        <v>15318</v>
      </c>
      <c r="J122" s="0" t="n">
        <v>0</v>
      </c>
      <c r="K122" s="0" t="n">
        <v>0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0</v>
      </c>
      <c r="C124" s="0" t="n">
        <v>0</v>
      </c>
      <c r="D124" s="0" t="n">
        <v>54000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307133</v>
      </c>
      <c r="C126" s="0" t="n">
        <v>323238</v>
      </c>
      <c r="D126" s="0" t="n">
        <v>366366</v>
      </c>
      <c r="E126" s="0" t="n">
        <v>425016</v>
      </c>
      <c r="F126" s="0" t="n">
        <v>379947</v>
      </c>
      <c r="G126" s="0" t="n">
        <v>336820</v>
      </c>
      <c r="H126" s="0" t="n">
        <v>296426</v>
      </c>
      <c r="I126" s="0" t="n">
        <v>262551</v>
      </c>
      <c r="J126" s="0" t="n">
        <v>232798</v>
      </c>
      <c r="K126" s="0" t="n">
        <v>208007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7834994</v>
      </c>
      <c r="C128" s="0" t="n">
        <v>8260359</v>
      </c>
      <c r="D128" s="0" t="n">
        <v>9209167</v>
      </c>
      <c r="E128" s="0" t="n">
        <v>10165749</v>
      </c>
      <c r="F128" s="0" t="n">
        <v>8156698</v>
      </c>
      <c r="G128" s="0" t="n">
        <v>7512425</v>
      </c>
      <c r="H128" s="0" t="n">
        <v>5218527</v>
      </c>
      <c r="I128" s="0" t="n">
        <v>5272349</v>
      </c>
      <c r="J128" s="0" t="n">
        <v>5965779</v>
      </c>
      <c r="K128" s="0" t="n">
        <v>6638186</v>
      </c>
    </row>
    <row r="129" customFormat="false" ht="15.75" hidden="false" customHeight="true" outlineLevel="0" collapsed="false">
      <c r="A129" s="0" t="s">
        <v>127</v>
      </c>
      <c r="B129" s="0" t="n">
        <v>420091</v>
      </c>
      <c r="C129" s="0" t="n">
        <v>420091</v>
      </c>
      <c r="D129" s="0" t="n">
        <v>0</v>
      </c>
      <c r="E129" s="0" t="n">
        <v>0</v>
      </c>
      <c r="F129" s="0" t="n">
        <v>0</v>
      </c>
      <c r="G129" s="0" t="n">
        <v>300000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500000</v>
      </c>
      <c r="E130" s="0" t="n">
        <v>500000</v>
      </c>
      <c r="F130" s="0" t="n">
        <v>470000</v>
      </c>
      <c r="G130" s="0" t="n">
        <v>0</v>
      </c>
      <c r="H130" s="0" t="n">
        <v>300000</v>
      </c>
      <c r="I130" s="0" t="n">
        <v>300000</v>
      </c>
      <c r="J130" s="0" t="n">
        <v>300000</v>
      </c>
      <c r="K130" s="0" t="n">
        <v>300000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1239310</v>
      </c>
      <c r="C135" s="0" t="n">
        <v>1452589</v>
      </c>
      <c r="D135" s="0" t="n">
        <v>1497102</v>
      </c>
      <c r="E135" s="0" t="n">
        <v>1307153</v>
      </c>
      <c r="F135" s="0" t="n">
        <v>1236973</v>
      </c>
      <c r="G135" s="0" t="n">
        <v>1731571</v>
      </c>
      <c r="H135" s="0" t="n">
        <v>1016646</v>
      </c>
      <c r="I135" s="0" t="n">
        <v>651632</v>
      </c>
      <c r="J135" s="0" t="n">
        <v>721981</v>
      </c>
      <c r="K135" s="0" t="n">
        <v>811555</v>
      </c>
    </row>
    <row r="136" customFormat="false" ht="15.75" hidden="false" customHeight="true" outlineLevel="0" collapsed="false">
      <c r="A136" s="0" t="s">
        <v>134</v>
      </c>
      <c r="B136" s="0" t="n">
        <v>2141485</v>
      </c>
      <c r="C136" s="0" t="n">
        <v>3025638</v>
      </c>
      <c r="D136" s="0" t="n">
        <v>3817390</v>
      </c>
      <c r="E136" s="0" t="n">
        <v>4281783</v>
      </c>
      <c r="F136" s="0" t="n">
        <v>3738859</v>
      </c>
      <c r="G136" s="0" t="n">
        <v>2045694</v>
      </c>
      <c r="H136" s="0" t="n">
        <v>1629781</v>
      </c>
      <c r="I136" s="0" t="n">
        <v>2146428</v>
      </c>
      <c r="J136" s="0" t="n">
        <v>2658771</v>
      </c>
      <c r="K136" s="0" t="n">
        <v>3267216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2500</v>
      </c>
      <c r="C139" s="0" t="n">
        <v>0</v>
      </c>
      <c r="D139" s="0" t="n">
        <v>22556</v>
      </c>
      <c r="E139" s="0" t="n">
        <v>14903</v>
      </c>
      <c r="F139" s="0" t="n">
        <v>35047</v>
      </c>
      <c r="G139" s="0" t="n">
        <v>47960</v>
      </c>
      <c r="H139" s="0" t="n">
        <v>45251</v>
      </c>
      <c r="I139" s="0" t="n">
        <v>19529</v>
      </c>
      <c r="J139" s="0" t="n">
        <v>24744</v>
      </c>
      <c r="K139" s="0" t="n">
        <v>12647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3411923</v>
      </c>
      <c r="C141" s="0" t="n">
        <v>2755351</v>
      </c>
      <c r="D141" s="0" t="n">
        <v>2729435</v>
      </c>
      <c r="E141" s="0" t="n">
        <v>3677162</v>
      </c>
      <c r="F141" s="0" t="n">
        <v>2302986</v>
      </c>
      <c r="G141" s="0" t="n">
        <v>3082928</v>
      </c>
      <c r="H141" s="0" t="n">
        <v>1902125</v>
      </c>
      <c r="I141" s="0" t="n">
        <v>1953777</v>
      </c>
      <c r="J141" s="0" t="n">
        <v>1975420</v>
      </c>
      <c r="K141" s="0" t="n">
        <v>1895868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36902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65543</v>
      </c>
      <c r="C153" s="0" t="n">
        <v>57070</v>
      </c>
      <c r="D153" s="0" t="n">
        <v>64876</v>
      </c>
      <c r="E153" s="0" t="n">
        <v>80476</v>
      </c>
      <c r="F153" s="0" t="n">
        <v>86205</v>
      </c>
      <c r="G153" s="0" t="n">
        <v>87798</v>
      </c>
      <c r="H153" s="0" t="n">
        <v>123590</v>
      </c>
      <c r="I153" s="0" t="n">
        <v>50291</v>
      </c>
      <c r="J153" s="0" t="n">
        <v>135016</v>
      </c>
      <c r="K153" s="0" t="n">
        <v>201585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89346</v>
      </c>
      <c r="C155" s="0" t="n">
        <v>87559</v>
      </c>
      <c r="D155" s="0" t="n">
        <v>91382</v>
      </c>
      <c r="E155" s="0" t="n">
        <v>96057</v>
      </c>
      <c r="F155" s="0" t="n">
        <v>63601</v>
      </c>
      <c r="G155" s="0" t="n">
        <v>65529</v>
      </c>
      <c r="H155" s="0" t="n">
        <v>63998</v>
      </c>
      <c r="I155" s="0" t="n">
        <v>42529</v>
      </c>
      <c r="J155" s="0" t="n">
        <v>43569</v>
      </c>
      <c r="K155" s="0" t="n">
        <v>52052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464796</v>
      </c>
      <c r="C157" s="0" t="n">
        <v>462061</v>
      </c>
      <c r="D157" s="0" t="n">
        <v>486426</v>
      </c>
      <c r="E157" s="0" t="n">
        <v>208215</v>
      </c>
      <c r="F157" s="0" t="n">
        <v>186125</v>
      </c>
      <c r="G157" s="0" t="n">
        <v>150945</v>
      </c>
      <c r="H157" s="0" t="n">
        <v>137136</v>
      </c>
      <c r="I157" s="0" t="n">
        <v>108163</v>
      </c>
      <c r="J157" s="0" t="n">
        <v>106278</v>
      </c>
      <c r="K157" s="0" t="n">
        <v>97263</v>
      </c>
    </row>
    <row r="158" customFormat="false" ht="15.75" hidden="false" customHeight="true" outlineLevel="0" collapsed="false">
      <c r="A158" s="0" t="s">
        <v>156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</row>
    <row r="159" customFormat="false" ht="15.75" hidden="false" customHeight="true" outlineLevel="0" collapsed="false">
      <c r="A159" s="0" t="s">
        <v>157</v>
      </c>
      <c r="B159" s="0" t="n">
        <v>5693509</v>
      </c>
      <c r="C159" s="0" t="n">
        <v>5234721</v>
      </c>
      <c r="D159" s="0" t="n">
        <v>4891777</v>
      </c>
      <c r="E159" s="0" t="n">
        <v>5383966</v>
      </c>
      <c r="F159" s="0" t="n">
        <v>3910937</v>
      </c>
      <c r="G159" s="0" t="n">
        <v>5466731</v>
      </c>
      <c r="H159" s="0" t="n">
        <v>3288746</v>
      </c>
      <c r="I159" s="0" t="n">
        <v>2825921</v>
      </c>
      <c r="J159" s="0" t="n">
        <v>3007008</v>
      </c>
      <c r="K159" s="0" t="n">
        <v>3070970</v>
      </c>
    </row>
    <row r="160" customFormat="false" ht="15.75" hidden="false" customHeight="true" outlineLevel="0" collapsed="false">
      <c r="A160" s="0" t="s">
        <v>158</v>
      </c>
      <c r="B160" s="0" t="n">
        <v>2141485</v>
      </c>
      <c r="C160" s="0" t="n">
        <v>3025638</v>
      </c>
      <c r="D160" s="0" t="n">
        <v>4317390</v>
      </c>
      <c r="E160" s="0" t="n">
        <v>4781783</v>
      </c>
      <c r="F160" s="0" t="n">
        <v>4245761</v>
      </c>
      <c r="G160" s="0" t="n">
        <v>2045694</v>
      </c>
      <c r="H160" s="0" t="n">
        <v>1929781</v>
      </c>
      <c r="I160" s="0" t="n">
        <v>2446428</v>
      </c>
      <c r="J160" s="0" t="n">
        <v>2958771</v>
      </c>
      <c r="K160" s="0" t="n">
        <v>3567216</v>
      </c>
    </row>
    <row r="161" customFormat="false" ht="15.75" hidden="false" customHeight="true" outlineLevel="0" collapsed="false">
      <c r="A161" s="0" t="s">
        <v>159</v>
      </c>
      <c r="B161" s="0" t="n">
        <v>5693509</v>
      </c>
      <c r="C161" s="0" t="n">
        <v>5234721</v>
      </c>
      <c r="D161" s="0" t="n">
        <v>4891777</v>
      </c>
      <c r="E161" s="0" t="n">
        <v>5383966</v>
      </c>
      <c r="F161" s="0" t="n">
        <v>3910937</v>
      </c>
      <c r="G161" s="0" t="n">
        <v>5466731</v>
      </c>
      <c r="H161" s="0" t="n">
        <v>3288746</v>
      </c>
      <c r="I161" s="0" t="n">
        <v>2825921</v>
      </c>
      <c r="J161" s="0" t="n">
        <v>3007008</v>
      </c>
      <c r="K161" s="0" t="n">
        <v>3070970</v>
      </c>
    </row>
    <row r="162" customFormat="false" ht="15.75" hidden="false" customHeight="true" outlineLevel="0" collapsed="false">
      <c r="A162" s="0" t="s">
        <v>160</v>
      </c>
      <c r="B162" s="0" t="n">
        <v>2141485</v>
      </c>
      <c r="C162" s="0" t="n">
        <v>3025638</v>
      </c>
      <c r="D162" s="0" t="n">
        <v>4317390</v>
      </c>
      <c r="E162" s="0" t="n">
        <v>4781783</v>
      </c>
      <c r="F162" s="0" t="n">
        <v>4245761</v>
      </c>
      <c r="G162" s="0" t="n">
        <v>2045694</v>
      </c>
      <c r="H162" s="0" t="n">
        <v>1929781</v>
      </c>
      <c r="I162" s="0" t="n">
        <v>2446428</v>
      </c>
      <c r="J162" s="0" t="n">
        <v>2958771</v>
      </c>
      <c r="K162" s="0" t="n">
        <v>3567216</v>
      </c>
    </row>
    <row r="163" customFormat="false" ht="15.75" hidden="false" customHeight="true" outlineLevel="0" collapsed="false">
      <c r="A163" s="0" t="s">
        <v>161</v>
      </c>
      <c r="B163" s="0" t="n">
        <v>528860</v>
      </c>
      <c r="C163" s="0" t="n">
        <v>537974</v>
      </c>
      <c r="D163" s="0" t="n">
        <v>627688</v>
      </c>
      <c r="E163" s="0" t="n">
        <v>706039</v>
      </c>
      <c r="F163" s="0" t="n">
        <v>729609</v>
      </c>
      <c r="G163" s="0" t="n">
        <v>485370</v>
      </c>
      <c r="H163" s="0" t="n">
        <v>535908</v>
      </c>
      <c r="I163" s="0" t="n">
        <v>587022</v>
      </c>
      <c r="J163" s="0" t="n">
        <v>648205</v>
      </c>
      <c r="K163" s="0" t="n">
        <v>710011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14885832</v>
      </c>
      <c r="C165" s="0" t="n">
        <v>15178928</v>
      </c>
      <c r="D165" s="0" t="n">
        <v>16253050</v>
      </c>
      <c r="E165" s="0" t="n">
        <v>17508507</v>
      </c>
      <c r="F165" s="0" t="n">
        <v>15730559</v>
      </c>
      <c r="G165" s="0" t="n">
        <v>14551060</v>
      </c>
      <c r="H165" s="0" t="n">
        <v>11815560</v>
      </c>
      <c r="I165" s="0" t="n">
        <v>11222926</v>
      </c>
      <c r="J165" s="0" t="n">
        <v>11537032</v>
      </c>
      <c r="K165" s="0" t="n">
        <v>11686442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16243428</v>
      </c>
      <c r="C168" s="0" t="n">
        <v>15774476</v>
      </c>
      <c r="D168" s="0" t="n">
        <v>16260912</v>
      </c>
      <c r="E168" s="0" t="n">
        <v>15526786</v>
      </c>
      <c r="F168" s="0" t="n">
        <v>12515990</v>
      </c>
      <c r="G168" s="0" t="n">
        <v>13325536</v>
      </c>
      <c r="H168" s="0" t="n">
        <v>12072197</v>
      </c>
      <c r="I168" s="0" t="n">
        <v>11441643</v>
      </c>
      <c r="J168" s="0" t="n">
        <v>11207825</v>
      </c>
      <c r="K168" s="0" t="n">
        <v>10769361</v>
      </c>
    </row>
    <row r="169" customFormat="false" ht="15.75" hidden="false" customHeight="true" outlineLevel="0" collapsed="false">
      <c r="A169" s="0" t="s">
        <v>167</v>
      </c>
      <c r="B169" s="0" t="n">
        <v>15607657</v>
      </c>
      <c r="C169" s="0" t="n">
        <v>15595693</v>
      </c>
      <c r="D169" s="0" t="n">
        <v>16158875</v>
      </c>
      <c r="E169" s="0" t="n">
        <v>14546939</v>
      </c>
      <c r="F169" s="0" t="n">
        <v>12602255</v>
      </c>
      <c r="G169" s="0" t="n">
        <v>12805865</v>
      </c>
      <c r="H169" s="0" t="n">
        <v>11989648</v>
      </c>
      <c r="I169" s="0" t="n">
        <v>11175995</v>
      </c>
      <c r="J169" s="0" t="n">
        <v>11019069</v>
      </c>
      <c r="K169" s="0" t="n">
        <v>10752849</v>
      </c>
    </row>
    <row r="170" customFormat="false" ht="15.75" hidden="false" customHeight="true" outlineLevel="0" collapsed="false">
      <c r="A170" s="0" t="s">
        <v>168</v>
      </c>
      <c r="B170" s="0" t="n">
        <v>377432</v>
      </c>
      <c r="C170" s="0" t="n">
        <v>-116508</v>
      </c>
      <c r="D170" s="0" t="n">
        <v>-196679</v>
      </c>
      <c r="E170" s="0" t="n">
        <v>759669</v>
      </c>
      <c r="F170" s="0" t="n">
        <v>-290356</v>
      </c>
      <c r="G170" s="0" t="n">
        <v>515310</v>
      </c>
      <c r="H170" s="0" t="n">
        <v>-77269</v>
      </c>
      <c r="I170" s="0" t="n">
        <v>82744</v>
      </c>
      <c r="J170" s="0" t="n">
        <v>14029</v>
      </c>
      <c r="K170" s="0" t="n">
        <v>-153174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377432</v>
      </c>
      <c r="C172" s="0" t="n">
        <v>-116508</v>
      </c>
      <c r="D172" s="0" t="n">
        <v>-196679</v>
      </c>
      <c r="E172" s="0" t="n">
        <v>759669</v>
      </c>
      <c r="F172" s="0" t="n">
        <v>-290356</v>
      </c>
      <c r="G172" s="0" t="n">
        <v>515310</v>
      </c>
      <c r="H172" s="0" t="n">
        <v>-77269</v>
      </c>
      <c r="I172" s="0" t="n">
        <v>82744</v>
      </c>
      <c r="J172" s="0" t="n">
        <v>14029</v>
      </c>
      <c r="K172" s="0" t="n">
        <v>-153174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258339</v>
      </c>
      <c r="C174" s="0" t="n">
        <v>295291</v>
      </c>
      <c r="D174" s="0" t="n">
        <v>298716</v>
      </c>
      <c r="E174" s="0" t="n">
        <v>220178</v>
      </c>
      <c r="F174" s="0" t="n">
        <v>204091</v>
      </c>
      <c r="G174" s="0" t="n">
        <v>4361</v>
      </c>
      <c r="H174" s="0" t="n">
        <v>159818</v>
      </c>
      <c r="I174" s="0" t="n">
        <v>182904</v>
      </c>
      <c r="J174" s="0" t="n">
        <v>174727</v>
      </c>
      <c r="K174" s="0" t="n">
        <v>169686</v>
      </c>
    </row>
    <row r="175" customFormat="false" ht="15.75" hidden="false" customHeight="true" outlineLevel="0" collapsed="false">
      <c r="A175" s="0" t="s">
        <v>173</v>
      </c>
      <c r="B175" s="0" t="n">
        <v>567</v>
      </c>
      <c r="C175" s="0" t="n">
        <v>44721</v>
      </c>
      <c r="D175" s="0" t="n">
        <v>21004</v>
      </c>
      <c r="E175" s="0" t="n">
        <v>623</v>
      </c>
      <c r="F175" s="0" t="n">
        <v>1023</v>
      </c>
      <c r="G175" s="0" t="n">
        <v>4361</v>
      </c>
      <c r="H175" s="0" t="n">
        <v>694</v>
      </c>
      <c r="I175" s="0" t="n">
        <v>409</v>
      </c>
      <c r="J175" s="0" t="n">
        <v>399</v>
      </c>
      <c r="K175" s="0" t="n">
        <v>167923</v>
      </c>
    </row>
    <row r="176" customFormat="false" ht="15.75" hidden="false" customHeight="true" outlineLevel="0" collapsed="false">
      <c r="A176" s="0" t="s">
        <v>174</v>
      </c>
      <c r="B176" s="0" t="n">
        <v>15954938</v>
      </c>
      <c r="C176" s="0" t="n">
        <v>15565583</v>
      </c>
      <c r="D176" s="0" t="n">
        <v>16072113</v>
      </c>
      <c r="E176" s="0" t="n">
        <v>15786046</v>
      </c>
      <c r="F176" s="0" t="n">
        <v>13279221</v>
      </c>
      <c r="G176" s="0" t="n">
        <v>12792952</v>
      </c>
      <c r="H176" s="0" t="n">
        <v>11252486</v>
      </c>
      <c r="I176" s="0" t="n">
        <v>10884509</v>
      </c>
      <c r="J176" s="0" t="n">
        <v>10339483</v>
      </c>
      <c r="K176" s="0" t="n">
        <v>10089662</v>
      </c>
    </row>
    <row r="177" customFormat="false" ht="15.75" hidden="false" customHeight="true" outlineLevel="0" collapsed="false">
      <c r="A177" s="0" t="s">
        <v>175</v>
      </c>
      <c r="B177" s="0" t="n">
        <v>11242690</v>
      </c>
      <c r="C177" s="0" t="n">
        <v>10100470</v>
      </c>
      <c r="D177" s="0" t="n">
        <v>10293789</v>
      </c>
      <c r="E177" s="0" t="n">
        <v>10067088</v>
      </c>
      <c r="F177" s="0" t="n">
        <v>8517441</v>
      </c>
      <c r="G177" s="0" t="n">
        <v>8713514</v>
      </c>
      <c r="H177" s="0" t="n">
        <v>7609650</v>
      </c>
      <c r="I177" s="0" t="n">
        <v>7525108</v>
      </c>
      <c r="J177" s="0" t="n">
        <v>7091591</v>
      </c>
      <c r="K177" s="0" t="n">
        <v>6948166</v>
      </c>
    </row>
    <row r="178" customFormat="false" ht="15.75" hidden="false" customHeight="true" outlineLevel="0" collapsed="false">
      <c r="A178" s="0" t="s">
        <v>176</v>
      </c>
      <c r="B178" s="0" t="n">
        <v>2610510</v>
      </c>
      <c r="C178" s="0" t="n">
        <v>2870170</v>
      </c>
      <c r="D178" s="0" t="n">
        <v>3238511</v>
      </c>
      <c r="E178" s="0" t="n">
        <v>3150242</v>
      </c>
      <c r="F178" s="0" t="n">
        <v>2710429</v>
      </c>
      <c r="G178" s="0" t="n">
        <v>2247291</v>
      </c>
      <c r="H178" s="0" t="n">
        <v>2038220</v>
      </c>
      <c r="I178" s="0" t="n">
        <v>1867903</v>
      </c>
      <c r="J178" s="0" t="n">
        <v>1854019</v>
      </c>
      <c r="K178" s="0" t="n">
        <v>1758812</v>
      </c>
    </row>
    <row r="179" customFormat="false" ht="15.75" hidden="false" customHeight="true" outlineLevel="0" collapsed="false">
      <c r="A179" s="0" t="s">
        <v>177</v>
      </c>
      <c r="B179" s="0" t="n">
        <v>18343</v>
      </c>
      <c r="C179" s="0" t="n">
        <v>18174</v>
      </c>
      <c r="D179" s="0" t="n">
        <v>23331</v>
      </c>
      <c r="E179" s="0" t="n">
        <v>22567</v>
      </c>
      <c r="F179" s="0" t="n">
        <v>18836</v>
      </c>
      <c r="G179" s="0" t="n">
        <v>10401</v>
      </c>
      <c r="H179" s="0" t="n">
        <v>8155</v>
      </c>
      <c r="I179" s="0" t="n">
        <v>7283</v>
      </c>
      <c r="J179" s="0" t="n">
        <v>6001</v>
      </c>
      <c r="K179" s="0" t="n">
        <v>5881</v>
      </c>
    </row>
    <row r="180" customFormat="false" ht="15.75" hidden="false" customHeight="true" outlineLevel="0" collapsed="false">
      <c r="A180" s="0" t="s">
        <v>178</v>
      </c>
      <c r="B180" s="0" t="n">
        <v>1290406</v>
      </c>
      <c r="C180" s="0" t="n">
        <v>1364011</v>
      </c>
      <c r="D180" s="0" t="n">
        <v>1347707</v>
      </c>
      <c r="E180" s="0" t="n">
        <v>1415251</v>
      </c>
      <c r="F180" s="0" t="n">
        <v>1168049</v>
      </c>
      <c r="G180" s="0" t="n">
        <v>1052737</v>
      </c>
      <c r="H180" s="0" t="n">
        <v>961818</v>
      </c>
      <c r="I180" s="0" t="n">
        <v>832621</v>
      </c>
      <c r="J180" s="0" t="n">
        <v>730776</v>
      </c>
      <c r="K180" s="0" t="n">
        <v>744993</v>
      </c>
    </row>
    <row r="181" customFormat="false" ht="15.75" hidden="false" customHeight="true" outlineLevel="0" collapsed="false">
      <c r="A181" s="0" t="s">
        <v>179</v>
      </c>
      <c r="B181" s="0" t="n">
        <v>912502</v>
      </c>
      <c r="C181" s="0" t="n">
        <v>932236</v>
      </c>
      <c r="D181" s="0" t="n">
        <v>964994</v>
      </c>
      <c r="E181" s="0" t="n">
        <v>1025988</v>
      </c>
      <c r="F181" s="0" t="n">
        <v>850940</v>
      </c>
      <c r="G181" s="0" t="n">
        <v>766549</v>
      </c>
      <c r="H181" s="0" t="n">
        <v>715435</v>
      </c>
      <c r="I181" s="0" t="n">
        <v>652336</v>
      </c>
      <c r="J181" s="0" t="n">
        <v>561920</v>
      </c>
      <c r="K181" s="0" t="n">
        <v>586375</v>
      </c>
    </row>
    <row r="182" customFormat="false" ht="15.75" hidden="false" customHeight="true" outlineLevel="0" collapsed="false">
      <c r="A182" s="0" t="s">
        <v>180</v>
      </c>
      <c r="B182" s="0" t="n">
        <v>274517</v>
      </c>
      <c r="C182" s="0" t="n">
        <v>285144</v>
      </c>
      <c r="D182" s="0" t="n">
        <v>281654</v>
      </c>
      <c r="E182" s="0" t="n">
        <v>302151</v>
      </c>
      <c r="F182" s="0" t="n">
        <v>240517</v>
      </c>
      <c r="G182" s="0" t="n">
        <v>220421</v>
      </c>
      <c r="H182" s="0" t="n">
        <v>189742</v>
      </c>
      <c r="I182" s="0" t="n">
        <v>120647</v>
      </c>
      <c r="J182" s="0" t="n">
        <v>117608</v>
      </c>
      <c r="K182" s="0" t="n">
        <v>128955</v>
      </c>
    </row>
    <row r="183" customFormat="false" ht="15.75" hidden="false" customHeight="true" outlineLevel="0" collapsed="false">
      <c r="A183" s="0" t="s">
        <v>181</v>
      </c>
      <c r="B183" s="0" t="n">
        <v>63497</v>
      </c>
      <c r="C183" s="0" t="n">
        <v>68081</v>
      </c>
      <c r="D183" s="0" t="n">
        <v>101059</v>
      </c>
      <c r="E183" s="0" t="n">
        <v>87112</v>
      </c>
      <c r="F183" s="0" t="n">
        <v>63301</v>
      </c>
      <c r="G183" s="0" t="n">
        <v>54698</v>
      </c>
      <c r="H183" s="0" t="n">
        <v>47053</v>
      </c>
      <c r="I183" s="0" t="n">
        <v>33608</v>
      </c>
      <c r="J183" s="0" t="n">
        <v>31398</v>
      </c>
      <c r="K183" s="0" t="n">
        <v>29663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39890</v>
      </c>
      <c r="C185" s="0" t="n">
        <v>78550</v>
      </c>
      <c r="D185" s="0" t="n">
        <v>0</v>
      </c>
      <c r="E185" s="0" t="n">
        <v>0</v>
      </c>
      <c r="F185" s="0" t="n">
        <v>13291</v>
      </c>
      <c r="G185" s="0" t="n">
        <v>11069</v>
      </c>
      <c r="H185" s="0" t="n">
        <v>9588</v>
      </c>
      <c r="I185" s="0" t="n">
        <v>26030</v>
      </c>
      <c r="J185" s="0" t="n">
        <v>19850</v>
      </c>
      <c r="K185" s="0" t="n">
        <v>0</v>
      </c>
    </row>
    <row r="186" customFormat="false" ht="15.75" hidden="false" customHeight="true" outlineLevel="0" collapsed="false">
      <c r="A186" s="0" t="s">
        <v>184</v>
      </c>
      <c r="B186" s="0" t="n">
        <v>103387</v>
      </c>
      <c r="C186" s="0" t="n">
        <v>146631</v>
      </c>
      <c r="D186" s="0" t="n">
        <v>101059</v>
      </c>
      <c r="E186" s="0" t="n">
        <v>87112</v>
      </c>
      <c r="F186" s="0" t="n">
        <v>76592</v>
      </c>
      <c r="G186" s="0" t="n">
        <v>65767</v>
      </c>
      <c r="H186" s="0" t="n">
        <v>56641</v>
      </c>
      <c r="I186" s="0" t="n">
        <v>59638</v>
      </c>
      <c r="J186" s="0" t="n">
        <v>51248</v>
      </c>
      <c r="K186" s="0" t="n">
        <v>29663</v>
      </c>
    </row>
    <row r="187" customFormat="false" ht="15.75" hidden="false" customHeight="true" outlineLevel="0" collapsed="false">
      <c r="A187" s="0" t="s">
        <v>185</v>
      </c>
      <c r="B187" s="0" t="n">
        <v>1134862</v>
      </c>
      <c r="C187" s="0" t="n">
        <v>1051642</v>
      </c>
      <c r="D187" s="0" t="n">
        <v>1124505</v>
      </c>
      <c r="E187" s="0" t="n">
        <v>1054068</v>
      </c>
      <c r="F187" s="0" t="n">
        <v>776033</v>
      </c>
      <c r="G187" s="0" t="n">
        <v>586436</v>
      </c>
      <c r="H187" s="0" t="n">
        <v>553359</v>
      </c>
      <c r="I187" s="0" t="n">
        <v>548263</v>
      </c>
      <c r="J187" s="0" t="n">
        <v>549597</v>
      </c>
      <c r="K187" s="0" t="n">
        <v>542144</v>
      </c>
    </row>
    <row r="188" customFormat="false" ht="15.75" hidden="false" customHeight="true" outlineLevel="0" collapsed="false">
      <c r="A188" s="0" t="s">
        <v>186</v>
      </c>
      <c r="B188" s="0" t="n">
        <v>14606</v>
      </c>
      <c r="C188" s="0" t="n">
        <v>59765</v>
      </c>
      <c r="D188" s="0" t="n">
        <v>64929</v>
      </c>
      <c r="E188" s="0" t="n">
        <v>53119</v>
      </c>
      <c r="F188" s="0" t="n">
        <v>31257</v>
      </c>
      <c r="G188" s="0" t="n">
        <v>10554</v>
      </c>
      <c r="H188" s="0" t="n">
        <v>8943</v>
      </c>
      <c r="I188" s="0" t="n">
        <v>6164</v>
      </c>
      <c r="J188" s="0" t="n">
        <v>6772</v>
      </c>
      <c r="K188" s="0" t="n">
        <v>8062</v>
      </c>
    </row>
    <row r="189" customFormat="false" ht="15.75" hidden="false" customHeight="true" outlineLevel="0" collapsed="false">
      <c r="A189" s="0" t="s">
        <v>187</v>
      </c>
      <c r="B189" s="0" t="n">
        <v>934740</v>
      </c>
      <c r="C189" s="0" t="n">
        <v>979693</v>
      </c>
      <c r="D189" s="0" t="n">
        <v>1006617</v>
      </c>
      <c r="E189" s="0" t="n">
        <v>953288</v>
      </c>
      <c r="F189" s="0" t="n">
        <v>696532</v>
      </c>
      <c r="G189" s="0" t="n">
        <v>528820</v>
      </c>
      <c r="H189" s="0" t="n">
        <v>510688</v>
      </c>
      <c r="I189" s="0" t="n">
        <v>501060</v>
      </c>
      <c r="J189" s="0" t="n">
        <v>501193</v>
      </c>
      <c r="K189" s="0" t="n">
        <v>496343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949346</v>
      </c>
      <c r="C191" s="0" t="n">
        <v>1039458</v>
      </c>
      <c r="D191" s="0" t="n">
        <v>1071546</v>
      </c>
      <c r="E191" s="0" t="n">
        <v>1006407</v>
      </c>
      <c r="F191" s="0" t="n">
        <v>727789</v>
      </c>
      <c r="G191" s="0" t="n">
        <v>539374</v>
      </c>
      <c r="H191" s="0" t="n">
        <v>519631</v>
      </c>
      <c r="I191" s="0" t="n">
        <v>507224</v>
      </c>
      <c r="J191" s="0" t="n">
        <v>507965</v>
      </c>
      <c r="K191" s="0" t="n">
        <v>504405</v>
      </c>
    </row>
    <row r="192" customFormat="false" ht="15.75" hidden="false" customHeight="true" outlineLevel="0" collapsed="false">
      <c r="A192" s="0" t="s">
        <v>190</v>
      </c>
      <c r="B192" s="0" t="n">
        <v>185516</v>
      </c>
      <c r="C192" s="0" t="n">
        <v>12184</v>
      </c>
      <c r="D192" s="0" t="n">
        <v>52959</v>
      </c>
      <c r="E192" s="0" t="n">
        <v>47661</v>
      </c>
      <c r="F192" s="0" t="n">
        <v>48244</v>
      </c>
      <c r="G192" s="0" t="n">
        <v>47062</v>
      </c>
      <c r="H192" s="0" t="n">
        <v>33728</v>
      </c>
      <c r="I192" s="0" t="n">
        <v>41039</v>
      </c>
      <c r="J192" s="0" t="n">
        <v>41632</v>
      </c>
      <c r="K192" s="0" t="n">
        <v>37739</v>
      </c>
    </row>
    <row r="193" customFormat="false" ht="15.75" hidden="false" customHeight="true" outlineLevel="0" collapsed="false">
      <c r="A193" s="0" t="s">
        <v>191</v>
      </c>
      <c r="B193" s="0" t="n">
        <v>-433075</v>
      </c>
      <c r="C193" s="0" t="n">
        <v>67652</v>
      </c>
      <c r="D193" s="0" t="n">
        <v>-82731</v>
      </c>
      <c r="E193" s="0" t="n">
        <v>-72094</v>
      </c>
      <c r="F193" s="0" t="n">
        <v>-22749</v>
      </c>
      <c r="G193" s="0" t="n">
        <v>-259</v>
      </c>
      <c r="H193" s="0" t="n">
        <v>2027</v>
      </c>
      <c r="I193" s="0" t="n">
        <v>-8181</v>
      </c>
      <c r="J193" s="0" t="n">
        <v>-17195</v>
      </c>
      <c r="K193" s="0" t="n">
        <v>20996</v>
      </c>
    </row>
    <row r="194" customFormat="false" ht="15.75" hidden="false" customHeight="true" outlineLevel="0" collapsed="false">
      <c r="A194" s="0" t="s">
        <v>192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91202</v>
      </c>
      <c r="C196" s="0" t="n">
        <v>93464</v>
      </c>
      <c r="D196" s="0" t="n">
        <v>127001</v>
      </c>
      <c r="E196" s="0" t="n">
        <v>148924</v>
      </c>
      <c r="F196" s="0" t="n">
        <v>111182</v>
      </c>
      <c r="G196" s="0" t="n">
        <v>182832</v>
      </c>
      <c r="H196" s="0" t="n">
        <v>79257</v>
      </c>
      <c r="I196" s="0" t="n">
        <v>111512</v>
      </c>
      <c r="J196" s="0" t="n">
        <v>124694</v>
      </c>
      <c r="K196" s="0" t="n">
        <v>68670</v>
      </c>
    </row>
    <row r="197" customFormat="false" ht="15.75" hidden="false" customHeight="true" outlineLevel="0" collapsed="false">
      <c r="A197" s="0" t="s">
        <v>195</v>
      </c>
      <c r="B197" s="0" t="n">
        <v>288490</v>
      </c>
      <c r="C197" s="0" t="n">
        <v>208893</v>
      </c>
      <c r="D197" s="0" t="n">
        <v>188799</v>
      </c>
      <c r="E197" s="0" t="n">
        <v>-259260</v>
      </c>
      <c r="F197" s="0" t="n">
        <v>-763231</v>
      </c>
      <c r="G197" s="0" t="n">
        <v>532584</v>
      </c>
      <c r="H197" s="0" t="n">
        <v>819711</v>
      </c>
      <c r="I197" s="0" t="n">
        <v>557134</v>
      </c>
      <c r="J197" s="0" t="n">
        <v>868342</v>
      </c>
      <c r="K197" s="0" t="n">
        <v>679699</v>
      </c>
    </row>
    <row r="198" customFormat="false" ht="15.75" hidden="false" customHeight="true" outlineLevel="0" collapsed="false">
      <c r="A198" s="0" t="s">
        <v>196</v>
      </c>
      <c r="B198" s="0" t="n">
        <v>2713758</v>
      </c>
      <c r="C198" s="0" t="n">
        <v>2624546</v>
      </c>
      <c r="D198" s="0" t="n">
        <v>2661011</v>
      </c>
      <c r="E198" s="0" t="n">
        <v>2210059</v>
      </c>
      <c r="F198" s="0" t="n">
        <v>1180851</v>
      </c>
      <c r="G198" s="0" t="n">
        <v>2171757</v>
      </c>
      <c r="H198" s="0" t="n">
        <v>2334888</v>
      </c>
      <c r="I198" s="0" t="n">
        <v>1938018</v>
      </c>
      <c r="J198" s="0" t="n">
        <v>2148715</v>
      </c>
      <c r="K198" s="0" t="n">
        <v>1966836</v>
      </c>
    </row>
    <row r="199" customFormat="false" ht="15.75" hidden="false" customHeight="true" outlineLevel="0" collapsed="false">
      <c r="A199" s="0" t="s">
        <v>197</v>
      </c>
      <c r="B199" s="0" t="n">
        <v>-123077</v>
      </c>
      <c r="C199" s="0" t="n">
        <v>-137947</v>
      </c>
      <c r="D199" s="0" t="n">
        <v>-43779</v>
      </c>
      <c r="E199" s="0" t="n">
        <v>-19660</v>
      </c>
      <c r="F199" s="0" t="n">
        <v>-5208</v>
      </c>
      <c r="G199" s="0" t="n">
        <v>11623</v>
      </c>
      <c r="H199" s="0" t="n">
        <v>3002</v>
      </c>
      <c r="I199" s="0" t="n">
        <v>-37956</v>
      </c>
      <c r="J199" s="0" t="n">
        <v>-76405</v>
      </c>
      <c r="K199" s="0" t="n">
        <v>-246946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30062</v>
      </c>
      <c r="C204" s="0" t="n">
        <v>14629</v>
      </c>
      <c r="D204" s="0" t="n">
        <v>57215</v>
      </c>
      <c r="E204" s="0" t="n">
        <v>51377</v>
      </c>
      <c r="F204" s="0" t="n">
        <v>66053</v>
      </c>
      <c r="G204" s="0" t="n">
        <v>64222</v>
      </c>
      <c r="H204" s="0" t="n">
        <v>47141</v>
      </c>
      <c r="I204" s="0" t="n">
        <v>42032</v>
      </c>
      <c r="J204" s="0" t="n">
        <v>33770</v>
      </c>
      <c r="K204" s="0" t="n">
        <v>30925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30062</v>
      </c>
      <c r="C211" s="0" t="n">
        <v>14629</v>
      </c>
      <c r="D211" s="0" t="n">
        <v>57215</v>
      </c>
      <c r="E211" s="0" t="n">
        <v>51377</v>
      </c>
      <c r="F211" s="0" t="n">
        <v>66053</v>
      </c>
      <c r="G211" s="0" t="n">
        <v>64222</v>
      </c>
      <c r="H211" s="0" t="n">
        <v>47141</v>
      </c>
      <c r="I211" s="0" t="n">
        <v>42032</v>
      </c>
      <c r="J211" s="0" t="n">
        <v>33770</v>
      </c>
      <c r="K211" s="0" t="n">
        <v>30925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153139</v>
      </c>
      <c r="C214" s="0" t="n">
        <v>152576</v>
      </c>
      <c r="D214" s="0" t="n">
        <v>100916</v>
      </c>
      <c r="E214" s="0" t="n">
        <v>71120</v>
      </c>
      <c r="F214" s="0" t="n">
        <v>71239</v>
      </c>
      <c r="G214" s="0" t="n">
        <v>52555</v>
      </c>
      <c r="H214" s="0" t="n">
        <v>44139</v>
      </c>
      <c r="I214" s="0" t="n">
        <v>79988</v>
      </c>
      <c r="J214" s="0" t="n">
        <v>110173</v>
      </c>
      <c r="K214" s="0" t="n">
        <v>277863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7500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-78</v>
      </c>
      <c r="E217" s="0" t="n">
        <v>83</v>
      </c>
      <c r="F217" s="0" t="n">
        <v>-22</v>
      </c>
      <c r="G217" s="0" t="n">
        <v>-44</v>
      </c>
      <c r="H217" s="0" t="n">
        <v>0</v>
      </c>
      <c r="I217" s="0" t="n">
        <v>0</v>
      </c>
      <c r="J217" s="0" t="n">
        <v>-2</v>
      </c>
      <c r="K217" s="0" t="n">
        <v>-8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-720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720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720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-8406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11729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20135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165413</v>
      </c>
      <c r="C237" s="0" t="n">
        <v>70946</v>
      </c>
      <c r="D237" s="0" t="n">
        <v>144300</v>
      </c>
      <c r="E237" s="0" t="n">
        <v>-278920</v>
      </c>
      <c r="F237" s="0" t="n">
        <v>-768439</v>
      </c>
      <c r="G237" s="0" t="n">
        <v>544207</v>
      </c>
      <c r="H237" s="0" t="n">
        <v>822713</v>
      </c>
      <c r="I237" s="0" t="n">
        <v>519178</v>
      </c>
      <c r="J237" s="0" t="n">
        <v>791937</v>
      </c>
      <c r="K237" s="0" t="n">
        <v>424347</v>
      </c>
    </row>
    <row r="238" customFormat="false" ht="15.75" hidden="false" customHeight="true" outlineLevel="0" collapsed="false">
      <c r="A238" s="0" t="s">
        <v>231</v>
      </c>
      <c r="B238" s="0" t="n">
        <v>16414</v>
      </c>
      <c r="C238" s="0" t="n">
        <v>12775</v>
      </c>
      <c r="D238" s="0" t="n">
        <v>15313</v>
      </c>
      <c r="E238" s="0" t="n">
        <v>1669</v>
      </c>
      <c r="F238" s="0" t="n">
        <v>0</v>
      </c>
      <c r="G238" s="0" t="n">
        <v>126786</v>
      </c>
      <c r="H238" s="0" t="n">
        <v>194286</v>
      </c>
      <c r="I238" s="0" t="n">
        <v>168237</v>
      </c>
      <c r="J238" s="0" t="n">
        <v>257796</v>
      </c>
      <c r="K238" s="0" t="n">
        <v>144172</v>
      </c>
    </row>
    <row r="239" customFormat="false" ht="15.75" hidden="false" customHeight="true" outlineLevel="0" collapsed="false">
      <c r="A239" s="0" t="s">
        <v>232</v>
      </c>
      <c r="B239" s="0" t="n">
        <v>16840</v>
      </c>
      <c r="C239" s="0" t="n">
        <v>12775</v>
      </c>
      <c r="D239" s="0" t="n">
        <v>15313</v>
      </c>
      <c r="E239" s="0" t="n">
        <v>1669</v>
      </c>
      <c r="F239" s="0" t="n">
        <v>0</v>
      </c>
      <c r="G239" s="0" t="n">
        <v>131237</v>
      </c>
      <c r="H239" s="0" t="n">
        <v>195488</v>
      </c>
      <c r="I239" s="0" t="n">
        <v>162791</v>
      </c>
      <c r="J239" s="0" t="n">
        <v>241307</v>
      </c>
      <c r="K239" s="0" t="n">
        <v>144172</v>
      </c>
    </row>
    <row r="240" customFormat="false" ht="15.75" hidden="false" customHeight="true" outlineLevel="0" collapsed="false">
      <c r="A240" s="0" t="s">
        <v>233</v>
      </c>
      <c r="B240" s="0" t="n">
        <v>-426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-4451</v>
      </c>
      <c r="H240" s="0" t="n">
        <v>-1202</v>
      </c>
      <c r="I240" s="0" t="n">
        <v>5446</v>
      </c>
      <c r="J240" s="0" t="n">
        <v>2467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14022</v>
      </c>
      <c r="K241" s="0" t="n">
        <v>0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148999</v>
      </c>
      <c r="C245" s="0" t="n">
        <v>58171</v>
      </c>
      <c r="D245" s="0" t="n">
        <v>128987</v>
      </c>
      <c r="E245" s="0" t="n">
        <v>-280589</v>
      </c>
      <c r="F245" s="0" t="n">
        <v>-768439</v>
      </c>
      <c r="G245" s="0" t="n">
        <v>417421</v>
      </c>
      <c r="H245" s="0" t="n">
        <v>628427</v>
      </c>
      <c r="I245" s="0" t="n">
        <v>350941</v>
      </c>
      <c r="J245" s="0" t="n">
        <v>534141</v>
      </c>
      <c r="K245" s="0" t="n">
        <v>280175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6963491</v>
      </c>
      <c r="C5" s="10" t="n">
        <f aca="false">$M5*input!C4</f>
        <v>7883168</v>
      </c>
      <c r="D5" s="10" t="n">
        <f aca="false">$M5*input!D4</f>
        <v>8847151</v>
      </c>
      <c r="E5" s="10" t="n">
        <f aca="false">$M5*input!E4</f>
        <v>9038097</v>
      </c>
      <c r="F5" s="10" t="n">
        <f aca="false">$M5*input!F4</f>
        <v>9481177</v>
      </c>
      <c r="G5" s="10" t="n">
        <f aca="false">$M5*input!G4</f>
        <v>8369855</v>
      </c>
      <c r="H5" s="10" t="n">
        <f aca="false">$M5*input!H4</f>
        <v>6039898</v>
      </c>
      <c r="I5" s="10" t="n">
        <f aca="false">$M5*input!I4</f>
        <v>6274383</v>
      </c>
      <c r="J5" s="10" t="n">
        <f aca="false">$M5*input!J4</f>
        <v>6685683</v>
      </c>
      <c r="K5" s="10" t="n">
        <f aca="false">$M5*input!K4</f>
        <v>7132515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34699</v>
      </c>
      <c r="C6" s="2" t="n">
        <f aca="false">$M6*input!C5</f>
        <v>40584</v>
      </c>
      <c r="D6" s="2" t="n">
        <f aca="false">$M6*input!D5</f>
        <v>92011</v>
      </c>
      <c r="E6" s="2" t="n">
        <f aca="false">$M6*input!E5</f>
        <v>90137</v>
      </c>
      <c r="F6" s="2" t="n">
        <f aca="false">$M6*input!F5</f>
        <v>53975</v>
      </c>
      <c r="G6" s="2" t="n">
        <f aca="false">$M6*input!G5</f>
        <v>13063</v>
      </c>
      <c r="H6" s="2" t="n">
        <f aca="false">$M6*input!H5</f>
        <v>13065</v>
      </c>
      <c r="I6" s="2" t="n">
        <f aca="false">$M6*input!I5</f>
        <v>5538</v>
      </c>
      <c r="J6" s="2" t="n">
        <f aca="false">$M6*input!J5</f>
        <v>7052</v>
      </c>
      <c r="K6" s="2" t="n">
        <f aca="false">$M6*input!K5</f>
        <v>10450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7507</v>
      </c>
      <c r="C9" s="2" t="n">
        <f aca="false">$M9*input!C8</f>
        <v>8708</v>
      </c>
      <c r="D9" s="2" t="n">
        <f aca="false">$M9*input!D8</f>
        <v>55450</v>
      </c>
      <c r="E9" s="2" t="n">
        <f aca="false">$M9*input!E8</f>
        <v>73475</v>
      </c>
      <c r="F9" s="2" t="n">
        <f aca="false">$M9*input!F8</f>
        <v>47663</v>
      </c>
      <c r="G9" s="2" t="n">
        <f aca="false">$M9*input!G8</f>
        <v>11882</v>
      </c>
      <c r="H9" s="2" t="n">
        <f aca="false">$M9*input!H8</f>
        <v>0</v>
      </c>
      <c r="I9" s="2" t="n">
        <f aca="false">$M9*input!I8</f>
        <v>0</v>
      </c>
      <c r="J9" s="2" t="n">
        <f aca="false">$M9*input!J8</f>
        <v>0</v>
      </c>
      <c r="K9" s="2" t="n">
        <f aca="false">$M9*input!K8</f>
        <v>0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3613</v>
      </c>
      <c r="C10" s="2" t="n">
        <f aca="false">$M10*input!C9</f>
        <v>3890</v>
      </c>
      <c r="D10" s="2" t="n">
        <f aca="false">$M10*input!D9</f>
        <v>4167</v>
      </c>
      <c r="E10" s="2" t="n">
        <f aca="false">$M10*input!E9</f>
        <v>4445</v>
      </c>
      <c r="F10" s="2" t="n">
        <f aca="false">$M10*input!F9</f>
        <v>4723</v>
      </c>
      <c r="G10" s="2" t="n">
        <f aca="false">$M10*input!G9</f>
        <v>0</v>
      </c>
      <c r="H10" s="2" t="n">
        <f aca="false">$M10*input!H9</f>
        <v>12637</v>
      </c>
      <c r="I10" s="2" t="n">
        <f aca="false">$M10*input!I9</f>
        <v>3856</v>
      </c>
      <c r="J10" s="2" t="n">
        <f aca="false">$M10*input!J9</f>
        <v>2068</v>
      </c>
      <c r="K10" s="2" t="n">
        <f aca="false">$M10*input!K9</f>
        <v>3930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20649</v>
      </c>
      <c r="C11" s="2" t="n">
        <f aca="false">$M11*input!C10</f>
        <v>22026</v>
      </c>
      <c r="D11" s="2" t="n">
        <f aca="false">$M11*input!D10</f>
        <v>23404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20649</v>
      </c>
      <c r="C12" s="2" t="n">
        <f aca="false">$M12*input!C11</f>
        <v>22026</v>
      </c>
      <c r="D12" s="2" t="n">
        <f aca="false">$M12*input!D11</f>
        <v>23404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2930</v>
      </c>
      <c r="C14" s="2" t="n">
        <f aca="false">$M14*input!C13</f>
        <v>5960</v>
      </c>
      <c r="D14" s="2" t="n">
        <f aca="false">$M14*input!D13</f>
        <v>8990</v>
      </c>
      <c r="E14" s="2" t="n">
        <f aca="false">$M14*input!E13</f>
        <v>12217</v>
      </c>
      <c r="F14" s="2" t="n">
        <f aca="false">$M14*input!F13</f>
        <v>1589</v>
      </c>
      <c r="G14" s="2" t="n">
        <f aca="false">$M14*input!G13</f>
        <v>1181</v>
      </c>
      <c r="H14" s="2" t="n">
        <f aca="false">$M14*input!H13</f>
        <v>428</v>
      </c>
      <c r="I14" s="2" t="n">
        <f aca="false">$M14*input!I13</f>
        <v>1682</v>
      </c>
      <c r="J14" s="2" t="n">
        <f aca="false">$M14*input!J13</f>
        <v>4984</v>
      </c>
      <c r="K14" s="2" t="n">
        <f aca="false">$M14*input!K13</f>
        <v>6520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0</v>
      </c>
      <c r="E15" s="2" t="n">
        <f aca="false">$M15*input!E14</f>
        <v>0</v>
      </c>
      <c r="F15" s="2" t="n">
        <f aca="false">$M15*input!F14</f>
        <v>0</v>
      </c>
      <c r="G15" s="2" t="n">
        <f aca="false">$M15*input!G14</f>
        <v>0</v>
      </c>
      <c r="H15" s="2" t="n">
        <f aca="false">$M15*input!H14</f>
        <v>0</v>
      </c>
      <c r="I15" s="2" t="n">
        <f aca="false">$M15*input!I14</f>
        <v>0</v>
      </c>
      <c r="J15" s="2" t="n">
        <f aca="false">$M15*input!J14</f>
        <v>0</v>
      </c>
      <c r="K15" s="2" t="n">
        <f aca="false">$M15*input!K14</f>
        <v>192497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6765600</v>
      </c>
      <c r="C16" s="2" t="n">
        <f aca="false">$M16*input!C15</f>
        <v>7679392</v>
      </c>
      <c r="D16" s="2" t="n">
        <f aca="false">$M16*input!D15</f>
        <v>8591948</v>
      </c>
      <c r="E16" s="2" t="n">
        <f aca="false">$M16*input!E15</f>
        <v>8784048</v>
      </c>
      <c r="F16" s="2" t="n">
        <f aca="false">$M16*input!F15</f>
        <v>9263440</v>
      </c>
      <c r="G16" s="2" t="n">
        <f aca="false">$M16*input!G15</f>
        <v>8192901</v>
      </c>
      <c r="H16" s="2" t="n">
        <f aca="false">$M16*input!H15</f>
        <v>5864242</v>
      </c>
      <c r="I16" s="2" t="n">
        <f aca="false">$M16*input!I15</f>
        <v>6106254</v>
      </c>
      <c r="J16" s="2" t="n">
        <f aca="false">$M16*input!J15</f>
        <v>6516040</v>
      </c>
      <c r="K16" s="2" t="n">
        <f aca="false">$M16*input!K15</f>
        <v>6959474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4148317</v>
      </c>
      <c r="C18" s="2" t="n">
        <f aca="false">$M18*input!C17</f>
        <v>4421481</v>
      </c>
      <c r="D18" s="2" t="n">
        <f aca="false">$M18*input!D17</f>
        <v>4655125</v>
      </c>
      <c r="E18" s="2" t="n">
        <f aca="false">$M18*input!E17</f>
        <v>4380818</v>
      </c>
      <c r="F18" s="2" t="n">
        <f aca="false">$M18*input!F17</f>
        <v>4511248</v>
      </c>
      <c r="G18" s="2" t="n">
        <f aca="false">$M18*input!G17</f>
        <v>4508740</v>
      </c>
      <c r="H18" s="2" t="n">
        <f aca="false">$M18*input!H17</f>
        <v>3881153</v>
      </c>
      <c r="I18" s="2" t="n">
        <f aca="false">$M18*input!I17</f>
        <v>4070504</v>
      </c>
      <c r="J18" s="2" t="n">
        <f aca="false">$M18*input!J17</f>
        <v>4281660</v>
      </c>
      <c r="K18" s="2" t="n">
        <f aca="false">$M18*input!K17</f>
        <v>4480422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2533789</v>
      </c>
      <c r="C19" s="2" t="n">
        <f aca="false">$M19*input!C18</f>
        <v>3164896</v>
      </c>
      <c r="D19" s="2" t="n">
        <f aca="false">$M19*input!D18</f>
        <v>3792256</v>
      </c>
      <c r="E19" s="2" t="n">
        <f aca="false">$M19*input!E18</f>
        <v>4161422</v>
      </c>
      <c r="F19" s="2" t="n">
        <f aca="false">$M19*input!F18</f>
        <v>4548901</v>
      </c>
      <c r="G19" s="2" t="n">
        <f aca="false">$M19*input!G18</f>
        <v>2656805</v>
      </c>
      <c r="H19" s="2" t="n">
        <f aca="false">$M19*input!H18</f>
        <v>1889503</v>
      </c>
      <c r="I19" s="2" t="n">
        <f aca="false">$M19*input!I18</f>
        <v>1990299</v>
      </c>
      <c r="J19" s="2" t="n">
        <f aca="false">$M19*input!J18</f>
        <v>2198695</v>
      </c>
      <c r="K19" s="2" t="n">
        <f aca="false">$M19*input!K18</f>
        <v>2449552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13144</v>
      </c>
      <c r="C20" s="2" t="n">
        <f aca="false">$M20*input!C19</f>
        <v>22048</v>
      </c>
      <c r="D20" s="2" t="n">
        <f aca="false">$M20*input!D19</f>
        <v>31336</v>
      </c>
      <c r="E20" s="2" t="n">
        <f aca="false">$M20*input!E19</f>
        <v>28355</v>
      </c>
      <c r="F20" s="2" t="n">
        <f aca="false">$M20*input!F19</f>
        <v>14881</v>
      </c>
      <c r="G20" s="2" t="n">
        <f aca="false">$M20*input!G19</f>
        <v>8948</v>
      </c>
      <c r="H20" s="2" t="n">
        <f aca="false">$M20*input!H19</f>
        <v>2044</v>
      </c>
      <c r="I20" s="2" t="n">
        <f aca="false">$M20*input!I19</f>
        <v>2490</v>
      </c>
      <c r="J20" s="2" t="n">
        <f aca="false">$M20*input!J19</f>
        <v>3350</v>
      </c>
      <c r="K20" s="2" t="n">
        <f aca="false">$M20*input!K19</f>
        <v>1221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37350</v>
      </c>
      <c r="C21" s="2" t="n">
        <f aca="false">$M21*input!C20</f>
        <v>70967</v>
      </c>
      <c r="D21" s="2" t="n">
        <f aca="false">$M21*input!D20</f>
        <v>113231</v>
      </c>
      <c r="E21" s="2" t="n">
        <f aca="false">$M21*input!E20</f>
        <v>154253</v>
      </c>
      <c r="F21" s="2" t="n">
        <f aca="false">$M21*input!F20</f>
        <v>150410</v>
      </c>
      <c r="G21" s="2" t="n">
        <f aca="false">$M21*input!G20</f>
        <v>79336</v>
      </c>
      <c r="H21" s="2" t="n">
        <f aca="false">$M21*input!H20</f>
        <v>91542</v>
      </c>
      <c r="I21" s="2" t="n">
        <f aca="false">$M21*input!I20</f>
        <v>27961</v>
      </c>
      <c r="J21" s="2" t="n">
        <f aca="false">$M21*input!J20</f>
        <v>32335</v>
      </c>
      <c r="K21" s="2" t="n">
        <f aca="false">$M21*input!K20</f>
        <v>28279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33000</v>
      </c>
      <c r="C22" s="2" t="n">
        <f aca="false">$M22*input!C21</f>
        <v>0</v>
      </c>
      <c r="D22" s="2" t="n">
        <f aca="false">$M22*input!D21</f>
        <v>0</v>
      </c>
      <c r="E22" s="2" t="n">
        <f aca="false">$M22*input!E21</f>
        <v>59200</v>
      </c>
      <c r="F22" s="2" t="n">
        <f aca="false">$M22*input!F21</f>
        <v>38000</v>
      </c>
      <c r="G22" s="2" t="n">
        <f aca="false">$M22*input!G21</f>
        <v>939072</v>
      </c>
      <c r="H22" s="2" t="n">
        <f aca="false">$M22*input!H21</f>
        <v>0</v>
      </c>
      <c r="I22" s="2" t="n">
        <f aca="false">$M22*input!I21</f>
        <v>15000</v>
      </c>
      <c r="J22" s="2" t="n">
        <f aca="false">$M22*input!J21</f>
        <v>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0</v>
      </c>
      <c r="E23" s="2" t="n">
        <f aca="false">$M23*input!E22</f>
        <v>0</v>
      </c>
      <c r="F23" s="2" t="n">
        <f aca="false">$M23*input!F22</f>
        <v>0</v>
      </c>
      <c r="G23" s="2" t="n">
        <f aca="false">$M23*input!G22</f>
        <v>0</v>
      </c>
      <c r="H23" s="2" t="n">
        <f aca="false">$M23*input!H22</f>
        <v>0</v>
      </c>
      <c r="I23" s="2" t="n">
        <f aca="false">$M23*input!I22</f>
        <v>0</v>
      </c>
      <c r="J23" s="2" t="n">
        <f aca="false">$M23*input!J22</f>
        <v>0</v>
      </c>
      <c r="K23" s="2" t="n">
        <f aca="false">$M23*input!K22</f>
        <v>6099934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163192</v>
      </c>
      <c r="C24" s="2" t="n">
        <f aca="false">$M24*input!C23</f>
        <v>163192</v>
      </c>
      <c r="D24" s="2" t="n">
        <f aca="false">$M24*input!D23</f>
        <v>163192</v>
      </c>
      <c r="E24" s="2" t="n">
        <f aca="false">$M24*input!E23</f>
        <v>163912</v>
      </c>
      <c r="F24" s="2" t="n">
        <f aca="false">$M24*input!F23</f>
        <v>163762</v>
      </c>
      <c r="G24" s="2" t="n">
        <f aca="false">$M24*input!G23</f>
        <v>163891</v>
      </c>
      <c r="H24" s="2" t="n">
        <f aca="false">$M24*input!H23</f>
        <v>162591</v>
      </c>
      <c r="I24" s="2" t="n">
        <f aca="false">$M24*input!I23</f>
        <v>162591</v>
      </c>
      <c r="J24" s="2" t="n">
        <f aca="false">$M24*input!J23</f>
        <v>162591</v>
      </c>
      <c r="K24" s="2" t="n">
        <f aca="false">$M24*input!K23</f>
        <v>162591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1450</v>
      </c>
      <c r="E25" s="2" t="n">
        <f aca="false">$M25*input!E24</f>
        <v>1450</v>
      </c>
      <c r="F25" s="2" t="n">
        <f aca="false">$M25*input!F24</f>
        <v>1300</v>
      </c>
      <c r="G25" s="2" t="n">
        <f aca="false">$M25*input!G24</f>
        <v>1300</v>
      </c>
      <c r="H25" s="2" t="n">
        <f aca="false">$M25*input!H24</f>
        <v>0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161742</v>
      </c>
      <c r="C26" s="2" t="n">
        <f aca="false">$M26*input!C25</f>
        <v>161742</v>
      </c>
      <c r="D26" s="2" t="n">
        <f aca="false">$M26*input!D25</f>
        <v>161742</v>
      </c>
      <c r="E26" s="2" t="n">
        <f aca="false">$M26*input!E25</f>
        <v>162462</v>
      </c>
      <c r="F26" s="2" t="n">
        <f aca="false">$M26*input!F25</f>
        <v>162462</v>
      </c>
      <c r="G26" s="2" t="n">
        <f aca="false">$M26*input!G25</f>
        <v>162591</v>
      </c>
      <c r="H26" s="2" t="n">
        <f aca="false">$M26*input!H25</f>
        <v>162591</v>
      </c>
      <c r="I26" s="2" t="n">
        <f aca="false">$M26*input!I25</f>
        <v>162591</v>
      </c>
      <c r="J26" s="2" t="n">
        <f aca="false">$M26*input!J25</f>
        <v>162591</v>
      </c>
      <c r="K26" s="2" t="n">
        <f aca="false">$M26*input!K25</f>
        <v>162591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720</v>
      </c>
      <c r="F27" s="2" t="n">
        <f aca="false">$M27*input!F26</f>
        <v>720</v>
      </c>
      <c r="G27" s="2" t="n">
        <f aca="false">$M27*input!G26</f>
        <v>720</v>
      </c>
      <c r="H27" s="2" t="n">
        <f aca="false">$M27*input!H26</f>
        <v>720</v>
      </c>
      <c r="I27" s="2" t="n">
        <f aca="false">$M27*input!I26</f>
        <v>720</v>
      </c>
      <c r="J27" s="2" t="n">
        <f aca="false">$M27*input!J26</f>
        <v>720</v>
      </c>
      <c r="K27" s="2" t="n">
        <f aca="false">$M27*input!K26</f>
        <v>720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161742</v>
      </c>
      <c r="C31" s="2" t="n">
        <f aca="false">$M31*input!C30</f>
        <v>161742</v>
      </c>
      <c r="D31" s="2" t="n">
        <f aca="false">$M31*input!D30</f>
        <v>161742</v>
      </c>
      <c r="E31" s="2" t="n">
        <f aca="false">$M31*input!E30</f>
        <v>161742</v>
      </c>
      <c r="F31" s="2" t="n">
        <f aca="false">$M31*input!F30</f>
        <v>161742</v>
      </c>
      <c r="G31" s="2" t="n">
        <f aca="false">$M31*input!G30</f>
        <v>161871</v>
      </c>
      <c r="H31" s="2" t="n">
        <f aca="false">$M31*input!H30</f>
        <v>161871</v>
      </c>
      <c r="I31" s="2" t="n">
        <f aca="false">$M31*input!I30</f>
        <v>161871</v>
      </c>
      <c r="J31" s="2" t="n">
        <f aca="false">$M31*input!J30</f>
        <v>161871</v>
      </c>
      <c r="K31" s="2" t="n">
        <f aca="false">$M31*input!K30</f>
        <v>161871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1450</v>
      </c>
      <c r="C32" s="2" t="n">
        <f aca="false">$M32*input!C31</f>
        <v>1450</v>
      </c>
      <c r="D32" s="2" t="n">
        <f aca="false">$M32*input!D31</f>
        <v>1450</v>
      </c>
      <c r="E32" s="2" t="n">
        <f aca="false">$M32*input!E31</f>
        <v>1450</v>
      </c>
      <c r="F32" s="2" t="n">
        <f aca="false">$M32*input!F31</f>
        <v>1300</v>
      </c>
      <c r="G32" s="2" t="n">
        <f aca="false">$M32*input!G31</f>
        <v>1300</v>
      </c>
      <c r="H32" s="2" t="n">
        <f aca="false">$M32*input!H31</f>
        <v>0</v>
      </c>
      <c r="I32" s="2" t="n">
        <f aca="false">$M32*input!I31</f>
        <v>0</v>
      </c>
      <c r="J32" s="2" t="n">
        <f aca="false">$M32*input!J31</f>
        <v>0</v>
      </c>
      <c r="K32" s="2" t="n">
        <f aca="false">$M32*input!K31</f>
        <v>0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1450</v>
      </c>
      <c r="E41" s="2" t="n">
        <f aca="false">$M41*input!E40</f>
        <v>1450</v>
      </c>
      <c r="F41" s="2" t="n">
        <f aca="false">$M41*input!F40</f>
        <v>1300</v>
      </c>
      <c r="G41" s="2" t="n">
        <f aca="false">$M41*input!G40</f>
        <v>1300</v>
      </c>
      <c r="H41" s="2" t="n">
        <f aca="false">$M41*input!H40</f>
        <v>0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1450</v>
      </c>
      <c r="C42" s="2" t="n">
        <f aca="false">$M42*input!C41</f>
        <v>1450</v>
      </c>
      <c r="D42" s="2" t="n">
        <f aca="false">$M42*input!D41</f>
        <v>0</v>
      </c>
      <c r="E42" s="2" t="n">
        <f aca="false">$M42*input!E41</f>
        <v>0</v>
      </c>
      <c r="F42" s="2" t="n">
        <f aca="false">$M42*input!F41</f>
        <v>0</v>
      </c>
      <c r="G42" s="2" t="n">
        <f aca="false">$M42*input!G41</f>
        <v>0</v>
      </c>
      <c r="H42" s="2" t="n">
        <f aca="false">$M42*input!H41</f>
        <v>0</v>
      </c>
      <c r="I42" s="2" t="n">
        <f aca="false">$M42*input!I41</f>
        <v>0</v>
      </c>
      <c r="J42" s="2" t="n">
        <f aca="false">$M42*input!J41</f>
        <v>0</v>
      </c>
      <c r="K42" s="2" t="n">
        <f aca="false">$M42*input!K41</f>
        <v>0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1450</v>
      </c>
      <c r="E43" s="2" t="n">
        <f aca="false">$M43*input!E42</f>
        <v>1450</v>
      </c>
      <c r="F43" s="2" t="n">
        <f aca="false">$M43*input!F42</f>
        <v>1300</v>
      </c>
      <c r="G43" s="2" t="n">
        <f aca="false">$M43*input!G42</f>
        <v>1300</v>
      </c>
      <c r="H43" s="2" t="n">
        <f aca="false">$M43*input!H42</f>
        <v>0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1450</v>
      </c>
      <c r="C44" s="2" t="n">
        <f aca="false">$M44*input!C43</f>
        <v>1450</v>
      </c>
      <c r="D44" s="2" t="n">
        <f aca="false">$M44*input!D43</f>
        <v>0</v>
      </c>
      <c r="E44" s="2" t="n">
        <f aca="false">$M44*input!E43</f>
        <v>0</v>
      </c>
      <c r="F44" s="2" t="n">
        <f aca="false">$M44*input!F43</f>
        <v>0</v>
      </c>
      <c r="G44" s="2" t="n">
        <f aca="false">$M44*input!G43</f>
        <v>0</v>
      </c>
      <c r="H44" s="2" t="n">
        <f aca="false">$M44*input!H43</f>
        <v>0</v>
      </c>
      <c r="I44" s="2" t="n">
        <f aca="false">$M44*input!I43</f>
        <v>0</v>
      </c>
      <c r="J44" s="2" t="n">
        <f aca="false">$M44*input!J43</f>
        <v>0</v>
      </c>
      <c r="K44" s="2" t="n">
        <f aca="false">$M44*input!K43</f>
        <v>0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0</v>
      </c>
      <c r="C45" s="2" t="n">
        <f aca="false">$M45*input!C44</f>
        <v>0</v>
      </c>
      <c r="D45" s="2" t="n">
        <f aca="false">$M45*input!D44</f>
        <v>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7847628</v>
      </c>
      <c r="C50" s="10" t="n">
        <f aca="false">$M50*input!C48</f>
        <v>7195639</v>
      </c>
      <c r="D50" s="10" t="n">
        <f aca="false">$M50*input!D48</f>
        <v>7323947</v>
      </c>
      <c r="E50" s="10" t="n">
        <f aca="false">$M50*input!E48</f>
        <v>8393085</v>
      </c>
      <c r="F50" s="10" t="n">
        <f aca="false">$M50*input!F48</f>
        <v>6178865</v>
      </c>
      <c r="G50" s="10" t="n">
        <f aca="false">$M50*input!G48</f>
        <v>6135352</v>
      </c>
      <c r="H50" s="10" t="n">
        <f aca="false">$M50*input!H48</f>
        <v>5730701</v>
      </c>
      <c r="I50" s="10" t="n">
        <f aca="false">$M50*input!I48</f>
        <v>4897934</v>
      </c>
      <c r="J50" s="10" t="n">
        <f aca="false">$M50*input!J48</f>
        <v>4803205</v>
      </c>
      <c r="K50" s="10" t="n">
        <f aca="false">$M50*input!K48</f>
        <v>4501621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4030465</v>
      </c>
      <c r="C51" s="2" t="n">
        <f aca="false">$M51*input!C49</f>
        <v>3219958</v>
      </c>
      <c r="D51" s="2" t="n">
        <f aca="false">$M51*input!D49</f>
        <v>3404119</v>
      </c>
      <c r="E51" s="2" t="n">
        <f aca="false">$M51*input!E49</f>
        <v>3518066</v>
      </c>
      <c r="F51" s="2" t="n">
        <f aca="false">$M51*input!F49</f>
        <v>2686304</v>
      </c>
      <c r="G51" s="2" t="n">
        <f aca="false">$M51*input!G49</f>
        <v>2953911</v>
      </c>
      <c r="H51" s="2" t="n">
        <f aca="false">$M51*input!H49</f>
        <v>2438343</v>
      </c>
      <c r="I51" s="2" t="n">
        <f aca="false">$M51*input!I49</f>
        <v>2517638</v>
      </c>
      <c r="J51" s="2" t="n">
        <f aca="false">$M51*input!J49</f>
        <v>2426714</v>
      </c>
      <c r="K51" s="2" t="n">
        <f aca="false">$M51*input!K49</f>
        <v>2395489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775119</v>
      </c>
      <c r="C52" s="2" t="n">
        <f aca="false">$M52*input!C50</f>
        <v>342044</v>
      </c>
      <c r="D52" s="2" t="n">
        <f aca="false">$M52*input!D50</f>
        <v>409696</v>
      </c>
      <c r="E52" s="2" t="n">
        <f aca="false">$M52*input!E50</f>
        <v>3335272</v>
      </c>
      <c r="F52" s="2" t="n">
        <f aca="false">$M52*input!F50</f>
        <v>2575604</v>
      </c>
      <c r="G52" s="2" t="n">
        <f aca="false">$M52*input!G50</f>
        <v>2865960</v>
      </c>
      <c r="H52" s="2" t="n">
        <f aca="false">$M52*input!H50</f>
        <v>0</v>
      </c>
      <c r="I52" s="2" t="n">
        <f aca="false">$M52*input!I50</f>
        <v>0</v>
      </c>
      <c r="J52" s="2" t="n">
        <f aca="false">$M52*input!J50</f>
        <v>0</v>
      </c>
      <c r="K52" s="2" t="n">
        <f aca="false">$M52*input!K50</f>
        <v>0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3179623</v>
      </c>
      <c r="C53" s="2" t="n">
        <f aca="false">$M53*input!C51</f>
        <v>2810060</v>
      </c>
      <c r="D53" s="2" t="n">
        <f aca="false">$M53*input!D51</f>
        <v>2940884</v>
      </c>
      <c r="E53" s="2" t="n">
        <f aca="false">$M53*input!E51</f>
        <v>0</v>
      </c>
      <c r="F53" s="2" t="n">
        <f aca="false">$M53*input!F51</f>
        <v>0</v>
      </c>
      <c r="G53" s="2" t="n">
        <f aca="false">$M53*input!G51</f>
        <v>0</v>
      </c>
      <c r="H53" s="2" t="n">
        <f aca="false">$M53*input!H51</f>
        <v>2350650</v>
      </c>
      <c r="I53" s="2" t="n">
        <f aca="false">$M53*input!I51</f>
        <v>2427919</v>
      </c>
      <c r="J53" s="2" t="n">
        <f aca="false">$M53*input!J51</f>
        <v>2345175</v>
      </c>
      <c r="K53" s="2" t="n">
        <f aca="false">$M53*input!K51</f>
        <v>2331146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75723</v>
      </c>
      <c r="C55" s="2" t="n">
        <f aca="false">$M55*input!C53</f>
        <v>67854</v>
      </c>
      <c r="D55" s="2" t="n">
        <f aca="false">$M55*input!D53</f>
        <v>53539</v>
      </c>
      <c r="E55" s="2" t="n">
        <f aca="false">$M55*input!E53</f>
        <v>182794</v>
      </c>
      <c r="F55" s="2" t="n">
        <f aca="false">$M55*input!F53</f>
        <v>110700</v>
      </c>
      <c r="G55" s="2" t="n">
        <f aca="false">$M55*input!G53</f>
        <v>87951</v>
      </c>
      <c r="H55" s="2" t="n">
        <f aca="false">$M55*input!H53</f>
        <v>87693</v>
      </c>
      <c r="I55" s="2" t="n">
        <f aca="false">$M55*input!I53</f>
        <v>89719</v>
      </c>
      <c r="J55" s="2" t="n">
        <f aca="false">$M55*input!J53</f>
        <v>81539</v>
      </c>
      <c r="K55" s="2" t="n">
        <f aca="false">$M55*input!K53</f>
        <v>64343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2406141</v>
      </c>
      <c r="C58" s="2" t="n">
        <f aca="false">$M58*input!C56</f>
        <v>2881575</v>
      </c>
      <c r="D58" s="2" t="n">
        <f aca="false">$M58*input!D56</f>
        <v>2704061</v>
      </c>
      <c r="E58" s="2" t="n">
        <f aca="false">$M58*input!E56</f>
        <v>3129703</v>
      </c>
      <c r="F58" s="2" t="n">
        <f aca="false">$M58*input!F56</f>
        <v>2532562</v>
      </c>
      <c r="G58" s="2" t="n">
        <f aca="false">$M58*input!G56</f>
        <v>2807343</v>
      </c>
      <c r="H58" s="2" t="n">
        <f aca="false">$M58*input!H56</f>
        <v>2138640</v>
      </c>
      <c r="I58" s="2" t="n">
        <f aca="false">$M58*input!I56</f>
        <v>2158628</v>
      </c>
      <c r="J58" s="2" t="n">
        <f aca="false">$M58*input!J56</f>
        <v>2210642</v>
      </c>
      <c r="K58" s="2" t="n">
        <f aca="false">$M58*input!K56</f>
        <v>2055676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1886858</v>
      </c>
      <c r="C59" s="2" t="n">
        <f aca="false">$M59*input!C57</f>
        <v>2285706</v>
      </c>
      <c r="D59" s="2" t="n">
        <f aca="false">$M59*input!D57</f>
        <v>1952294</v>
      </c>
      <c r="E59" s="2" t="n">
        <f aca="false">$M59*input!E57</f>
        <v>2107645</v>
      </c>
      <c r="F59" s="2" t="n">
        <f aca="false">$M59*input!F57</f>
        <v>1520160</v>
      </c>
      <c r="G59" s="2" t="n">
        <f aca="false">$M59*input!G57</f>
        <v>1941180</v>
      </c>
      <c r="H59" s="2" t="n">
        <f aca="false">$M59*input!H57</f>
        <v>1972556</v>
      </c>
      <c r="I59" s="2" t="n">
        <f aca="false">$M59*input!I57</f>
        <v>1967438</v>
      </c>
      <c r="J59" s="2" t="n">
        <f aca="false">$M59*input!J57</f>
        <v>2035830</v>
      </c>
      <c r="K59" s="2" t="n">
        <f aca="false">$M59*input!K57</f>
        <v>1691488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0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5000</v>
      </c>
      <c r="E61" s="2" t="n">
        <f aca="false">$M61*input!E59</f>
        <v>5000</v>
      </c>
      <c r="F61" s="2" t="n">
        <f aca="false">$M61*input!F59</f>
        <v>0</v>
      </c>
      <c r="G61" s="2" t="n">
        <f aca="false">$M61*input!G59</f>
        <v>5000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86096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5000</v>
      </c>
      <c r="G62" s="2" t="n">
        <f aca="false">$M62*input!G60</f>
        <v>0</v>
      </c>
      <c r="H62" s="2" t="n">
        <f aca="false">$M62*input!H60</f>
        <v>5000</v>
      </c>
      <c r="I62" s="2" t="n">
        <f aca="false">$M62*input!I60</f>
        <v>5000</v>
      </c>
      <c r="J62" s="2" t="n">
        <f aca="false">$M62*input!J60</f>
        <v>5000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-0</v>
      </c>
      <c r="C65" s="2" t="n">
        <f aca="false">$M65*input!C63</f>
        <v>-0</v>
      </c>
      <c r="D65" s="2" t="n">
        <f aca="false">$M65*input!D63</f>
        <v>-0</v>
      </c>
      <c r="E65" s="2" t="n">
        <f aca="false">$M65*input!E63</f>
        <v>-0</v>
      </c>
      <c r="F65" s="2" t="n">
        <f aca="false">$M65*input!F63</f>
        <v>-0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177010</v>
      </c>
      <c r="C69" s="2" t="n">
        <f aca="false">$M69*input!C67</f>
        <v>133013</v>
      </c>
      <c r="D69" s="2" t="n">
        <f aca="false">$M69*input!D67</f>
        <v>276681</v>
      </c>
      <c r="E69" s="2" t="n">
        <f aca="false">$M69*input!E67</f>
        <v>462846</v>
      </c>
      <c r="F69" s="2" t="n">
        <f aca="false">$M69*input!F67</f>
        <v>494036</v>
      </c>
      <c r="G69" s="2" t="n">
        <f aca="false">$M69*input!G67</f>
        <v>664167</v>
      </c>
      <c r="H69" s="2" t="n">
        <f aca="false">$M69*input!H67</f>
        <v>33661</v>
      </c>
      <c r="I69" s="2" t="n">
        <f aca="false">$M69*input!I67</f>
        <v>42333</v>
      </c>
      <c r="J69" s="2" t="n">
        <f aca="false">$M69*input!J67</f>
        <v>4874</v>
      </c>
      <c r="K69" s="2" t="n">
        <f aca="false">$M69*input!K67</f>
        <v>83981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47408</v>
      </c>
      <c r="C70" s="2" t="n">
        <f aca="false">$M70*input!C68</f>
        <v>2690</v>
      </c>
      <c r="D70" s="2" t="n">
        <f aca="false">$M70*input!D68</f>
        <v>12358</v>
      </c>
      <c r="E70" s="2" t="n">
        <f aca="false">$M70*input!E68</f>
        <v>27079</v>
      </c>
      <c r="F70" s="2" t="n">
        <f aca="false">$M70*input!F68</f>
        <v>97</v>
      </c>
      <c r="G70" s="2" t="n">
        <f aca="false">$M70*input!G68</f>
        <v>97</v>
      </c>
      <c r="H70" s="2" t="n">
        <f aca="false">$M70*input!H68</f>
        <v>97</v>
      </c>
      <c r="I70" s="2" t="n">
        <f aca="false">$M70*input!I68</f>
        <v>97</v>
      </c>
      <c r="J70" s="2" t="n">
        <f aca="false">$M70*input!J68</f>
        <v>18718</v>
      </c>
      <c r="K70" s="2" t="n">
        <f aca="false">$M70*input!K68</f>
        <v>18718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100057</v>
      </c>
      <c r="C71" s="2" t="n">
        <f aca="false">$M71*input!C69</f>
        <v>100057</v>
      </c>
      <c r="D71" s="2" t="n">
        <f aca="false">$M71*input!D69</f>
        <v>100057</v>
      </c>
      <c r="E71" s="2" t="n">
        <f aca="false">$M71*input!E69</f>
        <v>100057</v>
      </c>
      <c r="F71" s="2" t="n">
        <f aca="false">$M71*input!F69</f>
        <v>100057</v>
      </c>
      <c r="G71" s="2" t="n">
        <f aca="false">$M71*input!G69</f>
        <v>100057</v>
      </c>
      <c r="H71" s="2" t="n">
        <f aca="false">$M71*input!H69</f>
        <v>100057</v>
      </c>
      <c r="I71" s="2" t="n">
        <f aca="false">$M71*input!I69</f>
        <v>100057</v>
      </c>
      <c r="J71" s="2" t="n">
        <f aca="false">$M71*input!J69</f>
        <v>100057</v>
      </c>
      <c r="K71" s="2" t="n">
        <f aca="false">$M71*input!K69</f>
        <v>0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114079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56608</v>
      </c>
      <c r="C73" s="2" t="n">
        <f aca="false">$M73*input!C71</f>
        <v>197386</v>
      </c>
      <c r="D73" s="2" t="n">
        <f aca="false">$M73*input!D71</f>
        <v>162410</v>
      </c>
      <c r="E73" s="2" t="n">
        <f aca="false">$M73*input!E71</f>
        <v>135676</v>
      </c>
      <c r="F73" s="2" t="n">
        <f aca="false">$M73*input!F71</f>
        <v>89274</v>
      </c>
      <c r="G73" s="2" t="n">
        <f aca="false">$M73*input!G71</f>
        <v>33242</v>
      </c>
      <c r="H73" s="2" t="n">
        <f aca="false">$M73*input!H71</f>
        <v>25969</v>
      </c>
      <c r="I73" s="2" t="n">
        <f aca="false">$M73*input!I71</f>
        <v>42553</v>
      </c>
      <c r="J73" s="2" t="n">
        <f aca="false">$M73*input!J71</f>
        <v>45013</v>
      </c>
      <c r="K73" s="2" t="n">
        <f aca="false">$M73*input!K71</f>
        <v>61314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138200</v>
      </c>
      <c r="C74" s="2" t="n">
        <f aca="false">$M74*input!C72</f>
        <v>162723</v>
      </c>
      <c r="D74" s="2" t="n">
        <f aca="false">$M74*input!D72</f>
        <v>195261</v>
      </c>
      <c r="E74" s="2" t="n">
        <f aca="false">$M74*input!E72</f>
        <v>291400</v>
      </c>
      <c r="F74" s="2" t="n">
        <f aca="false">$M74*input!F72</f>
        <v>323938</v>
      </c>
      <c r="G74" s="2" t="n">
        <f aca="false">$M74*input!G72</f>
        <v>63600</v>
      </c>
      <c r="H74" s="2" t="n">
        <f aca="false">$M74*input!H72</f>
        <v>1300</v>
      </c>
      <c r="I74" s="2" t="n">
        <f aca="false">$M74*input!I72</f>
        <v>1150</v>
      </c>
      <c r="J74" s="2" t="n">
        <f aca="false">$M74*input!J72</f>
        <v>1150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2220533</v>
      </c>
      <c r="C75" s="2" t="n">
        <f aca="false">$M75*input!C73</f>
        <v>2716162</v>
      </c>
      <c r="D75" s="2" t="n">
        <f aca="false">$M75*input!D73</f>
        <v>2496442</v>
      </c>
      <c r="E75" s="2" t="n">
        <f aca="false">$M75*input!E73</f>
        <v>2811224</v>
      </c>
      <c r="F75" s="2" t="n">
        <f aca="false">$M75*input!F73</f>
        <v>2203527</v>
      </c>
      <c r="G75" s="2" t="n">
        <f aca="false">$M75*input!G73</f>
        <v>2743646</v>
      </c>
      <c r="H75" s="2" t="n">
        <f aca="false">$M75*input!H73</f>
        <v>2132243</v>
      </c>
      <c r="I75" s="2" t="n">
        <f aca="false">$M75*input!I73</f>
        <v>2152381</v>
      </c>
      <c r="J75" s="2" t="n">
        <f aca="false">$M75*input!J73</f>
        <v>2185774</v>
      </c>
      <c r="K75" s="2" t="n">
        <f aca="false">$M75*input!K73</f>
        <v>1922879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185608</v>
      </c>
      <c r="C77" s="2" t="n">
        <f aca="false">$M77*input!C75</f>
        <v>165413</v>
      </c>
      <c r="D77" s="2" t="n">
        <f aca="false">$M77*input!D75</f>
        <v>207619</v>
      </c>
      <c r="E77" s="2" t="n">
        <f aca="false">$M77*input!E75</f>
        <v>318479</v>
      </c>
      <c r="F77" s="2" t="n">
        <f aca="false">$M77*input!F75</f>
        <v>329035</v>
      </c>
      <c r="G77" s="2" t="n">
        <f aca="false">$M77*input!G75</f>
        <v>63697</v>
      </c>
      <c r="H77" s="2" t="n">
        <f aca="false">$M77*input!H75</f>
        <v>6397</v>
      </c>
      <c r="I77" s="2" t="n">
        <f aca="false">$M77*input!I75</f>
        <v>6247</v>
      </c>
      <c r="J77" s="2" t="n">
        <f aca="false">$M77*input!J75</f>
        <v>24868</v>
      </c>
      <c r="K77" s="2" t="n">
        <f aca="false">$M77*input!K75</f>
        <v>132797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1411022</v>
      </c>
      <c r="C89" s="2" t="n">
        <f aca="false">$M89*input!C87</f>
        <v>1094106</v>
      </c>
      <c r="D89" s="2" t="n">
        <f aca="false">$M89*input!D87</f>
        <v>1215767</v>
      </c>
      <c r="E89" s="2" t="n">
        <f aca="false">$M89*input!E87</f>
        <v>1745316</v>
      </c>
      <c r="F89" s="2" t="n">
        <f aca="false">$M89*input!F87</f>
        <v>959999</v>
      </c>
      <c r="G89" s="2" t="n">
        <f aca="false">$M89*input!G87</f>
        <v>374098</v>
      </c>
      <c r="H89" s="2" t="n">
        <f aca="false">$M89*input!H87</f>
        <v>1153718</v>
      </c>
      <c r="I89" s="2" t="n">
        <f aca="false">$M89*input!I87</f>
        <v>221668</v>
      </c>
      <c r="J89" s="2" t="n">
        <f aca="false">$M89*input!J87</f>
        <v>165849</v>
      </c>
      <c r="K89" s="2" t="n">
        <f aca="false">$M89*input!K87</f>
        <v>50456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1403807</v>
      </c>
      <c r="C90" s="2" t="n">
        <f aca="false">$M90*input!C88</f>
        <v>1085436</v>
      </c>
      <c r="D90" s="2" t="n">
        <f aca="false">$M90*input!D88</f>
        <v>1208959</v>
      </c>
      <c r="E90" s="2" t="n">
        <f aca="false">$M90*input!E88</f>
        <v>1737724</v>
      </c>
      <c r="F90" s="2" t="n">
        <f aca="false">$M90*input!F88</f>
        <v>955547</v>
      </c>
      <c r="G90" s="2" t="n">
        <f aca="false">$M90*input!G88</f>
        <v>371853</v>
      </c>
      <c r="H90" s="2" t="n">
        <f aca="false">$M90*input!H88</f>
        <v>1150197</v>
      </c>
      <c r="I90" s="2" t="n">
        <f aca="false">$M90*input!I88</f>
        <v>216275</v>
      </c>
      <c r="J90" s="2" t="n">
        <f aca="false">$M90*input!J88</f>
        <v>159761</v>
      </c>
      <c r="K90" s="2" t="n">
        <f aca="false">$M90*input!K88</f>
        <v>47375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7215</v>
      </c>
      <c r="C92" s="2" t="n">
        <f aca="false">$M92*input!C90</f>
        <v>8670</v>
      </c>
      <c r="D92" s="2" t="n">
        <f aca="false">$M92*input!D90</f>
        <v>6808</v>
      </c>
      <c r="E92" s="2" t="n">
        <f aca="false">$M92*input!E90</f>
        <v>7592</v>
      </c>
      <c r="F92" s="2" t="n">
        <f aca="false">$M92*input!F90</f>
        <v>4452</v>
      </c>
      <c r="G92" s="2" t="n">
        <f aca="false">$M92*input!G90</f>
        <v>2245</v>
      </c>
      <c r="H92" s="2" t="n">
        <f aca="false">$M92*input!H90</f>
        <v>3521</v>
      </c>
      <c r="I92" s="2" t="n">
        <f aca="false">$M92*input!I90</f>
        <v>5393</v>
      </c>
      <c r="J92" s="2" t="n">
        <f aca="false">$M92*input!J90</f>
        <v>6088</v>
      </c>
      <c r="K92" s="2" t="n">
        <f aca="false">$M92*input!K90</f>
        <v>3081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74713</v>
      </c>
      <c r="C93" s="10" t="n">
        <f aca="false">$M93*input!C91</f>
        <v>100121</v>
      </c>
      <c r="D93" s="10" t="n">
        <f aca="false">$M93*input!D91</f>
        <v>81952</v>
      </c>
      <c r="E93" s="10" t="n">
        <f aca="false">$M93*input!E91</f>
        <v>77325</v>
      </c>
      <c r="F93" s="10" t="n">
        <f aca="false">$M93*input!F91</f>
        <v>70517</v>
      </c>
      <c r="G93" s="10" t="n">
        <f aca="false">$M93*input!G91</f>
        <v>45853</v>
      </c>
      <c r="H93" s="10" t="n">
        <f aca="false">$M93*input!H91</f>
        <v>44961</v>
      </c>
      <c r="I93" s="10" t="n">
        <f aca="false">$M93*input!I91</f>
        <v>50609</v>
      </c>
      <c r="J93" s="10" t="n">
        <f aca="false">$M93*input!J91</f>
        <v>48144</v>
      </c>
      <c r="K93" s="10" t="n">
        <f aca="false">$M93*input!K91</f>
        <v>52306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14885832</v>
      </c>
      <c r="C95" s="18" t="n">
        <f aca="false">$M95*input!C93</f>
        <v>15178928</v>
      </c>
      <c r="D95" s="18" t="n">
        <f aca="false">$M95*input!D93</f>
        <v>16253050</v>
      </c>
      <c r="E95" s="18" t="n">
        <f aca="false">$M95*input!E93</f>
        <v>17508507</v>
      </c>
      <c r="F95" s="18" t="n">
        <f aca="false">$M95*input!F93</f>
        <v>15730559</v>
      </c>
      <c r="G95" s="18" t="n">
        <f aca="false">$M95*input!G93</f>
        <v>14551060</v>
      </c>
      <c r="H95" s="18" t="n">
        <f aca="false">$M95*input!H93</f>
        <v>11815560</v>
      </c>
      <c r="I95" s="18" t="n">
        <f aca="false">$M95*input!I93</f>
        <v>11222926</v>
      </c>
      <c r="J95" s="18" t="n">
        <f aca="false">$M95*input!J93</f>
        <v>11537032</v>
      </c>
      <c r="K95" s="18" t="n">
        <f aca="false">$M95*input!K93</f>
        <v>11686442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5805695</v>
      </c>
      <c r="C99" s="2" t="n">
        <f aca="false">$M99*input!C96</f>
        <v>5656693</v>
      </c>
      <c r="D99" s="2" t="n">
        <f aca="false">$M99*input!D96</f>
        <v>5598523</v>
      </c>
      <c r="E99" s="2" t="n">
        <f aca="false">$M99*input!E96</f>
        <v>5469534</v>
      </c>
      <c r="F99" s="2" t="n">
        <f aca="false">$M99*input!F96</f>
        <v>5750122</v>
      </c>
      <c r="G99" s="2" t="n">
        <f aca="false">$M99*input!G96</f>
        <v>5550231</v>
      </c>
      <c r="H99" s="2" t="n">
        <f aca="false">$M99*input!H96</f>
        <v>5132809</v>
      </c>
      <c r="I99" s="2" t="n">
        <f aca="false">$M99*input!I96</f>
        <v>4504382</v>
      </c>
      <c r="J99" s="2" t="n">
        <f aca="false">$M99*input!J96</f>
        <v>4153441</v>
      </c>
      <c r="K99" s="2" t="n">
        <f aca="false">$M99*input!K96</f>
        <v>3619300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1500000</v>
      </c>
      <c r="C100" s="2" t="n">
        <f aca="false">$M100*input!C97</f>
        <v>1500000</v>
      </c>
      <c r="D100" s="2" t="n">
        <f aca="false">$M100*input!D97</f>
        <v>1500000</v>
      </c>
      <c r="E100" s="2" t="n">
        <f aca="false">$M100*input!E97</f>
        <v>1500000</v>
      </c>
      <c r="F100" s="2" t="n">
        <f aca="false">$M100*input!F97</f>
        <v>1500000</v>
      </c>
      <c r="G100" s="2" t="n">
        <f aca="false">$M100*input!G97</f>
        <v>1500000</v>
      </c>
      <c r="H100" s="2" t="n">
        <f aca="false">$M100*input!H97</f>
        <v>1500000</v>
      </c>
      <c r="I100" s="2" t="n">
        <f aca="false">$M100*input!I97</f>
        <v>1500000</v>
      </c>
      <c r="J100" s="2" t="n">
        <f aca="false">$M100*input!J97</f>
        <v>1500000</v>
      </c>
      <c r="K100" s="2" t="n">
        <f aca="false">$M100*input!K97</f>
        <v>1500000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0</v>
      </c>
      <c r="C103" s="2" t="n">
        <f aca="false">$M103*input!C100</f>
        <v>0</v>
      </c>
      <c r="D103" s="2" t="n">
        <f aca="false">$M103*input!D100</f>
        <v>0</v>
      </c>
      <c r="E103" s="2" t="n">
        <f aca="false">$M103*input!E100</f>
        <v>0</v>
      </c>
      <c r="F103" s="2" t="n">
        <f aca="false">$M103*input!F100</f>
        <v>0</v>
      </c>
      <c r="G103" s="2" t="n">
        <f aca="false">$M103*input!G100</f>
        <v>0</v>
      </c>
      <c r="H103" s="2" t="n">
        <f aca="false">$M103*input!H100</f>
        <v>0</v>
      </c>
      <c r="I103" s="2" t="n">
        <f aca="false">$M103*input!I100</f>
        <v>0</v>
      </c>
      <c r="J103" s="2" t="n">
        <f aca="false">$M103*input!J100</f>
        <v>0</v>
      </c>
      <c r="K103" s="2" t="n">
        <f aca="false">$M103*input!K100</f>
        <v>0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1868495</v>
      </c>
      <c r="C106" s="2" t="n">
        <f aca="false">$M106*input!C103</f>
        <v>1868495</v>
      </c>
      <c r="D106" s="2" t="n">
        <f aca="false">$M106*input!D103</f>
        <v>1868495</v>
      </c>
      <c r="E106" s="2" t="n">
        <f aca="false">$M106*input!E103</f>
        <v>1868495</v>
      </c>
      <c r="F106" s="2" t="n">
        <f aca="false">$M106*input!F103</f>
        <v>1868495</v>
      </c>
      <c r="G106" s="2" t="n">
        <f aca="false">$M106*input!G103</f>
        <v>900162</v>
      </c>
      <c r="H106" s="2" t="n">
        <f aca="false">$M106*input!H103</f>
        <v>900162</v>
      </c>
      <c r="I106" s="2" t="n">
        <f aca="false">$M106*input!I103</f>
        <v>900162</v>
      </c>
      <c r="J106" s="2" t="n">
        <f aca="false">$M106*input!J103</f>
        <v>900162</v>
      </c>
      <c r="K106" s="2" t="n">
        <f aca="false">$M106*input!K103</f>
        <v>900162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186986</v>
      </c>
      <c r="C107" s="2" t="n">
        <f aca="false">$M107*input!C104</f>
        <v>184077</v>
      </c>
      <c r="D107" s="2" t="n">
        <f aca="false">$M107*input!D104</f>
        <v>177628</v>
      </c>
      <c r="E107" s="2" t="n">
        <f aca="false">$M107*input!E104</f>
        <v>177628</v>
      </c>
      <c r="F107" s="2" t="n">
        <f aca="false">$M107*input!F104</f>
        <v>177628</v>
      </c>
      <c r="G107" s="2" t="n">
        <f aca="false">$M107*input!G104</f>
        <v>156757</v>
      </c>
      <c r="H107" s="2" t="n">
        <f aca="false">$M107*input!H104</f>
        <v>125336</v>
      </c>
      <c r="I107" s="2" t="n">
        <f aca="false">$M107*input!I104</f>
        <v>107789</v>
      </c>
      <c r="J107" s="2" t="n">
        <f aca="false">$M107*input!J104</f>
        <v>81082</v>
      </c>
      <c r="K107" s="2" t="n">
        <f aca="false">$M107*input!K104</f>
        <v>67073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0</v>
      </c>
      <c r="C108" s="2" t="n">
        <f aca="false">$M108*input!C105</f>
        <v>0</v>
      </c>
      <c r="D108" s="2" t="n">
        <f aca="false">$M108*input!D105</f>
        <v>0</v>
      </c>
      <c r="E108" s="2" t="n">
        <f aca="false">$M108*input!E105</f>
        <v>0</v>
      </c>
      <c r="F108" s="2" t="n">
        <f aca="false">$M108*input!F105</f>
        <v>0</v>
      </c>
      <c r="G108" s="2" t="n">
        <f aca="false">$M108*input!G105</f>
        <v>0</v>
      </c>
      <c r="H108" s="2" t="n">
        <f aca="false">$M108*input!H105</f>
        <v>0</v>
      </c>
      <c r="I108" s="2" t="n">
        <f aca="false">$M108*input!I105</f>
        <v>0</v>
      </c>
      <c r="J108" s="2" t="n">
        <f aca="false">$M108*input!J105</f>
        <v>0</v>
      </c>
      <c r="K108" s="2" t="n">
        <f aca="false">$M108*input!K105</f>
        <v>0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3150243</v>
      </c>
      <c r="C110" s="2" t="n">
        <f aca="false">$M110*input!C107</f>
        <v>3094978</v>
      </c>
      <c r="D110" s="2" t="n">
        <f aca="false">$M110*input!D107</f>
        <v>2972441</v>
      </c>
      <c r="E110" s="2" t="n">
        <f aca="false">$M110*input!E107</f>
        <v>2972439</v>
      </c>
      <c r="F110" s="2" t="n">
        <f aca="false">$M110*input!F107</f>
        <v>2972438</v>
      </c>
      <c r="G110" s="2" t="n">
        <f aca="false">$M110*input!G107</f>
        <v>2575891</v>
      </c>
      <c r="H110" s="2" t="n">
        <f aca="false">$M110*input!H107</f>
        <v>1978884</v>
      </c>
      <c r="I110" s="2" t="n">
        <f aca="false">$M110*input!I107</f>
        <v>1645490</v>
      </c>
      <c r="J110" s="2" t="n">
        <f aca="false">$M110*input!J107</f>
        <v>1138056</v>
      </c>
      <c r="K110" s="2" t="n">
        <f aca="false">$M110*input!K107</f>
        <v>871890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-1049028</v>
      </c>
      <c r="C113" s="2" t="n">
        <f aca="false">$M113*input!C110</f>
        <v>-1049028</v>
      </c>
      <c r="D113" s="2" t="n">
        <f aca="false">$M113*input!D110</f>
        <v>-1049028</v>
      </c>
      <c r="E113" s="2" t="n">
        <f aca="false">$M113*input!E110</f>
        <v>-768439</v>
      </c>
      <c r="F113" s="2" t="n">
        <f aca="false">$M113*input!F110</f>
        <v>0</v>
      </c>
      <c r="G113" s="2" t="n">
        <f aca="false">$M113*input!G110</f>
        <v>0</v>
      </c>
      <c r="H113" s="2" t="n">
        <f aca="false">$M113*input!H110</f>
        <v>0</v>
      </c>
      <c r="I113" s="2" t="n">
        <f aca="false">$M113*input!I110</f>
        <v>0</v>
      </c>
      <c r="J113" s="2" t="n">
        <f aca="false">$M113*input!J110</f>
        <v>0</v>
      </c>
      <c r="K113" s="2" t="n">
        <f aca="false">$M113*input!K110</f>
        <v>0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148999</v>
      </c>
      <c r="C114" s="2" t="n">
        <f aca="false">$M114*input!C111</f>
        <v>58171</v>
      </c>
      <c r="D114" s="2" t="n">
        <f aca="false">$M114*input!D111</f>
        <v>128987</v>
      </c>
      <c r="E114" s="2" t="n">
        <f aca="false">$M114*input!E111</f>
        <v>-280589</v>
      </c>
      <c r="F114" s="2" t="n">
        <f aca="false">$M114*input!F111</f>
        <v>-768439</v>
      </c>
      <c r="G114" s="2" t="n">
        <f aca="false">$M114*input!G111</f>
        <v>417421</v>
      </c>
      <c r="H114" s="2" t="n">
        <f aca="false">$M114*input!H111</f>
        <v>628427</v>
      </c>
      <c r="I114" s="2" t="n">
        <f aca="false">$M114*input!I111</f>
        <v>350941</v>
      </c>
      <c r="J114" s="2" t="n">
        <f aca="false">$M114*input!J111</f>
        <v>534141</v>
      </c>
      <c r="K114" s="2" t="n">
        <f aca="false">$M114*input!K111</f>
        <v>280175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409150</v>
      </c>
      <c r="C123" s="10" t="n">
        <f aca="false">$M123*input!C120</f>
        <v>400664</v>
      </c>
      <c r="D123" s="10" t="n">
        <f aca="false">$M123*input!D120</f>
        <v>451306</v>
      </c>
      <c r="E123" s="10" t="n">
        <f aca="false">$M123*input!E120</f>
        <v>742169</v>
      </c>
      <c r="F123" s="10" t="n">
        <f aca="false">$M123*input!F120</f>
        <v>714183</v>
      </c>
      <c r="G123" s="10" t="n">
        <f aca="false">$M123*input!G120</f>
        <v>666214</v>
      </c>
      <c r="H123" s="10" t="n">
        <f aca="false">$M123*input!H120</f>
        <v>631890</v>
      </c>
      <c r="I123" s="10" t="n">
        <f aca="false">$M123*input!I120</f>
        <v>596622</v>
      </c>
      <c r="J123" s="10" t="n">
        <f aca="false">$M123*input!J120</f>
        <v>536809</v>
      </c>
      <c r="K123" s="10" t="n">
        <f aca="false">$M123*input!K120</f>
        <v>510938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409150</v>
      </c>
      <c r="C124" s="2" t="n">
        <f aca="false">$M124*input!C121</f>
        <v>400664</v>
      </c>
      <c r="D124" s="2" t="n">
        <f aca="false">$M124*input!D121</f>
        <v>397306</v>
      </c>
      <c r="E124" s="2" t="n">
        <f aca="false">$M124*input!E121</f>
        <v>742169</v>
      </c>
      <c r="F124" s="2" t="n">
        <f aca="false">$M124*input!F121</f>
        <v>714183</v>
      </c>
      <c r="G124" s="2" t="n">
        <f aca="false">$M124*input!G121</f>
        <v>666214</v>
      </c>
      <c r="H124" s="2" t="n">
        <f aca="false">$M124*input!H121</f>
        <v>624163</v>
      </c>
      <c r="I124" s="2" t="n">
        <f aca="false">$M124*input!I121</f>
        <v>581304</v>
      </c>
      <c r="J124" s="2" t="n">
        <f aca="false">$M124*input!J121</f>
        <v>536809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0</v>
      </c>
      <c r="C125" s="2" t="n">
        <f aca="false">$M125*input!C122</f>
        <v>0</v>
      </c>
      <c r="D125" s="2" t="n">
        <f aca="false">$M125*input!D122</f>
        <v>0</v>
      </c>
      <c r="E125" s="2" t="n">
        <f aca="false">$M125*input!E122</f>
        <v>0</v>
      </c>
      <c r="F125" s="2" t="n">
        <f aca="false">$M125*input!F122</f>
        <v>0</v>
      </c>
      <c r="G125" s="2" t="n">
        <f aca="false">$M125*input!G122</f>
        <v>0</v>
      </c>
      <c r="H125" s="2" t="n">
        <f aca="false">$M125*input!H122</f>
        <v>7727</v>
      </c>
      <c r="I125" s="2" t="n">
        <f aca="false">$M125*input!I122</f>
        <v>15318</v>
      </c>
      <c r="J125" s="2" t="n">
        <f aca="false">$M125*input!J122</f>
        <v>0</v>
      </c>
      <c r="K125" s="2" t="n">
        <f aca="false">$M125*input!K122</f>
        <v>0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0</v>
      </c>
      <c r="C127" s="2" t="n">
        <f aca="false">$M127*input!C124</f>
        <v>0</v>
      </c>
      <c r="D127" s="2" t="n">
        <f aca="false">$M127*input!D124</f>
        <v>54000</v>
      </c>
      <c r="E127" s="2" t="n">
        <f aca="false">$M127*input!E124</f>
        <v>0</v>
      </c>
      <c r="F127" s="2" t="n">
        <f aca="false">$M127*input!F124</f>
        <v>0</v>
      </c>
      <c r="G127" s="2" t="n">
        <f aca="false">$M127*input!G124</f>
        <v>0</v>
      </c>
      <c r="H127" s="2" t="n">
        <f aca="false">$M127*input!H124</f>
        <v>0</v>
      </c>
      <c r="I127" s="2" t="n">
        <f aca="false">$M127*input!I124</f>
        <v>0</v>
      </c>
      <c r="J127" s="2" t="n">
        <f aca="false">$M127*input!J124</f>
        <v>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307133</v>
      </c>
      <c r="C129" s="10" t="n">
        <f aca="false">$M129*input!C126</f>
        <v>323238</v>
      </c>
      <c r="D129" s="10" t="n">
        <f aca="false">$M129*input!D126</f>
        <v>366366</v>
      </c>
      <c r="E129" s="10" t="n">
        <f aca="false">$M129*input!E126</f>
        <v>425016</v>
      </c>
      <c r="F129" s="10" t="n">
        <f aca="false">$M129*input!F126</f>
        <v>379947</v>
      </c>
      <c r="G129" s="10" t="n">
        <f aca="false">$M129*input!G126</f>
        <v>336820</v>
      </c>
      <c r="H129" s="10" t="n">
        <f aca="false">$M129*input!H126</f>
        <v>296426</v>
      </c>
      <c r="I129" s="10" t="n">
        <f aca="false">$M129*input!I126</f>
        <v>262551</v>
      </c>
      <c r="J129" s="10" t="n">
        <f aca="false">$M129*input!J126</f>
        <v>232798</v>
      </c>
      <c r="K129" s="10" t="n">
        <f aca="false">$M129*input!K126</f>
        <v>208007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7834994</v>
      </c>
      <c r="C131" s="10" t="n">
        <f aca="false">$M131*input!C128</f>
        <v>8260359</v>
      </c>
      <c r="D131" s="10" t="n">
        <f aca="false">$M131*input!D128</f>
        <v>9209167</v>
      </c>
      <c r="E131" s="10" t="n">
        <f aca="false">$M131*input!E128</f>
        <v>10165749</v>
      </c>
      <c r="F131" s="10" t="n">
        <f aca="false">$M131*input!F128</f>
        <v>8156698</v>
      </c>
      <c r="G131" s="10" t="n">
        <f aca="false">$M131*input!G128</f>
        <v>7512425</v>
      </c>
      <c r="H131" s="10" t="n">
        <f aca="false">$M131*input!H128</f>
        <v>5218527</v>
      </c>
      <c r="I131" s="10" t="n">
        <f aca="false">$M131*input!I128</f>
        <v>5272349</v>
      </c>
      <c r="J131" s="10" t="n">
        <f aca="false">$M131*input!J128</f>
        <v>5965779</v>
      </c>
      <c r="K131" s="10" t="n">
        <f aca="false">$M131*input!K128</f>
        <v>6638186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420091</v>
      </c>
      <c r="C132" s="2" t="n">
        <f aca="false">$M132*input!C129</f>
        <v>420091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300000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500000</v>
      </c>
      <c r="E133" s="2" t="n">
        <f aca="false">$M133*input!E130</f>
        <v>500000</v>
      </c>
      <c r="F133" s="2" t="n">
        <f aca="false">$M133*input!F130</f>
        <v>470000</v>
      </c>
      <c r="G133" s="2" t="n">
        <f aca="false">$M133*input!G130</f>
        <v>0</v>
      </c>
      <c r="H133" s="2" t="n">
        <f aca="false">$M133*input!H130</f>
        <v>300000</v>
      </c>
      <c r="I133" s="2" t="n">
        <f aca="false">$M133*input!I130</f>
        <v>300000</v>
      </c>
      <c r="J133" s="2" t="n">
        <f aca="false">$M133*input!J130</f>
        <v>300000</v>
      </c>
      <c r="K133" s="2" t="n">
        <f aca="false">$M133*input!K130</f>
        <v>300000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1239310</v>
      </c>
      <c r="C138" s="2" t="n">
        <f aca="false">$M138*input!C135</f>
        <v>1452589</v>
      </c>
      <c r="D138" s="2" t="n">
        <f aca="false">$M138*input!D135</f>
        <v>1497102</v>
      </c>
      <c r="E138" s="2" t="n">
        <f aca="false">$M138*input!E135</f>
        <v>1307153</v>
      </c>
      <c r="F138" s="2" t="n">
        <f aca="false">$M138*input!F135</f>
        <v>1236973</v>
      </c>
      <c r="G138" s="2" t="n">
        <f aca="false">$M138*input!G135</f>
        <v>1731571</v>
      </c>
      <c r="H138" s="2" t="n">
        <f aca="false">$M138*input!H135</f>
        <v>1016646</v>
      </c>
      <c r="I138" s="2" t="n">
        <f aca="false">$M138*input!I135</f>
        <v>651632</v>
      </c>
      <c r="J138" s="2" t="n">
        <f aca="false">$M138*input!J135</f>
        <v>721981</v>
      </c>
      <c r="K138" s="2" t="n">
        <f aca="false">$M138*input!K135</f>
        <v>811555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2141485</v>
      </c>
      <c r="C139" s="2" t="n">
        <f aca="false">$M139*input!C136</f>
        <v>3025638</v>
      </c>
      <c r="D139" s="2" t="n">
        <f aca="false">$M139*input!D136</f>
        <v>3817390</v>
      </c>
      <c r="E139" s="2" t="n">
        <f aca="false">$M139*input!E136</f>
        <v>4281783</v>
      </c>
      <c r="F139" s="2" t="n">
        <f aca="false">$M139*input!F136</f>
        <v>3738859</v>
      </c>
      <c r="G139" s="2" t="n">
        <f aca="false">$M139*input!G136</f>
        <v>2045694</v>
      </c>
      <c r="H139" s="2" t="n">
        <f aca="false">$M139*input!H136</f>
        <v>1629781</v>
      </c>
      <c r="I139" s="2" t="n">
        <f aca="false">$M139*input!I136</f>
        <v>2146428</v>
      </c>
      <c r="J139" s="2" t="n">
        <f aca="false">$M139*input!J136</f>
        <v>2658771</v>
      </c>
      <c r="K139" s="2" t="n">
        <f aca="false">$M139*input!K136</f>
        <v>3267216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2500</v>
      </c>
      <c r="C142" s="2" t="n">
        <f aca="false">$M142*input!C139</f>
        <v>0</v>
      </c>
      <c r="D142" s="2" t="n">
        <f aca="false">$M142*input!D139</f>
        <v>22556</v>
      </c>
      <c r="E142" s="2" t="n">
        <f aca="false">$M142*input!E139</f>
        <v>14903</v>
      </c>
      <c r="F142" s="2" t="n">
        <f aca="false">$M142*input!F139</f>
        <v>35047</v>
      </c>
      <c r="G142" s="2" t="n">
        <f aca="false">$M142*input!G139</f>
        <v>47960</v>
      </c>
      <c r="H142" s="2" t="n">
        <f aca="false">$M142*input!H139</f>
        <v>45251</v>
      </c>
      <c r="I142" s="2" t="n">
        <f aca="false">$M142*input!I139</f>
        <v>19529</v>
      </c>
      <c r="J142" s="2" t="n">
        <f aca="false">$M142*input!J139</f>
        <v>24744</v>
      </c>
      <c r="K142" s="2" t="n">
        <f aca="false">$M142*input!K139</f>
        <v>12647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3411923</v>
      </c>
      <c r="C144" s="2" t="n">
        <f aca="false">$M144*input!C141</f>
        <v>2755351</v>
      </c>
      <c r="D144" s="2" t="n">
        <f aca="false">$M144*input!D141</f>
        <v>2729435</v>
      </c>
      <c r="E144" s="2" t="n">
        <f aca="false">$M144*input!E141</f>
        <v>3677162</v>
      </c>
      <c r="F144" s="2" t="n">
        <f aca="false">$M144*input!F141</f>
        <v>2302986</v>
      </c>
      <c r="G144" s="2" t="n">
        <f aca="false">$M144*input!G141</f>
        <v>3082928</v>
      </c>
      <c r="H144" s="2" t="n">
        <f aca="false">$M144*input!H141</f>
        <v>1902125</v>
      </c>
      <c r="I144" s="2" t="n">
        <f aca="false">$M144*input!I141</f>
        <v>1953777</v>
      </c>
      <c r="J144" s="2" t="n">
        <f aca="false">$M144*input!J141</f>
        <v>1975420</v>
      </c>
      <c r="K144" s="2" t="n">
        <f aca="false">$M144*input!K141</f>
        <v>1895868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36902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0</v>
      </c>
      <c r="D154" s="2" t="n">
        <f aca="false">$M154*input!D151</f>
        <v>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65543</v>
      </c>
      <c r="C156" s="2" t="n">
        <f aca="false">$M156*input!C153</f>
        <v>57070</v>
      </c>
      <c r="D156" s="2" t="n">
        <f aca="false">$M156*input!D153</f>
        <v>64876</v>
      </c>
      <c r="E156" s="2" t="n">
        <f aca="false">$M156*input!E153</f>
        <v>80476</v>
      </c>
      <c r="F156" s="2" t="n">
        <f aca="false">$M156*input!F153</f>
        <v>86205</v>
      </c>
      <c r="G156" s="2" t="n">
        <f aca="false">$M156*input!G153</f>
        <v>87798</v>
      </c>
      <c r="H156" s="2" t="n">
        <f aca="false">$M156*input!H153</f>
        <v>123590</v>
      </c>
      <c r="I156" s="2" t="n">
        <f aca="false">$M156*input!I153</f>
        <v>50291</v>
      </c>
      <c r="J156" s="2" t="n">
        <f aca="false">$M156*input!J153</f>
        <v>135016</v>
      </c>
      <c r="K156" s="2" t="n">
        <f aca="false">$M156*input!K153</f>
        <v>201585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89346</v>
      </c>
      <c r="C158" s="2" t="n">
        <f aca="false">$M158*input!C155</f>
        <v>87559</v>
      </c>
      <c r="D158" s="2" t="n">
        <f aca="false">$M158*input!D155</f>
        <v>91382</v>
      </c>
      <c r="E158" s="2" t="n">
        <f aca="false">$M158*input!E155</f>
        <v>96057</v>
      </c>
      <c r="F158" s="2" t="n">
        <f aca="false">$M158*input!F155</f>
        <v>63601</v>
      </c>
      <c r="G158" s="2" t="n">
        <f aca="false">$M158*input!G155</f>
        <v>65529</v>
      </c>
      <c r="H158" s="2" t="n">
        <f aca="false">$M158*input!H155</f>
        <v>63998</v>
      </c>
      <c r="I158" s="2" t="n">
        <f aca="false">$M158*input!I155</f>
        <v>42529</v>
      </c>
      <c r="J158" s="2" t="n">
        <f aca="false">$M158*input!J155</f>
        <v>43569</v>
      </c>
      <c r="K158" s="2" t="n">
        <f aca="false">$M158*input!K155</f>
        <v>52052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464796</v>
      </c>
      <c r="C160" s="2" t="n">
        <f aca="false">$M160*input!C157</f>
        <v>462061</v>
      </c>
      <c r="D160" s="2" t="n">
        <f aca="false">$M160*input!D157</f>
        <v>486426</v>
      </c>
      <c r="E160" s="2" t="n">
        <f aca="false">$M160*input!E157</f>
        <v>208215</v>
      </c>
      <c r="F160" s="2" t="n">
        <f aca="false">$M160*input!F157</f>
        <v>186125</v>
      </c>
      <c r="G160" s="2" t="n">
        <f aca="false">$M160*input!G157</f>
        <v>150945</v>
      </c>
      <c r="H160" s="2" t="n">
        <f aca="false">$M160*input!H157</f>
        <v>137136</v>
      </c>
      <c r="I160" s="2" t="n">
        <f aca="false">$M160*input!I157</f>
        <v>108163</v>
      </c>
      <c r="J160" s="2" t="n">
        <f aca="false">$M160*input!J157</f>
        <v>106278</v>
      </c>
      <c r="K160" s="2" t="n">
        <f aca="false">$M160*input!K157</f>
        <v>97263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0</v>
      </c>
      <c r="C161" s="2" t="n">
        <f aca="false">$M161*input!C158</f>
        <v>0</v>
      </c>
      <c r="D161" s="2" t="n">
        <f aca="false">$M161*input!D158</f>
        <v>0</v>
      </c>
      <c r="E161" s="2" t="n">
        <f aca="false">$M161*input!E158</f>
        <v>0</v>
      </c>
      <c r="F161" s="2" t="n">
        <f aca="false">$M161*input!F158</f>
        <v>0</v>
      </c>
      <c r="G161" s="2" t="n">
        <f aca="false">$M161*input!G158</f>
        <v>0</v>
      </c>
      <c r="H161" s="2" t="n">
        <f aca="false">$M161*input!H158</f>
        <v>0</v>
      </c>
      <c r="I161" s="2" t="n">
        <f aca="false">$M161*input!I158</f>
        <v>0</v>
      </c>
      <c r="J161" s="2" t="n">
        <f aca="false">$M161*input!J158</f>
        <v>0</v>
      </c>
      <c r="K161" s="2" t="n">
        <f aca="false">$M161*input!K158</f>
        <v>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5693509</v>
      </c>
      <c r="C162" s="2" t="n">
        <f aca="false">$M162*input!C159</f>
        <v>5234721</v>
      </c>
      <c r="D162" s="2" t="n">
        <f aca="false">$M162*input!D159</f>
        <v>4891777</v>
      </c>
      <c r="E162" s="2" t="n">
        <f aca="false">$M162*input!E159</f>
        <v>5383966</v>
      </c>
      <c r="F162" s="2" t="n">
        <f aca="false">$M162*input!F159</f>
        <v>3910937</v>
      </c>
      <c r="G162" s="2" t="n">
        <f aca="false">$M162*input!G159</f>
        <v>5466731</v>
      </c>
      <c r="H162" s="2" t="n">
        <f aca="false">$M162*input!H159</f>
        <v>3288746</v>
      </c>
      <c r="I162" s="2" t="n">
        <f aca="false">$M162*input!I159</f>
        <v>2825921</v>
      </c>
      <c r="J162" s="2" t="n">
        <f aca="false">$M162*input!J159</f>
        <v>3007008</v>
      </c>
      <c r="K162" s="2" t="n">
        <f aca="false">$M162*input!K159</f>
        <v>3070970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2141485</v>
      </c>
      <c r="C163" s="2" t="n">
        <f aca="false">$M163*input!C160</f>
        <v>3025638</v>
      </c>
      <c r="D163" s="2" t="n">
        <f aca="false">$M163*input!D160</f>
        <v>4317390</v>
      </c>
      <c r="E163" s="2" t="n">
        <f aca="false">$M163*input!E160</f>
        <v>4781783</v>
      </c>
      <c r="F163" s="2" t="n">
        <f aca="false">$M163*input!F160</f>
        <v>4245761</v>
      </c>
      <c r="G163" s="2" t="n">
        <f aca="false">$M163*input!G160</f>
        <v>2045694</v>
      </c>
      <c r="H163" s="2" t="n">
        <f aca="false">$M163*input!H160</f>
        <v>1929781</v>
      </c>
      <c r="I163" s="2" t="n">
        <f aca="false">$M163*input!I160</f>
        <v>2446428</v>
      </c>
      <c r="J163" s="2" t="n">
        <f aca="false">$M163*input!J160</f>
        <v>2958771</v>
      </c>
      <c r="K163" s="2" t="n">
        <f aca="false">$M163*input!K160</f>
        <v>3567216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5693509</v>
      </c>
      <c r="C164" s="2" t="n">
        <f aca="false">$M164*input!C161</f>
        <v>5234721</v>
      </c>
      <c r="D164" s="2" t="n">
        <f aca="false">$M164*input!D161</f>
        <v>4891777</v>
      </c>
      <c r="E164" s="2" t="n">
        <f aca="false">$M164*input!E161</f>
        <v>5383966</v>
      </c>
      <c r="F164" s="2" t="n">
        <f aca="false">$M164*input!F161</f>
        <v>3910937</v>
      </c>
      <c r="G164" s="2" t="n">
        <f aca="false">$M164*input!G161</f>
        <v>5466731</v>
      </c>
      <c r="H164" s="2" t="n">
        <f aca="false">$M164*input!H161</f>
        <v>3288746</v>
      </c>
      <c r="I164" s="2" t="n">
        <f aca="false">$M164*input!I161</f>
        <v>2825921</v>
      </c>
      <c r="J164" s="2" t="n">
        <f aca="false">$M164*input!J161</f>
        <v>3007008</v>
      </c>
      <c r="K164" s="2" t="n">
        <f aca="false">$M164*input!K161</f>
        <v>3070970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2141485</v>
      </c>
      <c r="C165" s="2" t="n">
        <f aca="false">$M165*input!C162</f>
        <v>3025638</v>
      </c>
      <c r="D165" s="2" t="n">
        <f aca="false">$M165*input!D162</f>
        <v>4317390</v>
      </c>
      <c r="E165" s="2" t="n">
        <f aca="false">$M165*input!E162</f>
        <v>4781783</v>
      </c>
      <c r="F165" s="2" t="n">
        <f aca="false">$M165*input!F162</f>
        <v>4245761</v>
      </c>
      <c r="G165" s="2" t="n">
        <f aca="false">$M165*input!G162</f>
        <v>2045694</v>
      </c>
      <c r="H165" s="2" t="n">
        <f aca="false">$M165*input!H162</f>
        <v>1929781</v>
      </c>
      <c r="I165" s="2" t="n">
        <f aca="false">$M165*input!I162</f>
        <v>2446428</v>
      </c>
      <c r="J165" s="2" t="n">
        <f aca="false">$M165*input!J162</f>
        <v>2958771</v>
      </c>
      <c r="K165" s="2" t="n">
        <f aca="false">$M165*input!K162</f>
        <v>3567216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528860</v>
      </c>
      <c r="C166" s="10" t="n">
        <f aca="false">$M166*input!C163</f>
        <v>537974</v>
      </c>
      <c r="D166" s="10" t="n">
        <f aca="false">$M166*input!D163</f>
        <v>627688</v>
      </c>
      <c r="E166" s="10" t="n">
        <f aca="false">$M166*input!E163</f>
        <v>706039</v>
      </c>
      <c r="F166" s="10" t="n">
        <f aca="false">$M166*input!F163</f>
        <v>729609</v>
      </c>
      <c r="G166" s="10" t="n">
        <f aca="false">$M166*input!G163</f>
        <v>485370</v>
      </c>
      <c r="H166" s="10" t="n">
        <f aca="false">$M166*input!H163</f>
        <v>535908</v>
      </c>
      <c r="I166" s="10" t="n">
        <f aca="false">$M166*input!I163</f>
        <v>587022</v>
      </c>
      <c r="J166" s="10" t="n">
        <f aca="false">$M166*input!J163</f>
        <v>648205</v>
      </c>
      <c r="K166" s="10" t="n">
        <f aca="false">$M166*input!K163</f>
        <v>710011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14885832</v>
      </c>
      <c r="C168" s="18" t="n">
        <f aca="false">$M168*input!C165</f>
        <v>15178928</v>
      </c>
      <c r="D168" s="18" t="n">
        <f aca="false">$M168*input!D165</f>
        <v>16253050</v>
      </c>
      <c r="E168" s="18" t="n">
        <f aca="false">$M168*input!E165</f>
        <v>17508507</v>
      </c>
      <c r="F168" s="18" t="n">
        <f aca="false">$M168*input!F165</f>
        <v>15730559</v>
      </c>
      <c r="G168" s="18" t="n">
        <f aca="false">$M168*input!G165</f>
        <v>14551060</v>
      </c>
      <c r="H168" s="18" t="n">
        <f aca="false">$M168*input!H165</f>
        <v>11815560</v>
      </c>
      <c r="I168" s="18" t="n">
        <f aca="false">$M168*input!I165</f>
        <v>11222926</v>
      </c>
      <c r="J168" s="18" t="n">
        <f aca="false">$M168*input!J165</f>
        <v>11537032</v>
      </c>
      <c r="K168" s="18" t="n">
        <f aca="false">$M168*input!K165</f>
        <v>11686442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0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16243428</v>
      </c>
      <c r="C172" s="10" t="n">
        <f aca="false">$M172*input!C168</f>
        <v>15774476</v>
      </c>
      <c r="D172" s="10" t="n">
        <f aca="false">$M172*input!D168</f>
        <v>16260912</v>
      </c>
      <c r="E172" s="10" t="n">
        <f aca="false">$M172*input!E168</f>
        <v>15526786</v>
      </c>
      <c r="F172" s="10" t="n">
        <f aca="false">$M172*input!F168</f>
        <v>12515990</v>
      </c>
      <c r="G172" s="10" t="n">
        <f aca="false">$M172*input!G168</f>
        <v>13325536</v>
      </c>
      <c r="H172" s="10" t="n">
        <f aca="false">$M172*input!H168</f>
        <v>12072197</v>
      </c>
      <c r="I172" s="10" t="n">
        <f aca="false">$M172*input!I168</f>
        <v>11441643</v>
      </c>
      <c r="J172" s="10" t="n">
        <f aca="false">$M172*input!J168</f>
        <v>11207825</v>
      </c>
      <c r="K172" s="10" t="n">
        <f aca="false">$M172*input!K168</f>
        <v>10769361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15607657</v>
      </c>
      <c r="C173" s="2" t="n">
        <f aca="false">$M173*input!C169</f>
        <v>15595693</v>
      </c>
      <c r="D173" s="2" t="n">
        <f aca="false">$M173*input!D169</f>
        <v>16158875</v>
      </c>
      <c r="E173" s="2" t="n">
        <f aca="false">$M173*input!E169</f>
        <v>14546939</v>
      </c>
      <c r="F173" s="2" t="n">
        <f aca="false">$M173*input!F169</f>
        <v>12602255</v>
      </c>
      <c r="G173" s="2" t="n">
        <f aca="false">$M173*input!G169</f>
        <v>12805865</v>
      </c>
      <c r="H173" s="2" t="n">
        <f aca="false">$M173*input!H169</f>
        <v>11989648</v>
      </c>
      <c r="I173" s="2" t="n">
        <f aca="false">$M173*input!I169</f>
        <v>11175995</v>
      </c>
      <c r="J173" s="2" t="n">
        <f aca="false">$M173*input!J169</f>
        <v>11019069</v>
      </c>
      <c r="K173" s="2" t="n">
        <f aca="false">$M173*input!K169</f>
        <v>10752849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377432</v>
      </c>
      <c r="C174" s="2" t="n">
        <f aca="false">$M174*input!C170</f>
        <v>-116508</v>
      </c>
      <c r="D174" s="2" t="n">
        <f aca="false">$M174*input!D170</f>
        <v>-196679</v>
      </c>
      <c r="E174" s="2" t="n">
        <f aca="false">$M174*input!E170</f>
        <v>759669</v>
      </c>
      <c r="F174" s="2" t="n">
        <f aca="false">$M174*input!F170</f>
        <v>-290356</v>
      </c>
      <c r="G174" s="2" t="n">
        <f aca="false">$M174*input!G170</f>
        <v>515310</v>
      </c>
      <c r="H174" s="2" t="n">
        <f aca="false">$M174*input!H170</f>
        <v>-77269</v>
      </c>
      <c r="I174" s="2" t="n">
        <f aca="false">$M174*input!I170</f>
        <v>82744</v>
      </c>
      <c r="J174" s="2" t="n">
        <f aca="false">$M174*input!J170</f>
        <v>14029</v>
      </c>
      <c r="K174" s="2" t="n">
        <f aca="false">$M174*input!K170</f>
        <v>-153174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377432</v>
      </c>
      <c r="C176" s="2" t="n">
        <f aca="false">$M176*input!C172</f>
        <v>-116508</v>
      </c>
      <c r="D176" s="2" t="n">
        <f aca="false">$M176*input!D172</f>
        <v>-196679</v>
      </c>
      <c r="E176" s="2" t="n">
        <f aca="false">$M176*input!E172</f>
        <v>759669</v>
      </c>
      <c r="F176" s="2" t="n">
        <f aca="false">$M176*input!F172</f>
        <v>-290356</v>
      </c>
      <c r="G176" s="2" t="n">
        <f aca="false">$M176*input!G172</f>
        <v>515310</v>
      </c>
      <c r="H176" s="2" t="n">
        <f aca="false">$M176*input!H172</f>
        <v>-77269</v>
      </c>
      <c r="I176" s="2" t="n">
        <f aca="false">$M176*input!I172</f>
        <v>82744</v>
      </c>
      <c r="J176" s="2" t="n">
        <f aca="false">$M176*input!J172</f>
        <v>14029</v>
      </c>
      <c r="K176" s="2" t="n">
        <f aca="false">$M176*input!K172</f>
        <v>-153174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258339</v>
      </c>
      <c r="C178" s="2" t="n">
        <f aca="false">$M178*input!C174</f>
        <v>295291</v>
      </c>
      <c r="D178" s="2" t="n">
        <f aca="false">$M178*input!D174</f>
        <v>298716</v>
      </c>
      <c r="E178" s="2" t="n">
        <f aca="false">$M178*input!E174</f>
        <v>220178</v>
      </c>
      <c r="F178" s="2" t="n">
        <f aca="false">$M178*input!F174</f>
        <v>204091</v>
      </c>
      <c r="G178" s="2" t="n">
        <f aca="false">$M178*input!G174</f>
        <v>4361</v>
      </c>
      <c r="H178" s="2" t="n">
        <f aca="false">$M178*input!H174</f>
        <v>159818</v>
      </c>
      <c r="I178" s="2" t="n">
        <f aca="false">$M178*input!I174</f>
        <v>182904</v>
      </c>
      <c r="J178" s="2" t="n">
        <f aca="false">$M178*input!J174</f>
        <v>174727</v>
      </c>
      <c r="K178" s="2" t="n">
        <f aca="false">$M178*input!K174</f>
        <v>169686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567</v>
      </c>
      <c r="C179" s="2" t="n">
        <f aca="false">$M179*input!C175</f>
        <v>44721</v>
      </c>
      <c r="D179" s="2" t="n">
        <f aca="false">$M179*input!D175</f>
        <v>21004</v>
      </c>
      <c r="E179" s="2" t="n">
        <f aca="false">$M179*input!E175</f>
        <v>623</v>
      </c>
      <c r="F179" s="2" t="n">
        <f aca="false">$M179*input!F175</f>
        <v>1023</v>
      </c>
      <c r="G179" s="2" t="n">
        <f aca="false">$M179*input!G175</f>
        <v>4361</v>
      </c>
      <c r="H179" s="2" t="n">
        <f aca="false">$M179*input!H175</f>
        <v>694</v>
      </c>
      <c r="I179" s="2" t="n">
        <f aca="false">$M179*input!I175</f>
        <v>409</v>
      </c>
      <c r="J179" s="2" t="n">
        <f aca="false">$M179*input!J175</f>
        <v>399</v>
      </c>
      <c r="K179" s="2" t="n">
        <f aca="false">$M179*input!K175</f>
        <v>167923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15954938</v>
      </c>
      <c r="C180" s="10" t="n">
        <f aca="false">$M180*input!C176</f>
        <v>15565583</v>
      </c>
      <c r="D180" s="10" t="n">
        <f aca="false">$M180*input!D176</f>
        <v>16072113</v>
      </c>
      <c r="E180" s="10" t="n">
        <f aca="false">$M180*input!E176</f>
        <v>15786046</v>
      </c>
      <c r="F180" s="10" t="n">
        <f aca="false">$M180*input!F176</f>
        <v>13279221</v>
      </c>
      <c r="G180" s="10" t="n">
        <f aca="false">$M180*input!G176</f>
        <v>12792952</v>
      </c>
      <c r="H180" s="10" t="n">
        <f aca="false">$M180*input!H176</f>
        <v>11252486</v>
      </c>
      <c r="I180" s="10" t="n">
        <f aca="false">$M180*input!I176</f>
        <v>10884509</v>
      </c>
      <c r="J180" s="10" t="n">
        <f aca="false">$M180*input!J176</f>
        <v>10339483</v>
      </c>
      <c r="K180" s="10" t="n">
        <f aca="false">$M180*input!K176</f>
        <v>10089662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-11242690</v>
      </c>
      <c r="C181" s="2" t="n">
        <f aca="false">$M181*input!C177</f>
        <v>-10100470</v>
      </c>
      <c r="D181" s="2" t="n">
        <f aca="false">$M181*input!D177</f>
        <v>-10293789</v>
      </c>
      <c r="E181" s="2" t="n">
        <f aca="false">$M181*input!E177</f>
        <v>-10067088</v>
      </c>
      <c r="F181" s="2" t="n">
        <f aca="false">$M181*input!F177</f>
        <v>-8517441</v>
      </c>
      <c r="G181" s="2" t="n">
        <f aca="false">$M181*input!G177</f>
        <v>-8713514</v>
      </c>
      <c r="H181" s="2" t="n">
        <f aca="false">$M181*input!H177</f>
        <v>-7609650</v>
      </c>
      <c r="I181" s="2" t="n">
        <f aca="false">$M181*input!I177</f>
        <v>-7525108</v>
      </c>
      <c r="J181" s="2" t="n">
        <f aca="false">$M181*input!J177</f>
        <v>-7091591</v>
      </c>
      <c r="K181" s="2" t="n">
        <f aca="false">$M181*input!K177</f>
        <v>-6948166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-2610510</v>
      </c>
      <c r="C182" s="2" t="n">
        <f aca="false">$M182*input!C178</f>
        <v>-2870170</v>
      </c>
      <c r="D182" s="2" t="n">
        <f aca="false">$M182*input!D178</f>
        <v>-3238511</v>
      </c>
      <c r="E182" s="2" t="n">
        <f aca="false">$M182*input!E178</f>
        <v>-3150242</v>
      </c>
      <c r="F182" s="2" t="n">
        <f aca="false">$M182*input!F178</f>
        <v>-2710429</v>
      </c>
      <c r="G182" s="2" t="n">
        <f aca="false">$M182*input!G178</f>
        <v>-2247291</v>
      </c>
      <c r="H182" s="2" t="n">
        <f aca="false">$M182*input!H178</f>
        <v>-2038220</v>
      </c>
      <c r="I182" s="2" t="n">
        <f aca="false">$M182*input!I178</f>
        <v>-1867903</v>
      </c>
      <c r="J182" s="2" t="n">
        <f aca="false">$M182*input!J178</f>
        <v>-1854019</v>
      </c>
      <c r="K182" s="2" t="n">
        <f aca="false">$M182*input!K178</f>
        <v>-1758812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-18343</v>
      </c>
      <c r="C183" s="2" t="n">
        <f aca="false">$M183*input!C179</f>
        <v>-18174</v>
      </c>
      <c r="D183" s="2" t="n">
        <f aca="false">$M183*input!D179</f>
        <v>-23331</v>
      </c>
      <c r="E183" s="2" t="n">
        <f aca="false">$M183*input!E179</f>
        <v>-22567</v>
      </c>
      <c r="F183" s="2" t="n">
        <f aca="false">$M183*input!F179</f>
        <v>-18836</v>
      </c>
      <c r="G183" s="2" t="n">
        <f aca="false">$M183*input!G179</f>
        <v>-10401</v>
      </c>
      <c r="H183" s="2" t="n">
        <f aca="false">$M183*input!H179</f>
        <v>-8155</v>
      </c>
      <c r="I183" s="2" t="n">
        <f aca="false">$M183*input!I179</f>
        <v>-7283</v>
      </c>
      <c r="J183" s="2" t="n">
        <f aca="false">$M183*input!J179</f>
        <v>-6001</v>
      </c>
      <c r="K183" s="2" t="n">
        <f aca="false">$M183*input!K179</f>
        <v>-5881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-1290406</v>
      </c>
      <c r="C184" s="2" t="n">
        <f aca="false">$M184*input!C180</f>
        <v>-1364011</v>
      </c>
      <c r="D184" s="2" t="n">
        <f aca="false">$M184*input!D180</f>
        <v>-1347707</v>
      </c>
      <c r="E184" s="2" t="n">
        <f aca="false">$M184*input!E180</f>
        <v>-1415251</v>
      </c>
      <c r="F184" s="2" t="n">
        <f aca="false">$M184*input!F180</f>
        <v>-1168049</v>
      </c>
      <c r="G184" s="2" t="n">
        <f aca="false">$M184*input!G180</f>
        <v>-1052737</v>
      </c>
      <c r="H184" s="2" t="n">
        <f aca="false">$M184*input!H180</f>
        <v>-961818</v>
      </c>
      <c r="I184" s="2" t="n">
        <f aca="false">$M184*input!I180</f>
        <v>-832621</v>
      </c>
      <c r="J184" s="2" t="n">
        <f aca="false">$M184*input!J180</f>
        <v>-730776</v>
      </c>
      <c r="K184" s="2" t="n">
        <f aca="false">$M184*input!K180</f>
        <v>-744993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912502</v>
      </c>
      <c r="C185" s="2" t="n">
        <f aca="false">$M185*input!C181</f>
        <v>932236</v>
      </c>
      <c r="D185" s="2" t="n">
        <f aca="false">$M185*input!D181</f>
        <v>964994</v>
      </c>
      <c r="E185" s="2" t="n">
        <f aca="false">$M185*input!E181</f>
        <v>1025988</v>
      </c>
      <c r="F185" s="2" t="n">
        <f aca="false">$M185*input!F181</f>
        <v>850940</v>
      </c>
      <c r="G185" s="2" t="n">
        <f aca="false">$M185*input!G181</f>
        <v>766549</v>
      </c>
      <c r="H185" s="2" t="n">
        <f aca="false">$M185*input!H181</f>
        <v>715435</v>
      </c>
      <c r="I185" s="2" t="n">
        <f aca="false">$M185*input!I181</f>
        <v>652336</v>
      </c>
      <c r="J185" s="2" t="n">
        <f aca="false">$M185*input!J181</f>
        <v>561920</v>
      </c>
      <c r="K185" s="2" t="n">
        <f aca="false">$M185*input!K181</f>
        <v>586375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274517</v>
      </c>
      <c r="C186" s="2" t="n">
        <f aca="false">$M186*input!C182</f>
        <v>285144</v>
      </c>
      <c r="D186" s="2" t="n">
        <f aca="false">$M186*input!D182</f>
        <v>281654</v>
      </c>
      <c r="E186" s="2" t="n">
        <f aca="false">$M186*input!E182</f>
        <v>302151</v>
      </c>
      <c r="F186" s="2" t="n">
        <f aca="false">$M186*input!F182</f>
        <v>240517</v>
      </c>
      <c r="G186" s="2" t="n">
        <f aca="false">$M186*input!G182</f>
        <v>220421</v>
      </c>
      <c r="H186" s="2" t="n">
        <f aca="false">$M186*input!H182</f>
        <v>189742</v>
      </c>
      <c r="I186" s="2" t="n">
        <f aca="false">$M186*input!I182</f>
        <v>120647</v>
      </c>
      <c r="J186" s="2" t="n">
        <f aca="false">$M186*input!J182</f>
        <v>117608</v>
      </c>
      <c r="K186" s="2" t="n">
        <f aca="false">$M186*input!K182</f>
        <v>128955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63497</v>
      </c>
      <c r="C187" s="2" t="n">
        <f aca="false">$M187*input!C183</f>
        <v>68081</v>
      </c>
      <c r="D187" s="2" t="n">
        <f aca="false">$M187*input!D183</f>
        <v>101059</v>
      </c>
      <c r="E187" s="2" t="n">
        <f aca="false">$M187*input!E183</f>
        <v>87112</v>
      </c>
      <c r="F187" s="2" t="n">
        <f aca="false">$M187*input!F183</f>
        <v>63301</v>
      </c>
      <c r="G187" s="2" t="n">
        <f aca="false">$M187*input!G183</f>
        <v>54698</v>
      </c>
      <c r="H187" s="2" t="n">
        <f aca="false">$M187*input!H183</f>
        <v>47053</v>
      </c>
      <c r="I187" s="2" t="n">
        <f aca="false">$M187*input!I183</f>
        <v>33608</v>
      </c>
      <c r="J187" s="2" t="n">
        <f aca="false">$M187*input!J183</f>
        <v>31398</v>
      </c>
      <c r="K187" s="2" t="n">
        <f aca="false">$M187*input!K183</f>
        <v>29663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0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39890</v>
      </c>
      <c r="C189" s="2" t="n">
        <f aca="false">$M189*input!C185</f>
        <v>78550</v>
      </c>
      <c r="D189" s="2" t="n">
        <f aca="false">$M189*input!D185</f>
        <v>0</v>
      </c>
      <c r="E189" s="2" t="n">
        <f aca="false">$M189*input!E185</f>
        <v>0</v>
      </c>
      <c r="F189" s="2" t="n">
        <f aca="false">$M189*input!F185</f>
        <v>13291</v>
      </c>
      <c r="G189" s="2" t="n">
        <f aca="false">$M189*input!G185</f>
        <v>11069</v>
      </c>
      <c r="H189" s="2" t="n">
        <f aca="false">$M189*input!H185</f>
        <v>9588</v>
      </c>
      <c r="I189" s="2" t="n">
        <f aca="false">$M189*input!I185</f>
        <v>26030</v>
      </c>
      <c r="J189" s="2" t="n">
        <f aca="false">$M189*input!J185</f>
        <v>19850</v>
      </c>
      <c r="K189" s="2" t="n">
        <f aca="false">$M189*input!K185</f>
        <v>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103387</v>
      </c>
      <c r="C190" s="2" t="n">
        <f aca="false">$M190*input!C186</f>
        <v>146631</v>
      </c>
      <c r="D190" s="2" t="n">
        <f aca="false">$M190*input!D186</f>
        <v>101059</v>
      </c>
      <c r="E190" s="2" t="n">
        <f aca="false">$M190*input!E186</f>
        <v>87112</v>
      </c>
      <c r="F190" s="2" t="n">
        <f aca="false">$M190*input!F186</f>
        <v>76592</v>
      </c>
      <c r="G190" s="2" t="n">
        <f aca="false">$M190*input!G186</f>
        <v>65767</v>
      </c>
      <c r="H190" s="2" t="n">
        <f aca="false">$M190*input!H186</f>
        <v>56641</v>
      </c>
      <c r="I190" s="2" t="n">
        <f aca="false">$M190*input!I186</f>
        <v>59638</v>
      </c>
      <c r="J190" s="2" t="n">
        <f aca="false">$M190*input!J186</f>
        <v>51248</v>
      </c>
      <c r="K190" s="2" t="n">
        <f aca="false">$M190*input!K186</f>
        <v>29663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1134862</v>
      </c>
      <c r="C191" s="2" t="n">
        <f aca="false">$M191*input!C187</f>
        <v>1051642</v>
      </c>
      <c r="D191" s="2" t="n">
        <f aca="false">$M191*input!D187</f>
        <v>1124505</v>
      </c>
      <c r="E191" s="2" t="n">
        <f aca="false">$M191*input!E187</f>
        <v>1054068</v>
      </c>
      <c r="F191" s="2" t="n">
        <f aca="false">$M191*input!F187</f>
        <v>776033</v>
      </c>
      <c r="G191" s="2" t="n">
        <f aca="false">$M191*input!G187</f>
        <v>586436</v>
      </c>
      <c r="H191" s="2" t="n">
        <f aca="false">$M191*input!H187</f>
        <v>553359</v>
      </c>
      <c r="I191" s="2" t="n">
        <f aca="false">$M191*input!I187</f>
        <v>548263</v>
      </c>
      <c r="J191" s="2" t="n">
        <f aca="false">$M191*input!J187</f>
        <v>549597</v>
      </c>
      <c r="K191" s="2" t="n">
        <f aca="false">$M191*input!K187</f>
        <v>542144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-14606</v>
      </c>
      <c r="C192" s="2" t="n">
        <f aca="false">$M192*input!C188</f>
        <v>-59765</v>
      </c>
      <c r="D192" s="2" t="n">
        <f aca="false">$M192*input!D188</f>
        <v>-64929</v>
      </c>
      <c r="E192" s="2" t="n">
        <f aca="false">$M192*input!E188</f>
        <v>-53119</v>
      </c>
      <c r="F192" s="2" t="n">
        <f aca="false">$M192*input!F188</f>
        <v>-31257</v>
      </c>
      <c r="G192" s="2" t="n">
        <f aca="false">$M192*input!G188</f>
        <v>-10554</v>
      </c>
      <c r="H192" s="2" t="n">
        <f aca="false">$M192*input!H188</f>
        <v>-8943</v>
      </c>
      <c r="I192" s="2" t="n">
        <f aca="false">$M192*input!I188</f>
        <v>-6164</v>
      </c>
      <c r="J192" s="2" t="n">
        <f aca="false">$M192*input!J188</f>
        <v>-6772</v>
      </c>
      <c r="K192" s="2" t="n">
        <f aca="false">$M192*input!K188</f>
        <v>-8062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-934740</v>
      </c>
      <c r="C193" s="2" t="n">
        <f aca="false">$M193*input!C189</f>
        <v>-979693</v>
      </c>
      <c r="D193" s="2" t="n">
        <f aca="false">$M193*input!D189</f>
        <v>-1006617</v>
      </c>
      <c r="E193" s="2" t="n">
        <f aca="false">$M193*input!E189</f>
        <v>-953288</v>
      </c>
      <c r="F193" s="2" t="n">
        <f aca="false">$M193*input!F189</f>
        <v>-696532</v>
      </c>
      <c r="G193" s="2" t="n">
        <f aca="false">$M193*input!G189</f>
        <v>-528820</v>
      </c>
      <c r="H193" s="2" t="n">
        <f aca="false">$M193*input!H189</f>
        <v>-510688</v>
      </c>
      <c r="I193" s="2" t="n">
        <f aca="false">$M193*input!I189</f>
        <v>-501060</v>
      </c>
      <c r="J193" s="2" t="n">
        <f aca="false">$M193*input!J189</f>
        <v>-501193</v>
      </c>
      <c r="K193" s="2" t="n">
        <f aca="false">$M193*input!K189</f>
        <v>-496343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949346</v>
      </c>
      <c r="C195" s="2" t="n">
        <f aca="false">$M195*input!C191</f>
        <v>1039458</v>
      </c>
      <c r="D195" s="2" t="n">
        <f aca="false">$M195*input!D191</f>
        <v>1071546</v>
      </c>
      <c r="E195" s="2" t="n">
        <f aca="false">$M195*input!E191</f>
        <v>1006407</v>
      </c>
      <c r="F195" s="2" t="n">
        <f aca="false">$M195*input!F191</f>
        <v>727789</v>
      </c>
      <c r="G195" s="2" t="n">
        <f aca="false">$M195*input!G191</f>
        <v>539374</v>
      </c>
      <c r="H195" s="2" t="n">
        <f aca="false">$M195*input!H191</f>
        <v>519631</v>
      </c>
      <c r="I195" s="2" t="n">
        <f aca="false">$M195*input!I191</f>
        <v>507224</v>
      </c>
      <c r="J195" s="2" t="n">
        <f aca="false">$M195*input!J191</f>
        <v>507965</v>
      </c>
      <c r="K195" s="2" t="n">
        <f aca="false">$M195*input!K191</f>
        <v>504405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-185516</v>
      </c>
      <c r="C196" s="2" t="n">
        <f aca="false">$M196*input!C192</f>
        <v>-12184</v>
      </c>
      <c r="D196" s="2" t="n">
        <f aca="false">$M196*input!D192</f>
        <v>-52959</v>
      </c>
      <c r="E196" s="2" t="n">
        <f aca="false">$M196*input!E192</f>
        <v>-47661</v>
      </c>
      <c r="F196" s="2" t="n">
        <f aca="false">$M196*input!F192</f>
        <v>-48244</v>
      </c>
      <c r="G196" s="2" t="n">
        <f aca="false">$M196*input!G192</f>
        <v>-47062</v>
      </c>
      <c r="H196" s="2" t="n">
        <f aca="false">$M196*input!H192</f>
        <v>-33728</v>
      </c>
      <c r="I196" s="2" t="n">
        <f aca="false">$M196*input!I192</f>
        <v>-41039</v>
      </c>
      <c r="J196" s="2" t="n">
        <f aca="false">$M196*input!J192</f>
        <v>-41632</v>
      </c>
      <c r="K196" s="2" t="n">
        <f aca="false">$M196*input!K192</f>
        <v>-37739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433075</v>
      </c>
      <c r="C197" s="2" t="n">
        <f aca="false">$M197*input!C193</f>
        <v>-67652</v>
      </c>
      <c r="D197" s="2" t="n">
        <f aca="false">$M197*input!D193</f>
        <v>82731</v>
      </c>
      <c r="E197" s="2" t="n">
        <f aca="false">$M197*input!E193</f>
        <v>72094</v>
      </c>
      <c r="F197" s="2" t="n">
        <f aca="false">$M197*input!F193</f>
        <v>22749</v>
      </c>
      <c r="G197" s="2" t="n">
        <f aca="false">$M197*input!G193</f>
        <v>259</v>
      </c>
      <c r="H197" s="2" t="n">
        <f aca="false">$M197*input!H193</f>
        <v>-2027</v>
      </c>
      <c r="I197" s="2" t="n">
        <f aca="false">$M197*input!I193</f>
        <v>8181</v>
      </c>
      <c r="J197" s="2" t="n">
        <f aca="false">$M197*input!J193</f>
        <v>17195</v>
      </c>
      <c r="K197" s="2" t="n">
        <f aca="false">$M197*input!K193</f>
        <v>-20996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-0</v>
      </c>
      <c r="C198" s="2" t="n">
        <f aca="false">$M198*input!C194</f>
        <v>-0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-91202</v>
      </c>
      <c r="C200" s="2" t="n">
        <f aca="false">$M200*input!C196</f>
        <v>-93464</v>
      </c>
      <c r="D200" s="2" t="n">
        <f aca="false">$M200*input!D196</f>
        <v>-127001</v>
      </c>
      <c r="E200" s="2" t="n">
        <f aca="false">$M200*input!E196</f>
        <v>-148924</v>
      </c>
      <c r="F200" s="2" t="n">
        <f aca="false">$M200*input!F196</f>
        <v>-111182</v>
      </c>
      <c r="G200" s="2" t="n">
        <f aca="false">$M200*input!G196</f>
        <v>-182832</v>
      </c>
      <c r="H200" s="2" t="n">
        <f aca="false">$M200*input!H196</f>
        <v>-79257</v>
      </c>
      <c r="I200" s="2" t="n">
        <f aca="false">$M200*input!I196</f>
        <v>-111512</v>
      </c>
      <c r="J200" s="2" t="n">
        <f aca="false">$M200*input!J196</f>
        <v>-124694</v>
      </c>
      <c r="K200" s="2" t="n">
        <f aca="false">$M200*input!K196</f>
        <v>-68670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288490</v>
      </c>
      <c r="C201" s="28" t="n">
        <f aca="false">$M201*input!C197</f>
        <v>208893</v>
      </c>
      <c r="D201" s="28" t="n">
        <f aca="false">$M201*input!D197</f>
        <v>188799</v>
      </c>
      <c r="E201" s="28" t="n">
        <f aca="false">$M201*input!E197</f>
        <v>-259260</v>
      </c>
      <c r="F201" s="28" t="n">
        <f aca="false">$M201*input!F197</f>
        <v>-763231</v>
      </c>
      <c r="G201" s="28" t="n">
        <f aca="false">$M201*input!G197</f>
        <v>532584</v>
      </c>
      <c r="H201" s="28" t="n">
        <f aca="false">$M201*input!H197</f>
        <v>819711</v>
      </c>
      <c r="I201" s="28" t="n">
        <f aca="false">$M201*input!I197</f>
        <v>557134</v>
      </c>
      <c r="J201" s="28" t="n">
        <f aca="false">$M201*input!J197</f>
        <v>868342</v>
      </c>
      <c r="K201" s="28" t="n">
        <f aca="false">$M201*input!K197</f>
        <v>679699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2713758</v>
      </c>
      <c r="C202" s="30" t="n">
        <f aca="false">$M202*input!C198</f>
        <v>2624546</v>
      </c>
      <c r="D202" s="30" t="n">
        <f aca="false">$M202*input!D198</f>
        <v>2661011</v>
      </c>
      <c r="E202" s="30" t="n">
        <f aca="false">$M202*input!E198</f>
        <v>2210059</v>
      </c>
      <c r="F202" s="30" t="n">
        <f aca="false">$M202*input!F198</f>
        <v>1180851</v>
      </c>
      <c r="G202" s="30" t="n">
        <f aca="false">$M202*input!G198</f>
        <v>2171757</v>
      </c>
      <c r="H202" s="30" t="n">
        <f aca="false">$M202*input!H198</f>
        <v>2334888</v>
      </c>
      <c r="I202" s="30" t="n">
        <f aca="false">$M202*input!I198</f>
        <v>1938018</v>
      </c>
      <c r="J202" s="30" t="n">
        <f aca="false">$M202*input!J198</f>
        <v>2148715</v>
      </c>
      <c r="K202" s="30" t="n">
        <f aca="false">$M202*input!K198</f>
        <v>1966836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-123077</v>
      </c>
      <c r="C203" s="10" t="n">
        <f aca="false">$M203*input!C199</f>
        <v>-137947</v>
      </c>
      <c r="D203" s="10" t="n">
        <f aca="false">$M203*input!D199</f>
        <v>-43779</v>
      </c>
      <c r="E203" s="10" t="n">
        <f aca="false">$M203*input!E199</f>
        <v>-19660</v>
      </c>
      <c r="F203" s="10" t="n">
        <f aca="false">$M203*input!F199</f>
        <v>-5208</v>
      </c>
      <c r="G203" s="10" t="n">
        <f aca="false">$M203*input!G199</f>
        <v>11623</v>
      </c>
      <c r="H203" s="10" t="n">
        <f aca="false">$M203*input!H199</f>
        <v>3002</v>
      </c>
      <c r="I203" s="10" t="n">
        <f aca="false">$M203*input!I199</f>
        <v>-37956</v>
      </c>
      <c r="J203" s="10" t="n">
        <f aca="false">$M203*input!J199</f>
        <v>-76405</v>
      </c>
      <c r="K203" s="10" t="n">
        <f aca="false">$M203*input!K199</f>
        <v>-246946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30062</v>
      </c>
      <c r="C208" s="2" t="n">
        <f aca="false">$M208*input!C204</f>
        <v>14629</v>
      </c>
      <c r="D208" s="2" t="n">
        <f aca="false">$M208*input!D204</f>
        <v>57215</v>
      </c>
      <c r="E208" s="2" t="n">
        <f aca="false">$M208*input!E204</f>
        <v>51377</v>
      </c>
      <c r="F208" s="2" t="n">
        <f aca="false">$M208*input!F204</f>
        <v>66053</v>
      </c>
      <c r="G208" s="2" t="n">
        <f aca="false">$M208*input!G204</f>
        <v>64222</v>
      </c>
      <c r="H208" s="2" t="n">
        <f aca="false">$M208*input!H204</f>
        <v>47141</v>
      </c>
      <c r="I208" s="2" t="n">
        <f aca="false">$M208*input!I204</f>
        <v>42032</v>
      </c>
      <c r="J208" s="2" t="n">
        <f aca="false">$M208*input!J204</f>
        <v>33770</v>
      </c>
      <c r="K208" s="2" t="n">
        <f aca="false">$M208*input!K204</f>
        <v>30925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30062</v>
      </c>
      <c r="C215" s="2" t="n">
        <f aca="false">$M215*input!C211</f>
        <v>14629</v>
      </c>
      <c r="D215" s="2" t="n">
        <f aca="false">$M215*input!D211</f>
        <v>57215</v>
      </c>
      <c r="E215" s="2" t="n">
        <f aca="false">$M215*input!E211</f>
        <v>51377</v>
      </c>
      <c r="F215" s="2" t="n">
        <f aca="false">$M215*input!F211</f>
        <v>66053</v>
      </c>
      <c r="G215" s="2" t="n">
        <f aca="false">$M215*input!G211</f>
        <v>64222</v>
      </c>
      <c r="H215" s="2" t="n">
        <f aca="false">$M215*input!H211</f>
        <v>47141</v>
      </c>
      <c r="I215" s="2" t="n">
        <f aca="false">$M215*input!I211</f>
        <v>42032</v>
      </c>
      <c r="J215" s="2" t="n">
        <f aca="false">$M215*input!J211</f>
        <v>33770</v>
      </c>
      <c r="K215" s="2" t="n">
        <f aca="false">$M215*input!K211</f>
        <v>30925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-153139</v>
      </c>
      <c r="C218" s="2" t="n">
        <f aca="false">$M218*input!C214</f>
        <v>-152576</v>
      </c>
      <c r="D218" s="2" t="n">
        <f aca="false">$M218*input!D214</f>
        <v>-100916</v>
      </c>
      <c r="E218" s="2" t="n">
        <f aca="false">$M218*input!E214</f>
        <v>-71120</v>
      </c>
      <c r="F218" s="2" t="n">
        <f aca="false">$M218*input!F214</f>
        <v>-71239</v>
      </c>
      <c r="G218" s="2" t="n">
        <f aca="false">$M218*input!G214</f>
        <v>-52555</v>
      </c>
      <c r="H218" s="2" t="n">
        <f aca="false">$M218*input!H214</f>
        <v>-44139</v>
      </c>
      <c r="I218" s="2" t="n">
        <f aca="false">$M218*input!I214</f>
        <v>-79988</v>
      </c>
      <c r="J218" s="2" t="n">
        <f aca="false">$M218*input!J214</f>
        <v>-110173</v>
      </c>
      <c r="K218" s="2" t="n">
        <f aca="false">$M218*input!K214</f>
        <v>-277863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7500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-78</v>
      </c>
      <c r="E221" s="2" t="n">
        <f aca="false">$M221*input!E217</f>
        <v>83</v>
      </c>
      <c r="F221" s="2" t="n">
        <f aca="false">$M221*input!F217</f>
        <v>-22</v>
      </c>
      <c r="G221" s="2" t="n">
        <f aca="false">$M221*input!G217</f>
        <v>-44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-2</v>
      </c>
      <c r="K221" s="2" t="n">
        <f aca="false">$M221*input!K217</f>
        <v>-8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-720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-720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720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0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-8406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11729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-20135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165413</v>
      </c>
      <c r="C241" s="28" t="n">
        <f aca="false">$M241*input!C237</f>
        <v>70946</v>
      </c>
      <c r="D241" s="28" t="n">
        <f aca="false">$M241*input!D237</f>
        <v>144300</v>
      </c>
      <c r="E241" s="28" t="n">
        <f aca="false">$M241*input!E237</f>
        <v>-278920</v>
      </c>
      <c r="F241" s="28" t="n">
        <f aca="false">$M241*input!F237</f>
        <v>-768439</v>
      </c>
      <c r="G241" s="28" t="n">
        <f aca="false">$M241*input!G237</f>
        <v>544207</v>
      </c>
      <c r="H241" s="28" t="n">
        <f aca="false">$M241*input!H237</f>
        <v>822713</v>
      </c>
      <c r="I241" s="28" t="n">
        <f aca="false">$M241*input!I237</f>
        <v>519178</v>
      </c>
      <c r="J241" s="28" t="n">
        <f aca="false">$M241*input!J237</f>
        <v>791937</v>
      </c>
      <c r="K241" s="28" t="n">
        <f aca="false">$M241*input!K237</f>
        <v>424347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-16414</v>
      </c>
      <c r="C242" s="10" t="n">
        <f aca="false">$M242*input!C238</f>
        <v>-12775</v>
      </c>
      <c r="D242" s="10" t="n">
        <f aca="false">$M242*input!D238</f>
        <v>-15313</v>
      </c>
      <c r="E242" s="10" t="n">
        <f aca="false">$M242*input!E238</f>
        <v>-1669</v>
      </c>
      <c r="F242" s="10" t="n">
        <f aca="false">$M242*input!F238</f>
        <v>-0</v>
      </c>
      <c r="G242" s="10" t="n">
        <f aca="false">$M242*input!G238</f>
        <v>-126786</v>
      </c>
      <c r="H242" s="10" t="n">
        <f aca="false">$M242*input!H238</f>
        <v>-194286</v>
      </c>
      <c r="I242" s="10" t="n">
        <f aca="false">$M242*input!I238</f>
        <v>-168237</v>
      </c>
      <c r="J242" s="10" t="n">
        <f aca="false">$M242*input!J238</f>
        <v>-257796</v>
      </c>
      <c r="K242" s="10" t="n">
        <f aca="false">$M242*input!K238</f>
        <v>-144172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16840</v>
      </c>
      <c r="C243" s="2" t="n">
        <f aca="false">$M243*input!C239</f>
        <v>12775</v>
      </c>
      <c r="D243" s="2" t="n">
        <f aca="false">$M243*input!D239</f>
        <v>15313</v>
      </c>
      <c r="E243" s="2" t="n">
        <f aca="false">$M243*input!E239</f>
        <v>1669</v>
      </c>
      <c r="F243" s="2" t="n">
        <f aca="false">$M243*input!F239</f>
        <v>0</v>
      </c>
      <c r="G243" s="2" t="n">
        <f aca="false">$M243*input!G239</f>
        <v>131237</v>
      </c>
      <c r="H243" s="2" t="n">
        <f aca="false">$M243*input!H239</f>
        <v>195488</v>
      </c>
      <c r="I243" s="2" t="n">
        <f aca="false">$M243*input!I239</f>
        <v>162791</v>
      </c>
      <c r="J243" s="2" t="n">
        <f aca="false">$M243*input!J239</f>
        <v>241307</v>
      </c>
      <c r="K243" s="2" t="n">
        <f aca="false">$M243*input!K239</f>
        <v>144172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-426</v>
      </c>
      <c r="C244" s="2" t="n">
        <f aca="false">$M244*input!C240</f>
        <v>0</v>
      </c>
      <c r="D244" s="2" t="n">
        <f aca="false">$M244*input!D240</f>
        <v>0</v>
      </c>
      <c r="E244" s="2" t="n">
        <f aca="false">$M244*input!E240</f>
        <v>0</v>
      </c>
      <c r="F244" s="2" t="n">
        <f aca="false">$M244*input!F240</f>
        <v>0</v>
      </c>
      <c r="G244" s="2" t="n">
        <f aca="false">$M244*input!G240</f>
        <v>-4451</v>
      </c>
      <c r="H244" s="2" t="n">
        <f aca="false">$M244*input!H240</f>
        <v>-1202</v>
      </c>
      <c r="I244" s="2" t="n">
        <f aca="false">$M244*input!I240</f>
        <v>5446</v>
      </c>
      <c r="J244" s="2" t="n">
        <f aca="false">$M244*input!J240</f>
        <v>2467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0</v>
      </c>
      <c r="C245" s="2" t="n">
        <f aca="false">$M245*input!C241</f>
        <v>0</v>
      </c>
      <c r="D245" s="2" t="n">
        <f aca="false">$M245*input!D241</f>
        <v>0</v>
      </c>
      <c r="E245" s="2" t="n">
        <f aca="false">$M245*input!E241</f>
        <v>0</v>
      </c>
      <c r="F245" s="2" t="n">
        <f aca="false">$M245*input!F241</f>
        <v>0</v>
      </c>
      <c r="G245" s="2" t="n">
        <f aca="false">$M245*input!G241</f>
        <v>0</v>
      </c>
      <c r="H245" s="2" t="n">
        <f aca="false">$M245*input!H241</f>
        <v>0</v>
      </c>
      <c r="I245" s="2" t="n">
        <f aca="false">$M245*input!I241</f>
        <v>0</v>
      </c>
      <c r="J245" s="2" t="n">
        <f aca="false">$M245*input!J241</f>
        <v>14022</v>
      </c>
      <c r="K245" s="2" t="n">
        <f aca="false">$M245*input!K241</f>
        <v>0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0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148999</v>
      </c>
      <c r="C249" s="18" t="n">
        <f aca="false">$M249*input!C245</f>
        <v>58171</v>
      </c>
      <c r="D249" s="18" t="n">
        <f aca="false">$M249*input!D245</f>
        <v>128987</v>
      </c>
      <c r="E249" s="18" t="n">
        <f aca="false">$M249*input!E245</f>
        <v>-280589</v>
      </c>
      <c r="F249" s="18" t="n">
        <f aca="false">$M249*input!F245</f>
        <v>-768439</v>
      </c>
      <c r="G249" s="18" t="n">
        <f aca="false">$M249*input!G245</f>
        <v>417421</v>
      </c>
      <c r="H249" s="18" t="n">
        <f aca="false">$M249*input!H245</f>
        <v>628427</v>
      </c>
      <c r="I249" s="18" t="n">
        <f aca="false">$M249*input!I245</f>
        <v>350941</v>
      </c>
      <c r="J249" s="18" t="n">
        <f aca="false">$M249*input!J245</f>
        <v>534141</v>
      </c>
      <c r="K249" s="18" t="n">
        <f aca="false">$M249*input!K245</f>
        <v>280175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SALUMIFICIO VAL RENDENA S.P.A.</v>
      </c>
    </row>
    <row r="252" customFormat="false" ht="12.75" hidden="false" customHeight="false" outlineLevel="0" collapsed="false">
      <c r="A252" s="1" t="str">
        <f aca="false">input!A248</f>
        <v>00184900223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1886858</v>
      </c>
      <c r="C5" s="26" t="n">
        <f aca="false">SUMIF(case!$N:$N,$A5,case!C:C)</f>
        <v>2285706</v>
      </c>
      <c r="D5" s="26" t="n">
        <f aca="false">SUMIF(case!$N:$N,$A5,case!D:D)</f>
        <v>1952294</v>
      </c>
      <c r="E5" s="26" t="n">
        <f aca="false">SUMIF(case!$N:$N,$A5,case!E:E)</f>
        <v>2107645</v>
      </c>
      <c r="F5" s="26" t="n">
        <f aca="false">SUMIF(case!$N:$N,$A5,case!F:F)</f>
        <v>1520160</v>
      </c>
      <c r="G5" s="26" t="n">
        <f aca="false">SUMIF(case!$N:$N,$A5,case!G:G)</f>
        <v>1941180</v>
      </c>
      <c r="H5" s="26" t="n">
        <f aca="false">SUMIF(case!$N:$N,$A5,case!H:H)</f>
        <v>1972556</v>
      </c>
      <c r="I5" s="26" t="n">
        <f aca="false">SUMIF(case!$N:$N,$A5,case!I:I)</f>
        <v>1967438</v>
      </c>
      <c r="J5" s="26" t="n">
        <f aca="false">SUMIF(case!$N:$N,$A5,case!J:J)</f>
        <v>2035830</v>
      </c>
      <c r="K5" s="26" t="n">
        <f aca="false">SUMIF(case!$N:$N,$A5,case!K:K)</f>
        <v>1691488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4030465</v>
      </c>
      <c r="C6" s="26" t="n">
        <f aca="false">SUMIF(case!$N:$N,$A6,case!C:C)</f>
        <v>3219958</v>
      </c>
      <c r="D6" s="26" t="n">
        <f aca="false">SUMIF(case!$N:$N,$A6,case!D:D)</f>
        <v>3404119</v>
      </c>
      <c r="E6" s="26" t="n">
        <f aca="false">SUMIF(case!$N:$N,$A6,case!E:E)</f>
        <v>3518066</v>
      </c>
      <c r="F6" s="26" t="n">
        <f aca="false">SUMIF(case!$N:$N,$A6,case!F:F)</f>
        <v>2686304</v>
      </c>
      <c r="G6" s="26" t="n">
        <f aca="false">SUMIF(case!$N:$N,$A6,case!G:G)</f>
        <v>2953911</v>
      </c>
      <c r="H6" s="26" t="n">
        <f aca="false">SUMIF(case!$N:$N,$A6,case!H:H)</f>
        <v>2438343</v>
      </c>
      <c r="I6" s="26" t="n">
        <f aca="false">SUMIF(case!$N:$N,$A6,case!I:I)</f>
        <v>2517638</v>
      </c>
      <c r="J6" s="26" t="n">
        <f aca="false">SUMIF(case!$N:$N,$A6,case!J:J)</f>
        <v>2426714</v>
      </c>
      <c r="K6" s="26" t="n">
        <f aca="false">SUMIF(case!$N:$N,$A6,case!K:K)</f>
        <v>2395489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269521</v>
      </c>
      <c r="C7" s="26" t="n">
        <f aca="false">SUMIF(case!$N:$N,$A7,case!C:C)</f>
        <v>460230</v>
      </c>
      <c r="D7" s="26" t="n">
        <f aca="false">SUMIF(case!$N:$N,$A7,case!D:D)</f>
        <v>439623</v>
      </c>
      <c r="E7" s="26" t="n">
        <f aca="false">SUMIF(case!$N:$N,$A7,case!E:E)</f>
        <v>504401</v>
      </c>
      <c r="F7" s="26" t="n">
        <f aca="false">SUMIF(case!$N:$N,$A7,case!F:F)</f>
        <v>483729</v>
      </c>
      <c r="G7" s="26" t="n">
        <f aca="false">SUMIF(case!$N:$N,$A7,case!G:G)</f>
        <v>142695</v>
      </c>
      <c r="H7" s="26" t="n">
        <f aca="false">SUMIF(case!$N:$N,$A7,case!H:H)</f>
        <v>72230</v>
      </c>
      <c r="I7" s="26" t="n">
        <f aca="false">SUMIF(case!$N:$N,$A7,case!I:I)</f>
        <v>94312</v>
      </c>
      <c r="J7" s="26" t="n">
        <f aca="false">SUMIF(case!$N:$N,$A7,case!J:J)</f>
        <v>94307</v>
      </c>
      <c r="K7" s="26" t="n">
        <f aca="false">SUMIF(case!$N:$N,$A7,case!K:K)</f>
        <v>113620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6186844</v>
      </c>
      <c r="C8" s="26" t="n">
        <f aca="false">SUM(C5:C7)</f>
        <v>5965894</v>
      </c>
      <c r="D8" s="26" t="n">
        <f aca="false">SUM(D5:D7)</f>
        <v>5796036</v>
      </c>
      <c r="E8" s="26" t="n">
        <f aca="false">SUM(E5:E7)</f>
        <v>6130112</v>
      </c>
      <c r="F8" s="26" t="n">
        <f aca="false">SUM(F5:F7)</f>
        <v>4690193</v>
      </c>
      <c r="G8" s="26" t="n">
        <f aca="false">SUM(G5:G7)</f>
        <v>5037786</v>
      </c>
      <c r="H8" s="26" t="n">
        <f aca="false">SUM(H5:H7)</f>
        <v>4483129</v>
      </c>
      <c r="I8" s="26" t="n">
        <f aca="false">SUM(I5:I7)</f>
        <v>4579388</v>
      </c>
      <c r="J8" s="26" t="n">
        <f aca="false">SUM(J5:J7)</f>
        <v>4556851</v>
      </c>
      <c r="K8" s="26" t="n">
        <f aca="false">SUM(K5:K7)</f>
        <v>4200597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6765600</v>
      </c>
      <c r="C10" s="26" t="n">
        <f aca="false">SUMIF(case!$N:$N,$A10,case!C:C)</f>
        <v>7679392</v>
      </c>
      <c r="D10" s="26" t="n">
        <f aca="false">SUMIF(case!$N:$N,$A10,case!D:D)</f>
        <v>8591948</v>
      </c>
      <c r="E10" s="26" t="n">
        <f aca="false">SUMIF(case!$N:$N,$A10,case!E:E)</f>
        <v>8784048</v>
      </c>
      <c r="F10" s="26" t="n">
        <f aca="false">SUMIF(case!$N:$N,$A10,case!F:F)</f>
        <v>9263440</v>
      </c>
      <c r="G10" s="26" t="n">
        <f aca="false">SUMIF(case!$N:$N,$A10,case!G:G)</f>
        <v>8192901</v>
      </c>
      <c r="H10" s="26" t="n">
        <f aca="false">SUMIF(case!$N:$N,$A10,case!H:H)</f>
        <v>5864242</v>
      </c>
      <c r="I10" s="26" t="n">
        <f aca="false">SUMIF(case!$N:$N,$A10,case!I:I)</f>
        <v>6106254</v>
      </c>
      <c r="J10" s="26" t="n">
        <f aca="false">SUMIF(case!$N:$N,$A10,case!J:J)</f>
        <v>6516040</v>
      </c>
      <c r="K10" s="26" t="n">
        <f aca="false">SUMIF(case!$N:$N,$A10,case!K:K)</f>
        <v>6959474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34699</v>
      </c>
      <c r="C11" s="26" t="n">
        <f aca="false">SUMIF(case!$N:$N,$A11,case!C:C)</f>
        <v>40584</v>
      </c>
      <c r="D11" s="26" t="n">
        <f aca="false">SUMIF(case!$N:$N,$A11,case!D:D)</f>
        <v>92011</v>
      </c>
      <c r="E11" s="26" t="n">
        <f aca="false">SUMIF(case!$N:$N,$A11,case!E:E)</f>
        <v>90137</v>
      </c>
      <c r="F11" s="26" t="n">
        <f aca="false">SUMIF(case!$N:$N,$A11,case!F:F)</f>
        <v>53975</v>
      </c>
      <c r="G11" s="26" t="n">
        <f aca="false">SUMIF(case!$N:$N,$A11,case!G:G)</f>
        <v>13063</v>
      </c>
      <c r="H11" s="26" t="n">
        <f aca="false">SUMIF(case!$N:$N,$A11,case!H:H)</f>
        <v>13065</v>
      </c>
      <c r="I11" s="26" t="n">
        <f aca="false">SUMIF(case!$N:$N,$A11,case!I:I)</f>
        <v>5538</v>
      </c>
      <c r="J11" s="26" t="n">
        <f aca="false">SUMIF(case!$N:$N,$A11,case!J:J)</f>
        <v>7052</v>
      </c>
      <c r="K11" s="26" t="n">
        <f aca="false">SUMIF(case!$N:$N,$A11,case!K:K)</f>
        <v>10450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6800299</v>
      </c>
      <c r="C12" s="26" t="n">
        <f aca="false">SUM(C10:C11)</f>
        <v>7719976</v>
      </c>
      <c r="D12" s="26" t="n">
        <f aca="false">SUM(D10:D11)</f>
        <v>8683959</v>
      </c>
      <c r="E12" s="26" t="n">
        <f aca="false">SUM(E10:E11)</f>
        <v>8874185</v>
      </c>
      <c r="F12" s="26" t="n">
        <f aca="false">SUM(F10:F11)</f>
        <v>9317415</v>
      </c>
      <c r="G12" s="26" t="n">
        <f aca="false">SUM(G10:G11)</f>
        <v>8205964</v>
      </c>
      <c r="H12" s="26" t="n">
        <f aca="false">SUM(H10:H11)</f>
        <v>5877307</v>
      </c>
      <c r="I12" s="26" t="n">
        <f aca="false">SUM(I10:I11)</f>
        <v>6111792</v>
      </c>
      <c r="J12" s="26" t="n">
        <f aca="false">SUM(J10:J11)</f>
        <v>6523092</v>
      </c>
      <c r="K12" s="26" t="n">
        <f aca="false">SUM(K10:K11)</f>
        <v>6969924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1450</v>
      </c>
      <c r="C14" s="26" t="n">
        <f aca="false">SUMIF(case!$N:$N,$A14,case!C:C)</f>
        <v>1450</v>
      </c>
      <c r="D14" s="26" t="n">
        <f aca="false">SUMIF(case!$N:$N,$A14,case!D:D)</f>
        <v>1450</v>
      </c>
      <c r="E14" s="26" t="n">
        <f aca="false">SUMIF(case!$N:$N,$A14,case!E:E)</f>
        <v>1450</v>
      </c>
      <c r="F14" s="26" t="n">
        <f aca="false">SUMIF(case!$N:$N,$A14,case!F:F)</f>
        <v>1300</v>
      </c>
      <c r="G14" s="26" t="n">
        <f aca="false">SUMIF(case!$N:$N,$A14,case!G:G)</f>
        <v>1300</v>
      </c>
      <c r="H14" s="26" t="n">
        <f aca="false">SUMIF(case!$N:$N,$A14,case!H:H)</f>
        <v>0</v>
      </c>
      <c r="I14" s="26" t="n">
        <f aca="false">SUMIF(case!$N:$N,$A14,case!I:I)</f>
        <v>0</v>
      </c>
      <c r="J14" s="26" t="n">
        <f aca="false">SUMIF(case!$N:$N,$A14,case!J:J)</f>
        <v>0</v>
      </c>
      <c r="K14" s="26" t="n">
        <f aca="false">SUMIF(case!$N:$N,$A14,case!K:K)</f>
        <v>0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1450</v>
      </c>
      <c r="C15" s="26" t="n">
        <f aca="false">SUM(C14)</f>
        <v>1450</v>
      </c>
      <c r="D15" s="26" t="n">
        <f aca="false">SUM(D14)</f>
        <v>1450</v>
      </c>
      <c r="E15" s="26" t="n">
        <f aca="false">SUM(E14)</f>
        <v>1450</v>
      </c>
      <c r="F15" s="26" t="n">
        <f aca="false">SUM(F14)</f>
        <v>1300</v>
      </c>
      <c r="G15" s="26" t="n">
        <f aca="false">SUM(G14)</f>
        <v>1300</v>
      </c>
      <c r="H15" s="26" t="n">
        <f aca="false">SUM(H14)</f>
        <v>0</v>
      </c>
      <c r="I15" s="26" t="n">
        <f aca="false">SUM(I14)</f>
        <v>0</v>
      </c>
      <c r="J15" s="26" t="n">
        <f aca="false">SUM(J14)</f>
        <v>0</v>
      </c>
      <c r="K15" s="26" t="n">
        <f aca="false">SUM(K14)</f>
        <v>0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12988593</v>
      </c>
      <c r="C16" s="26" t="n">
        <f aca="false">C8+C12+C15</f>
        <v>13687320</v>
      </c>
      <c r="D16" s="26" t="n">
        <f aca="false">D8+D12+D15</f>
        <v>14481445</v>
      </c>
      <c r="E16" s="26" t="n">
        <f aca="false">E8+E12+E15</f>
        <v>15005747</v>
      </c>
      <c r="F16" s="26" t="n">
        <f aca="false">F8+F12+F15</f>
        <v>14008908</v>
      </c>
      <c r="G16" s="26" t="n">
        <f aca="false">G8+G12+G15</f>
        <v>13245050</v>
      </c>
      <c r="H16" s="26" t="n">
        <f aca="false">H8+H12+H15</f>
        <v>10360436</v>
      </c>
      <c r="I16" s="26" t="n">
        <f aca="false">I8+I12+I15</f>
        <v>10691180</v>
      </c>
      <c r="J16" s="26" t="n">
        <f aca="false">J8+J12+J15</f>
        <v>11079943</v>
      </c>
      <c r="K16" s="26" t="n">
        <f aca="false">K8+K12+K15</f>
        <v>11170521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224418</v>
      </c>
      <c r="C19" s="26" t="n">
        <f aca="false">SUMIF(case!$N:$N,$A19,case!C:C)</f>
        <v>135703</v>
      </c>
      <c r="D19" s="26" t="n">
        <f aca="false">SUMIF(case!$N:$N,$A19,case!D:D)</f>
        <v>289039</v>
      </c>
      <c r="E19" s="26" t="n">
        <f aca="false">SUMIF(case!$N:$N,$A19,case!E:E)</f>
        <v>489925</v>
      </c>
      <c r="F19" s="26" t="n">
        <f aca="false">SUMIF(case!$N:$N,$A19,case!F:F)</f>
        <v>494133</v>
      </c>
      <c r="G19" s="26" t="n">
        <f aca="false">SUMIF(case!$N:$N,$A19,case!G:G)</f>
        <v>664264</v>
      </c>
      <c r="H19" s="26" t="n">
        <f aca="false">SUMIF(case!$N:$N,$A19,case!H:H)</f>
        <v>33758</v>
      </c>
      <c r="I19" s="26" t="n">
        <f aca="false">SUMIF(case!$N:$N,$A19,case!I:I)</f>
        <v>42430</v>
      </c>
      <c r="J19" s="26" t="n">
        <f aca="false">SUMIF(case!$N:$N,$A19,case!J:J)</f>
        <v>23592</v>
      </c>
      <c r="K19" s="26" t="n">
        <f aca="false">SUMIF(case!$N:$N,$A19,case!K:K)</f>
        <v>102699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100057</v>
      </c>
      <c r="C20" s="26" t="n">
        <f aca="false">SUMIF(case!$N:$N,$A20,case!C:C)</f>
        <v>100057</v>
      </c>
      <c r="D20" s="26" t="n">
        <f aca="false">SUMIF(case!$N:$N,$A20,case!D:D)</f>
        <v>100057</v>
      </c>
      <c r="E20" s="26" t="n">
        <f aca="false">SUMIF(case!$N:$N,$A20,case!E:E)</f>
        <v>100057</v>
      </c>
      <c r="F20" s="26" t="n">
        <f aca="false">SUMIF(case!$N:$N,$A20,case!F:F)</f>
        <v>100057</v>
      </c>
      <c r="G20" s="26" t="n">
        <f aca="false">SUMIF(case!$N:$N,$A20,case!G:G)</f>
        <v>100057</v>
      </c>
      <c r="H20" s="26" t="n">
        <f aca="false">SUMIF(case!$N:$N,$A20,case!H:H)</f>
        <v>100057</v>
      </c>
      <c r="I20" s="26" t="n">
        <f aca="false">SUMIF(case!$N:$N,$A20,case!I:I)</f>
        <v>100057</v>
      </c>
      <c r="J20" s="26" t="n">
        <f aca="false">SUMIF(case!$N:$N,$A20,case!J:J)</f>
        <v>100057</v>
      </c>
      <c r="K20" s="26" t="n">
        <f aca="false">SUMIF(case!$N:$N,$A20,case!K:K)</f>
        <v>114079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324475</v>
      </c>
      <c r="C21" s="26" t="n">
        <f aca="false">SUM(C19:C20)</f>
        <v>235760</v>
      </c>
      <c r="D21" s="26" t="n">
        <f aca="false">SUM(D19:D20)</f>
        <v>389096</v>
      </c>
      <c r="E21" s="26" t="n">
        <f aca="false">SUM(E19:E20)</f>
        <v>589982</v>
      </c>
      <c r="F21" s="26" t="n">
        <f aca="false">SUM(F19:F20)</f>
        <v>594190</v>
      </c>
      <c r="G21" s="26" t="n">
        <f aca="false">SUM(G19:G20)</f>
        <v>764321</v>
      </c>
      <c r="H21" s="26" t="n">
        <f aca="false">SUM(H19:H20)</f>
        <v>133815</v>
      </c>
      <c r="I21" s="26" t="n">
        <f aca="false">SUM(I19:I20)</f>
        <v>142487</v>
      </c>
      <c r="J21" s="26" t="n">
        <f aca="false">SUM(J19:J20)</f>
        <v>123649</v>
      </c>
      <c r="K21" s="26" t="n">
        <f aca="false">SUM(K19:K20)</f>
        <v>216778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161742</v>
      </c>
      <c r="C25" s="26" t="n">
        <f aca="false">SUMIF(case!$N:$N,$A25,case!C:C)</f>
        <v>161742</v>
      </c>
      <c r="D25" s="26" t="n">
        <f aca="false">SUMIF(case!$N:$N,$A25,case!D:D)</f>
        <v>161742</v>
      </c>
      <c r="E25" s="26" t="n">
        <f aca="false">SUMIF(case!$N:$N,$A25,case!E:E)</f>
        <v>162462</v>
      </c>
      <c r="F25" s="26" t="n">
        <f aca="false">SUMIF(case!$N:$N,$A25,case!F:F)</f>
        <v>162462</v>
      </c>
      <c r="G25" s="26" t="n">
        <f aca="false">SUMIF(case!$N:$N,$A25,case!G:G)</f>
        <v>162591</v>
      </c>
      <c r="H25" s="26" t="n">
        <f aca="false">SUMIF(case!$N:$N,$A25,case!H:H)</f>
        <v>162591</v>
      </c>
      <c r="I25" s="26" t="n">
        <f aca="false">SUMIF(case!$N:$N,$A25,case!I:I)</f>
        <v>162591</v>
      </c>
      <c r="J25" s="26" t="n">
        <f aca="false">SUMIF(case!$N:$N,$A25,case!J:J)</f>
        <v>162591</v>
      </c>
      <c r="K25" s="26" t="n">
        <f aca="false">SUMIF(case!$N:$N,$A25,case!K:K)</f>
        <v>162591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5000</v>
      </c>
      <c r="E26" s="26" t="n">
        <f aca="false">SUMIF(case!$N:$N,$A26,case!E:E)</f>
        <v>5000</v>
      </c>
      <c r="F26" s="26" t="n">
        <f aca="false">SUMIF(case!$N:$N,$A26,case!F:F)</f>
        <v>5000</v>
      </c>
      <c r="G26" s="26" t="n">
        <f aca="false">SUMIF(case!$N:$N,$A26,case!G:G)</f>
        <v>5000</v>
      </c>
      <c r="H26" s="26" t="n">
        <f aca="false">SUMIF(case!$N:$N,$A26,case!H:H)</f>
        <v>5000</v>
      </c>
      <c r="I26" s="26" t="n">
        <f aca="false">SUMIF(case!$N:$N,$A26,case!I:I)</f>
        <v>5000</v>
      </c>
      <c r="J26" s="26" t="n">
        <f aca="false">SUMIF(case!$N:$N,$A26,case!J:J)</f>
        <v>5000</v>
      </c>
      <c r="K26" s="26" t="n">
        <f aca="false">SUMIF(case!$N:$N,$A26,case!K:K)</f>
        <v>86096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161742</v>
      </c>
      <c r="C27" s="26" t="n">
        <f aca="false">SUM(C24:C26)</f>
        <v>161742</v>
      </c>
      <c r="D27" s="26" t="n">
        <f aca="false">SUM(D24:D26)</f>
        <v>166742</v>
      </c>
      <c r="E27" s="26" t="n">
        <f aca="false">SUM(E24:E26)</f>
        <v>167462</v>
      </c>
      <c r="F27" s="26" t="n">
        <f aca="false">SUM(F24:F26)</f>
        <v>167462</v>
      </c>
      <c r="G27" s="26" t="n">
        <f aca="false">SUM(G24:G26)</f>
        <v>167591</v>
      </c>
      <c r="H27" s="26" t="n">
        <f aca="false">SUM(H24:H26)</f>
        <v>167591</v>
      </c>
      <c r="I27" s="26" t="n">
        <f aca="false">SUM(I24:I26)</f>
        <v>167591</v>
      </c>
      <c r="J27" s="26" t="n">
        <f aca="false">SUM(J24:J26)</f>
        <v>167591</v>
      </c>
      <c r="K27" s="26" t="n">
        <f aca="false">SUM(K24:K26)</f>
        <v>248687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1411022</v>
      </c>
      <c r="C31" s="26" t="n">
        <f aca="false">SUMIF(case!$N:$N,$A31,case!C:C)</f>
        <v>1094106</v>
      </c>
      <c r="D31" s="26" t="n">
        <f aca="false">SUMIF(case!$N:$N,$A31,case!D:D)</f>
        <v>1215767</v>
      </c>
      <c r="E31" s="26" t="n">
        <f aca="false">SUMIF(case!$N:$N,$A31,case!E:E)</f>
        <v>1745316</v>
      </c>
      <c r="F31" s="26" t="n">
        <f aca="false">SUMIF(case!$N:$N,$A31,case!F:F)</f>
        <v>959999</v>
      </c>
      <c r="G31" s="26" t="n">
        <f aca="false">SUMIF(case!$N:$N,$A31,case!G:G)</f>
        <v>374098</v>
      </c>
      <c r="H31" s="26" t="n">
        <f aca="false">SUMIF(case!$N:$N,$A31,case!H:H)</f>
        <v>1153718</v>
      </c>
      <c r="I31" s="26" t="n">
        <f aca="false">SUMIF(case!$N:$N,$A31,case!I:I)</f>
        <v>221668</v>
      </c>
      <c r="J31" s="26" t="n">
        <f aca="false">SUMIF(case!$N:$N,$A31,case!J:J)</f>
        <v>165849</v>
      </c>
      <c r="K31" s="26" t="n">
        <f aca="false">SUMIF(case!$N:$N,$A31,case!K:K)</f>
        <v>50456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1411022</v>
      </c>
      <c r="C33" s="26" t="n">
        <f aca="false">SUM(C30:C32)</f>
        <v>1094106</v>
      </c>
      <c r="D33" s="26" t="n">
        <f aca="false">SUM(D30:D32)</f>
        <v>1215767</v>
      </c>
      <c r="E33" s="26" t="n">
        <f aca="false">SUM(E30:E32)</f>
        <v>1745316</v>
      </c>
      <c r="F33" s="26" t="n">
        <f aca="false">SUM(F30:F32)</f>
        <v>959999</v>
      </c>
      <c r="G33" s="26" t="n">
        <f aca="false">SUM(G30:G32)</f>
        <v>374098</v>
      </c>
      <c r="H33" s="26" t="n">
        <f aca="false">SUM(H30:H32)</f>
        <v>1153718</v>
      </c>
      <c r="I33" s="26" t="n">
        <f aca="false">SUM(I30:I32)</f>
        <v>221668</v>
      </c>
      <c r="J33" s="26" t="n">
        <f aca="false">SUM(J30:J32)</f>
        <v>165849</v>
      </c>
      <c r="K33" s="26" t="n">
        <f aca="false">SUM(K30:K32)</f>
        <v>50456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14885832</v>
      </c>
      <c r="C35" s="26" t="n">
        <f aca="false">C16+C21+C27+C33</f>
        <v>15178928</v>
      </c>
      <c r="D35" s="26" t="n">
        <f aca="false">D16+D21+D27+D33</f>
        <v>16253050</v>
      </c>
      <c r="E35" s="26" t="n">
        <f aca="false">E16+E21+E27+E33</f>
        <v>17508507</v>
      </c>
      <c r="F35" s="26" t="n">
        <f aca="false">F16+F21+F27+F33</f>
        <v>15730559</v>
      </c>
      <c r="G35" s="26" t="n">
        <f aca="false">G16+G21+G27+G33</f>
        <v>14551060</v>
      </c>
      <c r="H35" s="26" t="n">
        <f aca="false">H16+H21+H27+H33</f>
        <v>11815560</v>
      </c>
      <c r="I35" s="26" t="n">
        <f aca="false">I16+I21+I27+I33</f>
        <v>11222926</v>
      </c>
      <c r="J35" s="26" t="n">
        <f aca="false">J16+J21+J27+J33</f>
        <v>11537032</v>
      </c>
      <c r="K35" s="26" t="n">
        <f aca="false">K16+K21+K27+K33</f>
        <v>11686442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14885832</v>
      </c>
      <c r="C37" s="26" t="n">
        <f aca="false">case!C95</f>
        <v>15178928</v>
      </c>
      <c r="D37" s="26" t="n">
        <f aca="false">case!D95</f>
        <v>16253050</v>
      </c>
      <c r="E37" s="26" t="n">
        <f aca="false">case!E95</f>
        <v>17508507</v>
      </c>
      <c r="F37" s="26" t="n">
        <f aca="false">case!F95</f>
        <v>15730559</v>
      </c>
      <c r="G37" s="26" t="n">
        <f aca="false">case!G95</f>
        <v>14551060</v>
      </c>
      <c r="H37" s="26" t="n">
        <f aca="false">case!H95</f>
        <v>11815560</v>
      </c>
      <c r="I37" s="26" t="n">
        <f aca="false">case!I95</f>
        <v>11222926</v>
      </c>
      <c r="J37" s="26" t="n">
        <f aca="false">case!J95</f>
        <v>11537032</v>
      </c>
      <c r="K37" s="26" t="n">
        <f aca="false">case!K95</f>
        <v>11686442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0</v>
      </c>
      <c r="C38" s="26" t="n">
        <f aca="false">C37-C35</f>
        <v>0</v>
      </c>
      <c r="D38" s="26" t="n">
        <f aca="false">D37-D35</f>
        <v>0</v>
      </c>
      <c r="E38" s="26" t="n">
        <f aca="false">E37-E35</f>
        <v>0</v>
      </c>
      <c r="F38" s="26" t="n">
        <f aca="false">F37-F35</f>
        <v>0</v>
      </c>
      <c r="G38" s="26" t="n">
        <f aca="false">G37-G35</f>
        <v>0</v>
      </c>
      <c r="H38" s="26" t="n">
        <f aca="false">H37-H35</f>
        <v>0</v>
      </c>
      <c r="I38" s="26" t="n">
        <f aca="false">I37-I35</f>
        <v>0</v>
      </c>
      <c r="J38" s="26" t="n">
        <f aca="false">J37-J35</f>
        <v>0</v>
      </c>
      <c r="K38" s="26" t="n">
        <f aca="false">K37-K35</f>
        <v>0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0</v>
      </c>
      <c r="C40" s="26" t="n">
        <f aca="false">C38+C39</f>
        <v>0</v>
      </c>
      <c r="D40" s="26" t="n">
        <f aca="false">D38+D39</f>
        <v>0</v>
      </c>
      <c r="E40" s="26" t="n">
        <f aca="false">E38+E39</f>
        <v>0</v>
      </c>
      <c r="F40" s="26" t="n">
        <f aca="false">F38+F39</f>
        <v>0</v>
      </c>
      <c r="G40" s="26" t="n">
        <f aca="false">G38+G39</f>
        <v>0</v>
      </c>
      <c r="H40" s="26" t="n">
        <f aca="false">H38+H39</f>
        <v>0</v>
      </c>
      <c r="I40" s="26" t="n">
        <f aca="false">I38+I39</f>
        <v>0</v>
      </c>
      <c r="J40" s="26" t="n">
        <f aca="false">J38+J39</f>
        <v>0</v>
      </c>
      <c r="K40" s="26" t="n">
        <f aca="false">K38+K39</f>
        <v>0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3411923</v>
      </c>
      <c r="C48" s="26" t="n">
        <f aca="false">SUMIF(case!$N:$N,$A48,case!C:C)</f>
        <v>2755351</v>
      </c>
      <c r="D48" s="26" t="n">
        <f aca="false">SUMIF(case!$N:$N,$A48,case!D:D)</f>
        <v>2729435</v>
      </c>
      <c r="E48" s="26" t="n">
        <f aca="false">SUMIF(case!$N:$N,$A48,case!E:E)</f>
        <v>3677162</v>
      </c>
      <c r="F48" s="26" t="n">
        <f aca="false">SUMIF(case!$N:$N,$A48,case!F:F)</f>
        <v>2339888</v>
      </c>
      <c r="G48" s="26" t="n">
        <f aca="false">SUMIF(case!$N:$N,$A48,case!G:G)</f>
        <v>3082928</v>
      </c>
      <c r="H48" s="26" t="n">
        <f aca="false">SUMIF(case!$N:$N,$A48,case!H:H)</f>
        <v>1902125</v>
      </c>
      <c r="I48" s="26" t="n">
        <f aca="false">SUMIF(case!$N:$N,$A48,case!I:I)</f>
        <v>1953777</v>
      </c>
      <c r="J48" s="26" t="n">
        <f aca="false">SUMIF(case!$N:$N,$A48,case!J:J)</f>
        <v>1975420</v>
      </c>
      <c r="K48" s="26" t="n">
        <f aca="false">SUMIF(case!$N:$N,$A48,case!K:K)</f>
        <v>1895868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996156</v>
      </c>
      <c r="C50" s="26" t="n">
        <f aca="false">SUMIF(case!$N:$N,$A50,case!C:C)</f>
        <v>1000035</v>
      </c>
      <c r="D50" s="26" t="n">
        <f aca="false">SUMIF(case!$N:$N,$A50,case!D:D)</f>
        <v>1136670</v>
      </c>
      <c r="E50" s="26" t="n">
        <f aca="false">SUMIF(case!$N:$N,$A50,case!E:E)</f>
        <v>929157</v>
      </c>
      <c r="F50" s="26" t="n">
        <f aca="false">SUMIF(case!$N:$N,$A50,case!F:F)</f>
        <v>950781</v>
      </c>
      <c r="G50" s="26" t="n">
        <f aca="false">SUMIF(case!$N:$N,$A50,case!G:G)</f>
        <v>684275</v>
      </c>
      <c r="H50" s="26" t="n">
        <f aca="false">SUMIF(case!$N:$N,$A50,case!H:H)</f>
        <v>718295</v>
      </c>
      <c r="I50" s="26" t="n">
        <f aca="false">SUMIF(case!$N:$N,$A50,case!I:I)</f>
        <v>714714</v>
      </c>
      <c r="J50" s="26" t="n">
        <f aca="false">SUMIF(case!$N:$N,$A50,case!J:J)</f>
        <v>779227</v>
      </c>
      <c r="K50" s="26" t="n">
        <f aca="false">SUMIF(case!$N:$N,$A50,case!K:K)</f>
        <v>819921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4408079</v>
      </c>
      <c r="C51" s="26" t="n">
        <f aca="false">SUM(C48:C50)</f>
        <v>3755386</v>
      </c>
      <c r="D51" s="26" t="n">
        <f aca="false">SUM(D48:D50)</f>
        <v>3866105</v>
      </c>
      <c r="E51" s="26" t="n">
        <f aca="false">SUM(E48:E50)</f>
        <v>4606319</v>
      </c>
      <c r="F51" s="26" t="n">
        <f aca="false">SUM(F48:F50)</f>
        <v>3290669</v>
      </c>
      <c r="G51" s="26" t="n">
        <f aca="false">SUM(G48:G50)</f>
        <v>3767203</v>
      </c>
      <c r="H51" s="26" t="n">
        <f aca="false">SUM(H48:H50)</f>
        <v>2620420</v>
      </c>
      <c r="I51" s="26" t="n">
        <f aca="false">SUM(I48:I50)</f>
        <v>2668491</v>
      </c>
      <c r="J51" s="26" t="n">
        <f aca="false">SUM(J48:J50)</f>
        <v>2754647</v>
      </c>
      <c r="K51" s="26" t="n">
        <f aca="false">SUM(K48:K50)</f>
        <v>2715789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307133</v>
      </c>
      <c r="C53" s="26" t="n">
        <f aca="false">SUMIF(case!$N:$N,$A53,case!C:C)</f>
        <v>323238</v>
      </c>
      <c r="D53" s="26" t="n">
        <f aca="false">SUMIF(case!$N:$N,$A53,case!D:D)</f>
        <v>366366</v>
      </c>
      <c r="E53" s="26" t="n">
        <f aca="false">SUMIF(case!$N:$N,$A53,case!E:E)</f>
        <v>425016</v>
      </c>
      <c r="F53" s="26" t="n">
        <f aca="false">SUMIF(case!$N:$N,$A53,case!F:F)</f>
        <v>379947</v>
      </c>
      <c r="G53" s="26" t="n">
        <f aca="false">SUMIF(case!$N:$N,$A53,case!G:G)</f>
        <v>336820</v>
      </c>
      <c r="H53" s="26" t="n">
        <f aca="false">SUMIF(case!$N:$N,$A53,case!H:H)</f>
        <v>296426</v>
      </c>
      <c r="I53" s="26" t="n">
        <f aca="false">SUMIF(case!$N:$N,$A53,case!I:I)</f>
        <v>262551</v>
      </c>
      <c r="J53" s="26" t="n">
        <f aca="false">SUMIF(case!$N:$N,$A53,case!J:J)</f>
        <v>232798</v>
      </c>
      <c r="K53" s="26" t="n">
        <f aca="false">SUMIF(case!$N:$N,$A53,case!K:K)</f>
        <v>208007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0</v>
      </c>
      <c r="C54" s="26" t="n">
        <f aca="false">SUMIF(case!$N:$N,$A54,case!C:C)</f>
        <v>0</v>
      </c>
      <c r="D54" s="26" t="n">
        <f aca="false">SUMIF(case!$N:$N,$A54,case!D:D)</f>
        <v>0</v>
      </c>
      <c r="E54" s="26" t="n">
        <f aca="false">SUMIF(case!$N:$N,$A54,case!E:E)</f>
        <v>0</v>
      </c>
      <c r="F54" s="26" t="n">
        <f aca="false">SUMIF(case!$N:$N,$A54,case!F:F)</f>
        <v>0</v>
      </c>
      <c r="G54" s="26" t="n">
        <f aca="false">SUMIF(case!$N:$N,$A54,case!G:G)</f>
        <v>0</v>
      </c>
      <c r="H54" s="26" t="n">
        <f aca="false">SUMIF(case!$N:$N,$A54,case!H:H)</f>
        <v>0</v>
      </c>
      <c r="I54" s="26" t="n">
        <f aca="false">SUMIF(case!$N:$N,$A54,case!I:I)</f>
        <v>0</v>
      </c>
      <c r="J54" s="26" t="n">
        <f aca="false">SUMIF(case!$N:$N,$A54,case!J:J)</f>
        <v>0</v>
      </c>
      <c r="K54" s="26" t="n">
        <f aca="false">SUMIF(case!$N:$N,$A54,case!K:K)</f>
        <v>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307133</v>
      </c>
      <c r="C55" s="26" t="n">
        <f aca="false">SUM(C53:C54)</f>
        <v>323238</v>
      </c>
      <c r="D55" s="26" t="n">
        <f aca="false">SUM(D53:D54)</f>
        <v>366366</v>
      </c>
      <c r="E55" s="26" t="n">
        <f aca="false">SUM(E53:E54)</f>
        <v>425016</v>
      </c>
      <c r="F55" s="26" t="n">
        <f aca="false">SUM(F53:F54)</f>
        <v>379947</v>
      </c>
      <c r="G55" s="26" t="n">
        <f aca="false">SUM(G53:G54)</f>
        <v>336820</v>
      </c>
      <c r="H55" s="26" t="n">
        <f aca="false">SUM(H53:H54)</f>
        <v>296426</v>
      </c>
      <c r="I55" s="26" t="n">
        <f aca="false">SUM(I53:I54)</f>
        <v>262551</v>
      </c>
      <c r="J55" s="26" t="n">
        <f aca="false">SUM(J53:J54)</f>
        <v>232798</v>
      </c>
      <c r="K55" s="26" t="n">
        <f aca="false">SUM(K53:K54)</f>
        <v>208007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4715212</v>
      </c>
      <c r="C56" s="26" t="n">
        <f aca="false">C51+C55</f>
        <v>4078624</v>
      </c>
      <c r="D56" s="26" t="n">
        <f aca="false">D51+D55</f>
        <v>4232471</v>
      </c>
      <c r="E56" s="26" t="n">
        <f aca="false">E51+E55</f>
        <v>5031335</v>
      </c>
      <c r="F56" s="26" t="n">
        <f aca="false">F51+F55</f>
        <v>3670616</v>
      </c>
      <c r="G56" s="26" t="n">
        <f aca="false">G51+G55</f>
        <v>4104023</v>
      </c>
      <c r="H56" s="26" t="n">
        <f aca="false">H51+H55</f>
        <v>2916846</v>
      </c>
      <c r="I56" s="26" t="n">
        <f aca="false">I51+I55</f>
        <v>2931042</v>
      </c>
      <c r="J56" s="26" t="n">
        <f aca="false">J51+J55</f>
        <v>2987445</v>
      </c>
      <c r="K56" s="26" t="n">
        <f aca="false">K51+K55</f>
        <v>2923796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154889</v>
      </c>
      <c r="C59" s="26" t="n">
        <f aca="false">SUMIF(case!$N:$N,$A59,case!C:C)</f>
        <v>144629</v>
      </c>
      <c r="D59" s="26" t="n">
        <f aca="false">SUMIF(case!$N:$N,$A59,case!D:D)</f>
        <v>156258</v>
      </c>
      <c r="E59" s="26" t="n">
        <f aca="false">SUMIF(case!$N:$N,$A59,case!E:E)</f>
        <v>176533</v>
      </c>
      <c r="F59" s="26" t="n">
        <f aca="false">SUMIF(case!$N:$N,$A59,case!F:F)</f>
        <v>149806</v>
      </c>
      <c r="G59" s="26" t="n">
        <f aca="false">SUMIF(case!$N:$N,$A59,case!G:G)</f>
        <v>153327</v>
      </c>
      <c r="H59" s="26" t="n">
        <f aca="false">SUMIF(case!$N:$N,$A59,case!H:H)</f>
        <v>187588</v>
      </c>
      <c r="I59" s="26" t="n">
        <f aca="false">SUMIF(case!$N:$N,$A59,case!I:I)</f>
        <v>92820</v>
      </c>
      <c r="J59" s="26" t="n">
        <f aca="false">SUMIF(case!$N:$N,$A59,case!J:J)</f>
        <v>178585</v>
      </c>
      <c r="K59" s="26" t="n">
        <f aca="false">SUMIF(case!$N:$N,$A59,case!K:K)</f>
        <v>253637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0</v>
      </c>
      <c r="C60" s="26" t="n">
        <f aca="false">SUMIF(case!$N:$N,$A60,case!C:C)</f>
        <v>0</v>
      </c>
      <c r="D60" s="26" t="n">
        <f aca="false">SUMIF(case!$N:$N,$A60,case!D:D)</f>
        <v>0</v>
      </c>
      <c r="E60" s="26" t="n">
        <f aca="false">SUMIF(case!$N:$N,$A60,case!E:E)</f>
        <v>0</v>
      </c>
      <c r="F60" s="26" t="n">
        <f aca="false">SUMIF(case!$N:$N,$A60,case!F:F)</f>
        <v>0</v>
      </c>
      <c r="G60" s="26" t="n">
        <f aca="false">SUMIF(case!$N:$N,$A60,case!G:G)</f>
        <v>0</v>
      </c>
      <c r="H60" s="26" t="n">
        <f aca="false">SUMIF(case!$N:$N,$A60,case!H:H)</f>
        <v>7727</v>
      </c>
      <c r="I60" s="26" t="n">
        <f aca="false">SUMIF(case!$N:$N,$A60,case!I:I)</f>
        <v>15318</v>
      </c>
      <c r="J60" s="26" t="n">
        <f aca="false">SUMIF(case!$N:$N,$A60,case!J:J)</f>
        <v>0</v>
      </c>
      <c r="K60" s="26" t="n">
        <f aca="false">SUMIF(case!$N:$N,$A60,case!K:K)</f>
        <v>0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409150</v>
      </c>
      <c r="C61" s="26" t="n">
        <f aca="false">SUMIF(case!$N:$N,$A61,case!C:C)</f>
        <v>400664</v>
      </c>
      <c r="D61" s="26" t="n">
        <f aca="false">SUMIF(case!$N:$N,$A61,case!D:D)</f>
        <v>451306</v>
      </c>
      <c r="E61" s="26" t="n">
        <f aca="false">SUMIF(case!$N:$N,$A61,case!E:E)</f>
        <v>742169</v>
      </c>
      <c r="F61" s="26" t="n">
        <f aca="false">SUMIF(case!$N:$N,$A61,case!F:F)</f>
        <v>714183</v>
      </c>
      <c r="G61" s="26" t="n">
        <f aca="false">SUMIF(case!$N:$N,$A61,case!G:G)</f>
        <v>666214</v>
      </c>
      <c r="H61" s="26" t="n">
        <f aca="false">SUMIF(case!$N:$N,$A61,case!H:H)</f>
        <v>624163</v>
      </c>
      <c r="I61" s="26" t="n">
        <f aca="false">SUMIF(case!$N:$N,$A61,case!I:I)</f>
        <v>581304</v>
      </c>
      <c r="J61" s="26" t="n">
        <f aca="false">SUMIF(case!$N:$N,$A61,case!J:J)</f>
        <v>536809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564039</v>
      </c>
      <c r="C62" s="26" t="n">
        <f aca="false">SUM(C59:C61)</f>
        <v>545293</v>
      </c>
      <c r="D62" s="26" t="n">
        <f aca="false">SUM(D59:D61)</f>
        <v>607564</v>
      </c>
      <c r="E62" s="26" t="n">
        <f aca="false">SUM(E59:E61)</f>
        <v>918702</v>
      </c>
      <c r="F62" s="26" t="n">
        <f aca="false">SUM(F59:F61)</f>
        <v>863989</v>
      </c>
      <c r="G62" s="26" t="n">
        <f aca="false">SUM(G59:G61)</f>
        <v>819541</v>
      </c>
      <c r="H62" s="26" t="n">
        <f aca="false">SUM(H59:H61)</f>
        <v>819478</v>
      </c>
      <c r="I62" s="26" t="n">
        <f aca="false">SUM(I59:I61)</f>
        <v>689442</v>
      </c>
      <c r="J62" s="26" t="n">
        <f aca="false">SUM(J59:J61)</f>
        <v>715394</v>
      </c>
      <c r="K62" s="26" t="n">
        <f aca="false">SUM(K59:K61)</f>
        <v>253637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2561576</v>
      </c>
      <c r="C69" s="26" t="n">
        <f aca="false">SUMIF(case!$N:$N,$A69,case!C:C)</f>
        <v>3445729</v>
      </c>
      <c r="D69" s="26" t="n">
        <f aca="false">SUMIF(case!$N:$N,$A69,case!D:D)</f>
        <v>4317390</v>
      </c>
      <c r="E69" s="26" t="n">
        <f aca="false">SUMIF(case!$N:$N,$A69,case!E:E)</f>
        <v>4781783</v>
      </c>
      <c r="F69" s="26" t="n">
        <f aca="false">SUMIF(case!$N:$N,$A69,case!F:F)</f>
        <v>4208859</v>
      </c>
      <c r="G69" s="26" t="n">
        <f aca="false">SUMIF(case!$N:$N,$A69,case!G:G)</f>
        <v>2345694</v>
      </c>
      <c r="H69" s="26" t="n">
        <f aca="false">SUMIF(case!$N:$N,$A69,case!H:H)</f>
        <v>1929781</v>
      </c>
      <c r="I69" s="26" t="n">
        <f aca="false">SUMIF(case!$N:$N,$A69,case!I:I)</f>
        <v>2446428</v>
      </c>
      <c r="J69" s="26" t="n">
        <f aca="false">SUMIF(case!$N:$N,$A69,case!J:J)</f>
        <v>2958771</v>
      </c>
      <c r="K69" s="26" t="n">
        <f aca="false">SUMIF(case!$N:$N,$A69,case!K:K)</f>
        <v>3567216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1239310</v>
      </c>
      <c r="C70" s="26" t="n">
        <f aca="false">SUMIF(case!$N:$N,$A70,case!C:C)</f>
        <v>1452589</v>
      </c>
      <c r="D70" s="26" t="n">
        <f aca="false">SUMIF(case!$N:$N,$A70,case!D:D)</f>
        <v>1497102</v>
      </c>
      <c r="E70" s="26" t="n">
        <f aca="false">SUMIF(case!$N:$N,$A70,case!E:E)</f>
        <v>1307153</v>
      </c>
      <c r="F70" s="26" t="n">
        <f aca="false">SUMIF(case!$N:$N,$A70,case!F:F)</f>
        <v>1236973</v>
      </c>
      <c r="G70" s="26" t="n">
        <f aca="false">SUMIF(case!$N:$N,$A70,case!G:G)</f>
        <v>1731571</v>
      </c>
      <c r="H70" s="26" t="n">
        <f aca="false">SUMIF(case!$N:$N,$A70,case!H:H)</f>
        <v>1016646</v>
      </c>
      <c r="I70" s="26" t="n">
        <f aca="false">SUMIF(case!$N:$N,$A70,case!I:I)</f>
        <v>651632</v>
      </c>
      <c r="J70" s="26" t="n">
        <f aca="false">SUMIF(case!$N:$N,$A70,case!J:J)</f>
        <v>721981</v>
      </c>
      <c r="K70" s="26" t="n">
        <f aca="false">SUMIF(case!$N:$N,$A70,case!K:K)</f>
        <v>811555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3800886</v>
      </c>
      <c r="C73" s="26" t="n">
        <f aca="false">SUM(C69:C72)</f>
        <v>4898318</v>
      </c>
      <c r="D73" s="26" t="n">
        <f aca="false">SUM(D69:D72)</f>
        <v>5814492</v>
      </c>
      <c r="E73" s="26" t="n">
        <f aca="false">SUM(E69:E72)</f>
        <v>6088936</v>
      </c>
      <c r="F73" s="26" t="n">
        <f aca="false">SUM(F69:F72)</f>
        <v>5445832</v>
      </c>
      <c r="G73" s="26" t="n">
        <f aca="false">SUM(G69:G72)</f>
        <v>4077265</v>
      </c>
      <c r="H73" s="26" t="n">
        <f aca="false">SUM(H69:H72)</f>
        <v>2946427</v>
      </c>
      <c r="I73" s="26" t="n">
        <f aca="false">SUM(I69:I72)</f>
        <v>3098060</v>
      </c>
      <c r="J73" s="26" t="n">
        <f aca="false">SUM(J69:J72)</f>
        <v>3680752</v>
      </c>
      <c r="K73" s="26" t="n">
        <f aca="false">SUM(K69:K72)</f>
        <v>4378771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0</v>
      </c>
      <c r="C76" s="26" t="n">
        <f aca="false">SUMIF(case!$N:$N,$A76,case!C:C)</f>
        <v>0</v>
      </c>
      <c r="D76" s="26" t="n">
        <f aca="false">SUMIF(case!$N:$N,$A76,case!D:D)</f>
        <v>0</v>
      </c>
      <c r="E76" s="26" t="n">
        <f aca="false">SUMIF(case!$N:$N,$A76,case!E:E)</f>
        <v>0</v>
      </c>
      <c r="F76" s="26" t="n">
        <f aca="false">SUMIF(case!$N:$N,$A76,case!F:F)</f>
        <v>0</v>
      </c>
      <c r="G76" s="26" t="n">
        <f aca="false">SUMIF(case!$N:$N,$A76,case!G:G)</f>
        <v>0</v>
      </c>
      <c r="H76" s="26" t="n">
        <f aca="false">SUMIF(case!$N:$N,$A76,case!H:H)</f>
        <v>0</v>
      </c>
      <c r="I76" s="26" t="n">
        <f aca="false">SUMIF(case!$N:$N,$A76,case!I:I)</f>
        <v>0</v>
      </c>
      <c r="J76" s="26" t="n">
        <f aca="false">SUMIF(case!$N:$N,$A76,case!J:J)</f>
        <v>0</v>
      </c>
      <c r="K76" s="26" t="n">
        <f aca="false">SUMIF(case!$N:$N,$A76,case!K:K)</f>
        <v>0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5805695</v>
      </c>
      <c r="C77" s="26" t="n">
        <f aca="false">SUM(C78:C82)</f>
        <v>5656693</v>
      </c>
      <c r="D77" s="26" t="n">
        <f aca="false">SUM(D78:D82)</f>
        <v>5598523</v>
      </c>
      <c r="E77" s="26" t="n">
        <f aca="false">SUM(E78:E82)</f>
        <v>5469534</v>
      </c>
      <c r="F77" s="26" t="n">
        <f aca="false">SUM(F78:F82)</f>
        <v>5750122</v>
      </c>
      <c r="G77" s="26" t="n">
        <f aca="false">SUM(G78:G82)</f>
        <v>5550231</v>
      </c>
      <c r="H77" s="26" t="n">
        <f aca="false">SUM(H78:H82)</f>
        <v>5132809</v>
      </c>
      <c r="I77" s="26" t="n">
        <f aca="false">SUM(I78:I82)</f>
        <v>4504382</v>
      </c>
      <c r="J77" s="26" t="n">
        <f aca="false">SUM(J78:J82)</f>
        <v>4153441</v>
      </c>
      <c r="K77" s="26" t="n">
        <f aca="false">SUM(K78:K82)</f>
        <v>3619300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1500000</v>
      </c>
      <c r="C78" s="26" t="n">
        <f aca="false">SUMIF(case!$N:$N,$A78,case!C:C)</f>
        <v>1500000</v>
      </c>
      <c r="D78" s="26" t="n">
        <f aca="false">SUMIF(case!$N:$N,$A78,case!D:D)</f>
        <v>1500000</v>
      </c>
      <c r="E78" s="26" t="n">
        <f aca="false">SUMIF(case!$N:$N,$A78,case!E:E)</f>
        <v>1500000</v>
      </c>
      <c r="F78" s="26" t="n">
        <f aca="false">SUMIF(case!$N:$N,$A78,case!F:F)</f>
        <v>1500000</v>
      </c>
      <c r="G78" s="26" t="n">
        <f aca="false">SUMIF(case!$N:$N,$A78,case!G:G)</f>
        <v>1500000</v>
      </c>
      <c r="H78" s="26" t="n">
        <f aca="false">SUMIF(case!$N:$N,$A78,case!H:H)</f>
        <v>1500000</v>
      </c>
      <c r="I78" s="26" t="n">
        <f aca="false">SUMIF(case!$N:$N,$A78,case!I:I)</f>
        <v>1500000</v>
      </c>
      <c r="J78" s="26" t="n">
        <f aca="false">SUMIF(case!$N:$N,$A78,case!J:J)</f>
        <v>1500000</v>
      </c>
      <c r="K78" s="26" t="n">
        <f aca="false">SUMIF(case!$N:$N,$A78,case!K:K)</f>
        <v>1500000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2288201</v>
      </c>
      <c r="C79" s="26" t="n">
        <f aca="false">SUMIF(case!$N:$N,$A79,case!C:C)</f>
        <v>2230027</v>
      </c>
      <c r="D79" s="26" t="n">
        <f aca="false">SUMIF(case!$N:$N,$A79,case!D:D)</f>
        <v>2101041</v>
      </c>
      <c r="E79" s="26" t="n">
        <f aca="false">SUMIF(case!$N:$N,$A79,case!E:E)</f>
        <v>2381628</v>
      </c>
      <c r="F79" s="26" t="n">
        <f aca="false">SUMIF(case!$N:$N,$A79,case!F:F)</f>
        <v>3150066</v>
      </c>
      <c r="G79" s="26" t="n">
        <f aca="false">SUMIF(case!$N:$N,$A79,case!G:G)</f>
        <v>2732648</v>
      </c>
      <c r="H79" s="26" t="n">
        <f aca="false">SUMIF(case!$N:$N,$A79,case!H:H)</f>
        <v>2104220</v>
      </c>
      <c r="I79" s="26" t="n">
        <f aca="false">SUMIF(case!$N:$N,$A79,case!I:I)</f>
        <v>1753279</v>
      </c>
      <c r="J79" s="26" t="n">
        <f aca="false">SUMIF(case!$N:$N,$A79,case!J:J)</f>
        <v>1219138</v>
      </c>
      <c r="K79" s="26" t="n">
        <f aca="false">SUMIF(case!$N:$N,$A79,case!K:K)</f>
        <v>938963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1868495</v>
      </c>
      <c r="C80" s="26" t="n">
        <f aca="false">SUMIF(case!$N:$N,$A80,case!C:C)</f>
        <v>1868495</v>
      </c>
      <c r="D80" s="26" t="n">
        <f aca="false">SUMIF(case!$N:$N,$A80,case!D:D)</f>
        <v>1868495</v>
      </c>
      <c r="E80" s="26" t="n">
        <f aca="false">SUMIF(case!$N:$N,$A80,case!E:E)</f>
        <v>1868495</v>
      </c>
      <c r="F80" s="26" t="n">
        <f aca="false">SUMIF(case!$N:$N,$A80,case!F:F)</f>
        <v>1868495</v>
      </c>
      <c r="G80" s="26" t="n">
        <f aca="false">SUMIF(case!$N:$N,$A80,case!G:G)</f>
        <v>900162</v>
      </c>
      <c r="H80" s="26" t="n">
        <f aca="false">SUMIF(case!$N:$N,$A80,case!H:H)</f>
        <v>900162</v>
      </c>
      <c r="I80" s="26" t="n">
        <f aca="false">SUMIF(case!$N:$N,$A80,case!I:I)</f>
        <v>900162</v>
      </c>
      <c r="J80" s="26" t="n">
        <f aca="false">SUMIF(case!$N:$N,$A80,case!J:J)</f>
        <v>900162</v>
      </c>
      <c r="K80" s="26" t="n">
        <f aca="false">SUMIF(case!$N:$N,$A80,case!K:K)</f>
        <v>900162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148999</v>
      </c>
      <c r="C82" s="26" t="n">
        <f aca="false">SUMIF(case!$N:$N,$A82,case!C:C)</f>
        <v>58171</v>
      </c>
      <c r="D82" s="26" t="n">
        <f aca="false">SUMIF(case!$N:$N,$A82,case!D:D)</f>
        <v>128987</v>
      </c>
      <c r="E82" s="26" t="n">
        <f aca="false">SUMIF(case!$N:$N,$A82,case!E:E)</f>
        <v>-280589</v>
      </c>
      <c r="F82" s="26" t="n">
        <f aca="false">SUMIF(case!$N:$N,$A82,case!F:F)</f>
        <v>-768439</v>
      </c>
      <c r="G82" s="26" t="n">
        <f aca="false">SUMIF(case!$N:$N,$A82,case!G:G)</f>
        <v>417421</v>
      </c>
      <c r="H82" s="26" t="n">
        <f aca="false">SUMIF(case!$N:$N,$A82,case!H:H)</f>
        <v>628427</v>
      </c>
      <c r="I82" s="26" t="n">
        <f aca="false">SUMIF(case!$N:$N,$A82,case!I:I)</f>
        <v>350941</v>
      </c>
      <c r="J82" s="26" t="n">
        <f aca="false">SUMIF(case!$N:$N,$A82,case!J:J)</f>
        <v>534141</v>
      </c>
      <c r="K82" s="26" t="n">
        <f aca="false">SUMIF(case!$N:$N,$A82,case!K:K)</f>
        <v>280175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5805695</v>
      </c>
      <c r="C84" s="26" t="n">
        <f aca="false">C76+C77+C83</f>
        <v>5656693</v>
      </c>
      <c r="D84" s="26" t="n">
        <f aca="false">D76+D77+D83</f>
        <v>5598523</v>
      </c>
      <c r="E84" s="26" t="n">
        <f aca="false">E76+E77+E83</f>
        <v>5469534</v>
      </c>
      <c r="F84" s="26" t="n">
        <f aca="false">F76+F77+F83</f>
        <v>5750122</v>
      </c>
      <c r="G84" s="26" t="n">
        <f aca="false">G76+G77+G83</f>
        <v>5550231</v>
      </c>
      <c r="H84" s="26" t="n">
        <f aca="false">H76+H77+H83</f>
        <v>5132809</v>
      </c>
      <c r="I84" s="26" t="n">
        <f aca="false">I76+I77+I83</f>
        <v>4504382</v>
      </c>
      <c r="J84" s="26" t="n">
        <f aca="false">J76+J77+J83</f>
        <v>4153441</v>
      </c>
      <c r="K84" s="26" t="n">
        <f aca="false">K76+K77+K83</f>
        <v>3619300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14885832</v>
      </c>
      <c r="C86" s="26" t="n">
        <f aca="false">C56+C62+C66+C73+C84</f>
        <v>15178928</v>
      </c>
      <c r="D86" s="26" t="n">
        <f aca="false">D56+D62+D66+D73+D84</f>
        <v>16253050</v>
      </c>
      <c r="E86" s="26" t="n">
        <f aca="false">E56+E62+E66+E73+E84</f>
        <v>17508507</v>
      </c>
      <c r="F86" s="26" t="n">
        <f aca="false">F56+F62+F66+F73+F84</f>
        <v>15730559</v>
      </c>
      <c r="G86" s="26" t="n">
        <f aca="false">G56+G62+G66+G73+G84</f>
        <v>14551060</v>
      </c>
      <c r="H86" s="26" t="n">
        <f aca="false">H56+H62+H66+H73+H84</f>
        <v>11815560</v>
      </c>
      <c r="I86" s="26" t="n">
        <f aca="false">I56+I62+I66+I73+I84</f>
        <v>11222926</v>
      </c>
      <c r="J86" s="26" t="n">
        <f aca="false">J56+J62+J66+J73+J84</f>
        <v>11537032</v>
      </c>
      <c r="K86" s="26" t="n">
        <f aca="false">K56+K62+K66+K73+K84</f>
        <v>11175504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14885832</v>
      </c>
      <c r="C88" s="26" t="n">
        <f aca="false">case!C168</f>
        <v>15178928</v>
      </c>
      <c r="D88" s="26" t="n">
        <f aca="false">case!D168</f>
        <v>16253050</v>
      </c>
      <c r="E88" s="26" t="n">
        <f aca="false">case!E168</f>
        <v>17508507</v>
      </c>
      <c r="F88" s="26" t="n">
        <f aca="false">case!F168</f>
        <v>15730559</v>
      </c>
      <c r="G88" s="26" t="n">
        <f aca="false">case!G168</f>
        <v>14551060</v>
      </c>
      <c r="H88" s="26" t="n">
        <f aca="false">case!H168</f>
        <v>11815560</v>
      </c>
      <c r="I88" s="26" t="n">
        <f aca="false">case!I168</f>
        <v>11222926</v>
      </c>
      <c r="J88" s="26" t="n">
        <f aca="false">case!J168</f>
        <v>11537032</v>
      </c>
      <c r="K88" s="26" t="n">
        <f aca="false">case!K168</f>
        <v>11686442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0</v>
      </c>
      <c r="C89" s="26" t="n">
        <f aca="false">C88-C86</f>
        <v>0</v>
      </c>
      <c r="D89" s="26" t="n">
        <f aca="false">D88-D86</f>
        <v>0</v>
      </c>
      <c r="E89" s="26" t="n">
        <f aca="false">E88-E86</f>
        <v>0</v>
      </c>
      <c r="F89" s="26" t="n">
        <f aca="false">F88-F86</f>
        <v>0</v>
      </c>
      <c r="G89" s="26" t="n">
        <f aca="false">G88-G86</f>
        <v>0</v>
      </c>
      <c r="H89" s="26" t="n">
        <f aca="false">H88-H86</f>
        <v>0</v>
      </c>
      <c r="I89" s="26" t="n">
        <f aca="false">I88-I86</f>
        <v>0</v>
      </c>
      <c r="J89" s="26" t="n">
        <f aca="false">J88-J86</f>
        <v>0</v>
      </c>
      <c r="K89" s="26" t="n">
        <f aca="false">K88-K86</f>
        <v>510938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0</v>
      </c>
      <c r="C90" s="26" t="n">
        <f aca="false">C35-C86</f>
        <v>0</v>
      </c>
      <c r="D90" s="26" t="n">
        <f aca="false">D35-D86</f>
        <v>0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0</v>
      </c>
      <c r="K90" s="26" t="n">
        <f aca="false">K35-K86</f>
        <v>510938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8033817</v>
      </c>
      <c r="C93" s="26" t="n">
        <f aca="false">C16-C56+C21-C62</f>
        <v>9299163</v>
      </c>
      <c r="D93" s="26" t="n">
        <f aca="false">D16-D56+D21-D62</f>
        <v>10030506</v>
      </c>
      <c r="E93" s="26" t="n">
        <f aca="false">E16-E56+E21-E62</f>
        <v>9645692</v>
      </c>
      <c r="F93" s="26" t="n">
        <f aca="false">F16-F56+F21-F62</f>
        <v>10068493</v>
      </c>
      <c r="G93" s="26" t="n">
        <f aca="false">G16-G56+G21-G62</f>
        <v>9085807</v>
      </c>
      <c r="H93" s="26" t="n">
        <f aca="false">H16-H56+H21-H62</f>
        <v>6757927</v>
      </c>
      <c r="I93" s="26" t="n">
        <f aca="false">I16-I56+I21-I62</f>
        <v>7213183</v>
      </c>
      <c r="J93" s="26" t="n">
        <f aca="false">J16-J56+J21-J62</f>
        <v>7500753</v>
      </c>
      <c r="K93" s="26" t="n">
        <f aca="false">K16-K56+K21-K62</f>
        <v>8209866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161742</v>
      </c>
      <c r="C94" s="26" t="n">
        <f aca="false">C27-C66</f>
        <v>161742</v>
      </c>
      <c r="D94" s="26" t="n">
        <f aca="false">D27-D66</f>
        <v>166742</v>
      </c>
      <c r="E94" s="26" t="n">
        <f aca="false">E27-E66</f>
        <v>167462</v>
      </c>
      <c r="F94" s="26" t="n">
        <f aca="false">F27-F66</f>
        <v>167462</v>
      </c>
      <c r="G94" s="26" t="n">
        <f aca="false">G27-G66</f>
        <v>167591</v>
      </c>
      <c r="H94" s="26" t="n">
        <f aca="false">H27-H66</f>
        <v>167591</v>
      </c>
      <c r="I94" s="26" t="n">
        <f aca="false">I27-I66</f>
        <v>167591</v>
      </c>
      <c r="J94" s="26" t="n">
        <f aca="false">J27-J66</f>
        <v>167591</v>
      </c>
      <c r="K94" s="26" t="n">
        <f aca="false">K27-K66</f>
        <v>248687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-2389864</v>
      </c>
      <c r="C95" s="26" t="n">
        <f aca="false">C33-C73</f>
        <v>-3804212</v>
      </c>
      <c r="D95" s="26" t="n">
        <f aca="false">D33-D73</f>
        <v>-4598725</v>
      </c>
      <c r="E95" s="26" t="n">
        <f aca="false">E33-E73</f>
        <v>-4343620</v>
      </c>
      <c r="F95" s="26" t="n">
        <f aca="false">F33-F73</f>
        <v>-4485833</v>
      </c>
      <c r="G95" s="26" t="n">
        <f aca="false">G33-G73</f>
        <v>-3703167</v>
      </c>
      <c r="H95" s="26" t="n">
        <f aca="false">H33-H73</f>
        <v>-1792709</v>
      </c>
      <c r="I95" s="26" t="n">
        <f aca="false">I33-I73</f>
        <v>-2876392</v>
      </c>
      <c r="J95" s="26" t="n">
        <f aca="false">J33-J73</f>
        <v>-3514903</v>
      </c>
      <c r="K95" s="26" t="n">
        <f aca="false">K33-K73</f>
        <v>-4328315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5805695</v>
      </c>
      <c r="C96" s="26" t="n">
        <f aca="false">C84</f>
        <v>5656693</v>
      </c>
      <c r="D96" s="26" t="n">
        <f aca="false">D84</f>
        <v>5598523</v>
      </c>
      <c r="E96" s="26" t="n">
        <f aca="false">E84</f>
        <v>5469534</v>
      </c>
      <c r="F96" s="26" t="n">
        <f aca="false">F84</f>
        <v>5750122</v>
      </c>
      <c r="G96" s="26" t="n">
        <f aca="false">G84</f>
        <v>5550231</v>
      </c>
      <c r="H96" s="26" t="n">
        <f aca="false">H84</f>
        <v>5132809</v>
      </c>
      <c r="I96" s="26" t="n">
        <f aca="false">I84</f>
        <v>4504382</v>
      </c>
      <c r="J96" s="26" t="n">
        <f aca="false">J84</f>
        <v>4153441</v>
      </c>
      <c r="K96" s="26" t="n">
        <f aca="false">K84</f>
        <v>3619300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14885832</v>
      </c>
      <c r="C97" s="26" t="n">
        <f aca="false">C35</f>
        <v>15178928</v>
      </c>
      <c r="D97" s="26" t="n">
        <f aca="false">D35</f>
        <v>16253050</v>
      </c>
      <c r="E97" s="26" t="n">
        <f aca="false">E35</f>
        <v>17508507</v>
      </c>
      <c r="F97" s="26" t="n">
        <f aca="false">F35</f>
        <v>15730559</v>
      </c>
      <c r="G97" s="26" t="n">
        <f aca="false">G35</f>
        <v>14551060</v>
      </c>
      <c r="H97" s="26" t="n">
        <f aca="false">H35</f>
        <v>11815560</v>
      </c>
      <c r="I97" s="26" t="n">
        <f aca="false">I35</f>
        <v>11222926</v>
      </c>
      <c r="J97" s="26" t="n">
        <f aca="false">J35</f>
        <v>11537032</v>
      </c>
      <c r="K97" s="26" t="n">
        <f aca="false">K35</f>
        <v>11686442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14885832</v>
      </c>
      <c r="C98" s="26" t="n">
        <f aca="false">C86</f>
        <v>15178928</v>
      </c>
      <c r="D98" s="26" t="n">
        <f aca="false">D86</f>
        <v>16253050</v>
      </c>
      <c r="E98" s="26" t="n">
        <f aca="false">E86</f>
        <v>17508507</v>
      </c>
      <c r="F98" s="26" t="n">
        <f aca="false">F86</f>
        <v>15730559</v>
      </c>
      <c r="G98" s="26" t="n">
        <f aca="false">G86</f>
        <v>14551060</v>
      </c>
      <c r="H98" s="26" t="n">
        <f aca="false">H86</f>
        <v>11815560</v>
      </c>
      <c r="I98" s="26" t="n">
        <f aca="false">I86</f>
        <v>11222926</v>
      </c>
      <c r="J98" s="26" t="n">
        <f aca="false">J86</f>
        <v>11537032</v>
      </c>
      <c r="K98" s="26" t="n">
        <f aca="false">K86</f>
        <v>11175504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0</v>
      </c>
      <c r="C99" s="26" t="n">
        <f aca="false">C97-C98</f>
        <v>0</v>
      </c>
      <c r="D99" s="26" t="n">
        <f aca="false">D97-D98</f>
        <v>0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0</v>
      </c>
      <c r="K99" s="26" t="n">
        <f aca="false">K97-K98</f>
        <v>510938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1778765</v>
      </c>
      <c r="C101" s="26" t="n">
        <f aca="false">C8-C51</f>
        <v>2210508</v>
      </c>
      <c r="D101" s="26" t="n">
        <f aca="false">D8-D51</f>
        <v>1929931</v>
      </c>
      <c r="E101" s="26" t="n">
        <f aca="false">E8-E51</f>
        <v>1523793</v>
      </c>
      <c r="F101" s="26" t="n">
        <f aca="false">F8-F51</f>
        <v>1399524</v>
      </c>
      <c r="G101" s="26" t="n">
        <f aca="false">G8-G51</f>
        <v>1270583</v>
      </c>
      <c r="H101" s="26" t="n">
        <f aca="false">H8-H51</f>
        <v>1862709</v>
      </c>
      <c r="I101" s="26" t="n">
        <f aca="false">I8-I51</f>
        <v>1910897</v>
      </c>
      <c r="J101" s="26" t="n">
        <f aca="false">J8-J51</f>
        <v>1802204</v>
      </c>
      <c r="K101" s="26" t="n">
        <f aca="false">K8-K51</f>
        <v>1484808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8273381</v>
      </c>
      <c r="C102" s="26" t="n">
        <f aca="false">C16-C56</f>
        <v>9608696</v>
      </c>
      <c r="D102" s="26" t="n">
        <f aca="false">D16-D56</f>
        <v>10248974</v>
      </c>
      <c r="E102" s="26" t="n">
        <f aca="false">E16-E56</f>
        <v>9974412</v>
      </c>
      <c r="F102" s="26" t="n">
        <f aca="false">F16-F56</f>
        <v>10338292</v>
      </c>
      <c r="G102" s="26" t="n">
        <f aca="false">G16-G56</f>
        <v>9141027</v>
      </c>
      <c r="H102" s="26" t="n">
        <f aca="false">H16-H56</f>
        <v>7443590</v>
      </c>
      <c r="I102" s="26" t="n">
        <f aca="false">I16-I56</f>
        <v>7760138</v>
      </c>
      <c r="J102" s="26" t="n">
        <f aca="false">J16-J56</f>
        <v>8092498</v>
      </c>
      <c r="K102" s="26" t="n">
        <f aca="false">K16-K56</f>
        <v>8246725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2389864</v>
      </c>
      <c r="C103" s="26" t="n">
        <f aca="false">-C95</f>
        <v>3804212</v>
      </c>
      <c r="D103" s="26" t="n">
        <f aca="false">-D95</f>
        <v>4598725</v>
      </c>
      <c r="E103" s="26" t="n">
        <f aca="false">-E95</f>
        <v>4343620</v>
      </c>
      <c r="F103" s="26" t="n">
        <f aca="false">-F95</f>
        <v>4485833</v>
      </c>
      <c r="G103" s="26" t="n">
        <f aca="false">-G95</f>
        <v>3703167</v>
      </c>
      <c r="H103" s="26" t="n">
        <f aca="false">-H95</f>
        <v>1792709</v>
      </c>
      <c r="I103" s="26" t="n">
        <f aca="false">-I95</f>
        <v>2876392</v>
      </c>
      <c r="J103" s="26" t="n">
        <f aca="false">-J95</f>
        <v>3514903</v>
      </c>
      <c r="K103" s="26" t="n">
        <f aca="false">-K95</f>
        <v>4328315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8195559</v>
      </c>
      <c r="C104" s="26" t="n">
        <f aca="false">C93+C94</f>
        <v>9460905</v>
      </c>
      <c r="D104" s="26" t="n">
        <f aca="false">D93+D94</f>
        <v>10197248</v>
      </c>
      <c r="E104" s="26" t="n">
        <f aca="false">E93+E94</f>
        <v>9813154</v>
      </c>
      <c r="F104" s="26" t="n">
        <f aca="false">F93+F94</f>
        <v>10235955</v>
      </c>
      <c r="G104" s="26" t="n">
        <f aca="false">G93+G94</f>
        <v>9253398</v>
      </c>
      <c r="H104" s="26" t="n">
        <f aca="false">H93+H94</f>
        <v>6925518</v>
      </c>
      <c r="I104" s="26" t="n">
        <f aca="false">I93+I94</f>
        <v>7380774</v>
      </c>
      <c r="J104" s="26" t="n">
        <f aca="false">J93+J94</f>
        <v>7668344</v>
      </c>
      <c r="K104" s="26" t="n">
        <f aca="false">K93+K94</f>
        <v>8458553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8195559</v>
      </c>
      <c r="C105" s="26" t="n">
        <f aca="false">C96+C103</f>
        <v>9460905</v>
      </c>
      <c r="D105" s="26" t="n">
        <f aca="false">D96+D103</f>
        <v>10197248</v>
      </c>
      <c r="E105" s="26" t="n">
        <f aca="false">E96+E103</f>
        <v>9813154</v>
      </c>
      <c r="F105" s="26" t="n">
        <f aca="false">F96+F103</f>
        <v>10235955</v>
      </c>
      <c r="G105" s="26" t="n">
        <f aca="false">G96+G103</f>
        <v>9253398</v>
      </c>
      <c r="H105" s="26" t="n">
        <f aca="false">H96+H103</f>
        <v>6925518</v>
      </c>
      <c r="I105" s="26" t="n">
        <f aca="false">I96+I103</f>
        <v>7380774</v>
      </c>
      <c r="J105" s="26" t="n">
        <f aca="false">J96+J103</f>
        <v>7668344</v>
      </c>
      <c r="K105" s="26" t="n">
        <f aca="false">K96+K103</f>
        <v>7947615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0</v>
      </c>
      <c r="C106" s="26" t="n">
        <f aca="false">C104-C105</f>
        <v>0</v>
      </c>
      <c r="D106" s="26" t="n">
        <f aca="false">D104-D105</f>
        <v>0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0</v>
      </c>
      <c r="K106" s="26" t="n">
        <f aca="false">K104-K105</f>
        <v>510938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15865429</v>
      </c>
      <c r="C111" s="26" t="n">
        <f aca="false">SUMIF(case!$N:$N,$A111,case!C:C)-C127</f>
        <v>15846263</v>
      </c>
      <c r="D111" s="26" t="n">
        <f aca="false">SUMIF(case!$N:$N,$A111,case!D:D)-D127</f>
        <v>16436587</v>
      </c>
      <c r="E111" s="26" t="n">
        <f aca="false">SUMIF(case!$N:$N,$A111,case!E:E)-E127</f>
        <v>14766494</v>
      </c>
      <c r="F111" s="26" t="n">
        <f aca="false">SUMIF(case!$N:$N,$A111,case!F:F)-F127</f>
        <v>12805323</v>
      </c>
      <c r="G111" s="26" t="n">
        <f aca="false">SUMIF(case!$N:$N,$A111,case!G:G)-G127</f>
        <v>12805865</v>
      </c>
      <c r="H111" s="26" t="n">
        <f aca="false">SUMIF(case!$N:$N,$A111,case!H:H)-H127</f>
        <v>12148772</v>
      </c>
      <c r="I111" s="26" t="n">
        <f aca="false">SUMIF(case!$N:$N,$A111,case!I:I)-I127</f>
        <v>11358490</v>
      </c>
      <c r="J111" s="26" t="n">
        <f aca="false">SUMIF(case!$N:$N,$A111,case!J:J)-J127</f>
        <v>11193397</v>
      </c>
      <c r="K111" s="26" t="n">
        <f aca="false">SUMIF(case!$N:$N,$A111,case!K:K)-K127</f>
        <v>10754612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-11242690</v>
      </c>
      <c r="C113" s="26" t="n">
        <f aca="false">SUMIF(case!$N:$N,$A113,case!C:C)</f>
        <v>-10100470</v>
      </c>
      <c r="D113" s="26" t="n">
        <f aca="false">SUMIF(case!$N:$N,$A113,case!D:D)</f>
        <v>-10293789</v>
      </c>
      <c r="E113" s="26" t="n">
        <f aca="false">SUMIF(case!$N:$N,$A113,case!E:E)</f>
        <v>-10067088</v>
      </c>
      <c r="F113" s="26" t="n">
        <f aca="false">SUMIF(case!$N:$N,$A113,case!F:F)</f>
        <v>-8517441</v>
      </c>
      <c r="G113" s="26" t="n">
        <f aca="false">SUMIF(case!$N:$N,$A113,case!G:G)</f>
        <v>-8713514</v>
      </c>
      <c r="H113" s="26" t="n">
        <f aca="false">SUMIF(case!$N:$N,$A113,case!H:H)</f>
        <v>-7609650</v>
      </c>
      <c r="I113" s="26" t="n">
        <f aca="false">SUMIF(case!$N:$N,$A113,case!I:I)</f>
        <v>-7525108</v>
      </c>
      <c r="J113" s="26" t="n">
        <f aca="false">SUMIF(case!$N:$N,$A113,case!J:J)</f>
        <v>-7091591</v>
      </c>
      <c r="K113" s="26" t="n">
        <f aca="false">SUMIF(case!$N:$N,$A113,case!K:K)</f>
        <v>-6948166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-2610510</v>
      </c>
      <c r="C114" s="26" t="n">
        <f aca="false">SUMIF(case!$N:$N,$A114,case!C:C)</f>
        <v>-2870170</v>
      </c>
      <c r="D114" s="26" t="n">
        <f aca="false">SUMIF(case!$N:$N,$A114,case!D:D)</f>
        <v>-3238511</v>
      </c>
      <c r="E114" s="26" t="n">
        <f aca="false">SUMIF(case!$N:$N,$A114,case!E:E)</f>
        <v>-3150242</v>
      </c>
      <c r="F114" s="26" t="n">
        <f aca="false">SUMIF(case!$N:$N,$A114,case!F:F)</f>
        <v>-2710429</v>
      </c>
      <c r="G114" s="26" t="n">
        <f aca="false">SUMIF(case!$N:$N,$A114,case!G:G)</f>
        <v>-2247291</v>
      </c>
      <c r="H114" s="26" t="n">
        <f aca="false">SUMIF(case!$N:$N,$A114,case!H:H)</f>
        <v>-2038220</v>
      </c>
      <c r="I114" s="26" t="n">
        <f aca="false">SUMIF(case!$N:$N,$A114,case!I:I)</f>
        <v>-1867903</v>
      </c>
      <c r="J114" s="26" t="n">
        <f aca="false">SUMIF(case!$N:$N,$A114,case!J:J)</f>
        <v>-1854019</v>
      </c>
      <c r="K114" s="26" t="n">
        <f aca="false">SUMIF(case!$N:$N,$A114,case!K:K)</f>
        <v>-1758812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-18343</v>
      </c>
      <c r="C115" s="26" t="n">
        <f aca="false">SUMIF(case!$N:$N,$A115,case!C:C)</f>
        <v>-18174</v>
      </c>
      <c r="D115" s="26" t="n">
        <f aca="false">SUMIF(case!$N:$N,$A115,case!D:D)</f>
        <v>-23331</v>
      </c>
      <c r="E115" s="26" t="n">
        <f aca="false">SUMIF(case!$N:$N,$A115,case!E:E)</f>
        <v>-22567</v>
      </c>
      <c r="F115" s="26" t="n">
        <f aca="false">SUMIF(case!$N:$N,$A115,case!F:F)</f>
        <v>-18836</v>
      </c>
      <c r="G115" s="26" t="n">
        <f aca="false">SUMIF(case!$N:$N,$A115,case!G:G)</f>
        <v>-10401</v>
      </c>
      <c r="H115" s="26" t="n">
        <f aca="false">SUMIF(case!$N:$N,$A115,case!H:H)</f>
        <v>-8155</v>
      </c>
      <c r="I115" s="26" t="n">
        <f aca="false">SUMIF(case!$N:$N,$A115,case!I:I)</f>
        <v>-7283</v>
      </c>
      <c r="J115" s="26" t="n">
        <f aca="false">SUMIF(case!$N:$N,$A115,case!J:J)</f>
        <v>-6001</v>
      </c>
      <c r="K115" s="26" t="n">
        <f aca="false">SUMIF(case!$N:$N,$A115,case!K:K)</f>
        <v>-5881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-13871543</v>
      </c>
      <c r="C116" s="26" t="n">
        <f aca="false">SUM(C113:C115)</f>
        <v>-12988814</v>
      </c>
      <c r="D116" s="26" t="n">
        <f aca="false">SUM(D113:D115)</f>
        <v>-13555631</v>
      </c>
      <c r="E116" s="26" t="n">
        <f aca="false">SUM(E113:E115)</f>
        <v>-13239897</v>
      </c>
      <c r="F116" s="26" t="n">
        <f aca="false">SUM(F113:F115)</f>
        <v>-11246706</v>
      </c>
      <c r="G116" s="26" t="n">
        <f aca="false">SUM(G113:G115)</f>
        <v>-10971206</v>
      </c>
      <c r="H116" s="26" t="n">
        <f aca="false">SUM(H113:H115)</f>
        <v>-9656025</v>
      </c>
      <c r="I116" s="26" t="n">
        <f aca="false">SUM(I113:I115)</f>
        <v>-9400294</v>
      </c>
      <c r="J116" s="26" t="n">
        <f aca="false">SUM(J113:J115)</f>
        <v>-8951611</v>
      </c>
      <c r="K116" s="26" t="n">
        <f aca="false">SUM(K113:K115)</f>
        <v>-8712859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433075</v>
      </c>
      <c r="C117" s="26" t="n">
        <f aca="false">SUMIF(case!$N:$N,$A117,case!C:C)</f>
        <v>-67652</v>
      </c>
      <c r="D117" s="26" t="n">
        <f aca="false">SUMIF(case!$N:$N,$A117,case!D:D)</f>
        <v>82731</v>
      </c>
      <c r="E117" s="26" t="n">
        <f aca="false">SUMIF(case!$N:$N,$A117,case!E:E)</f>
        <v>72094</v>
      </c>
      <c r="F117" s="26" t="n">
        <f aca="false">SUMIF(case!$N:$N,$A117,case!F:F)</f>
        <v>22749</v>
      </c>
      <c r="G117" s="26" t="n">
        <f aca="false">SUMIF(case!$N:$N,$A117,case!G:G)</f>
        <v>259</v>
      </c>
      <c r="H117" s="26" t="n">
        <f aca="false">SUMIF(case!$N:$N,$A117,case!H:H)</f>
        <v>-2027</v>
      </c>
      <c r="I117" s="26" t="n">
        <f aca="false">SUMIF(case!$N:$N,$A117,case!I:I)</f>
        <v>8181</v>
      </c>
      <c r="J117" s="26" t="n">
        <f aca="false">SUMIF(case!$N:$N,$A117,case!J:J)</f>
        <v>17195</v>
      </c>
      <c r="K117" s="26" t="n">
        <f aca="false">SUMIF(case!$N:$N,$A117,case!K:K)</f>
        <v>-20996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377432</v>
      </c>
      <c r="C118" s="26" t="n">
        <f aca="false">SUMIF(case!$N:$N,$A118,case!C:C)</f>
        <v>-116508</v>
      </c>
      <c r="D118" s="26" t="n">
        <f aca="false">SUMIF(case!$N:$N,$A118,case!D:D)</f>
        <v>-196679</v>
      </c>
      <c r="E118" s="26" t="n">
        <f aca="false">SUMIF(case!$N:$N,$A118,case!E:E)</f>
        <v>759669</v>
      </c>
      <c r="F118" s="26" t="n">
        <f aca="false">SUMIF(case!$N:$N,$A118,case!F:F)</f>
        <v>-290356</v>
      </c>
      <c r="G118" s="26" t="n">
        <f aca="false">SUMIF(case!$N:$N,$A118,case!G:G)</f>
        <v>515310</v>
      </c>
      <c r="H118" s="26" t="n">
        <f aca="false">SUMIF(case!$N:$N,$A118,case!H:H)</f>
        <v>-77269</v>
      </c>
      <c r="I118" s="26" t="n">
        <f aca="false">SUMIF(case!$N:$N,$A118,case!I:I)</f>
        <v>82744</v>
      </c>
      <c r="J118" s="26" t="n">
        <f aca="false">SUMIF(case!$N:$N,$A118,case!J:J)</f>
        <v>14029</v>
      </c>
      <c r="K118" s="26" t="n">
        <f aca="false">SUMIF(case!$N:$N,$A118,case!K:K)</f>
        <v>-153174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-13061036</v>
      </c>
      <c r="C120" s="26" t="n">
        <f aca="false">C116+C117+C118+C119</f>
        <v>-13172974</v>
      </c>
      <c r="D120" s="26" t="n">
        <f aca="false">D116+D117+D118+D119</f>
        <v>-13669579</v>
      </c>
      <c r="E120" s="26" t="n">
        <f aca="false">E116+E117+E118+E119</f>
        <v>-12408134</v>
      </c>
      <c r="F120" s="26" t="n">
        <f aca="false">F116+F117+F118+F119</f>
        <v>-11514313</v>
      </c>
      <c r="G120" s="26" t="n">
        <f aca="false">G116+G117+G118+G119</f>
        <v>-10455637</v>
      </c>
      <c r="H120" s="26" t="n">
        <f aca="false">H116+H117+H118+H119</f>
        <v>-9735321</v>
      </c>
      <c r="I120" s="26" t="n">
        <f aca="false">I116+I117+I118+I119</f>
        <v>-9309369</v>
      </c>
      <c r="J120" s="26" t="n">
        <f aca="false">J116+J117+J118+J119</f>
        <v>-8920387</v>
      </c>
      <c r="K120" s="26" t="n">
        <f aca="false">K116+K117+K118+K119</f>
        <v>-8887029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2804393</v>
      </c>
      <c r="C121" s="26" t="n">
        <f aca="false">C111+C120</f>
        <v>2673289</v>
      </c>
      <c r="D121" s="26" t="n">
        <f aca="false">D111+D120</f>
        <v>2767008</v>
      </c>
      <c r="E121" s="26" t="n">
        <f aca="false">E111+E120</f>
        <v>2358360</v>
      </c>
      <c r="F121" s="26" t="n">
        <f aca="false">F111+F120</f>
        <v>1291010</v>
      </c>
      <c r="G121" s="26" t="n">
        <f aca="false">G111+G120</f>
        <v>2350228</v>
      </c>
      <c r="H121" s="26" t="n">
        <f aca="false">H111+H120</f>
        <v>2413451</v>
      </c>
      <c r="I121" s="26" t="n">
        <f aca="false">I111+I120</f>
        <v>2049121</v>
      </c>
      <c r="J121" s="26" t="n">
        <f aca="false">J111+J120</f>
        <v>2273010</v>
      </c>
      <c r="K121" s="26" t="n">
        <f aca="false">K111+K120</f>
        <v>1867583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-1290406</v>
      </c>
      <c r="C122" s="26" t="n">
        <f aca="false">SUMIF(case!$N:$N,$A122,case!C:C)</f>
        <v>-1364011</v>
      </c>
      <c r="D122" s="26" t="n">
        <f aca="false">SUMIF(case!$N:$N,$A122,case!D:D)</f>
        <v>-1347707</v>
      </c>
      <c r="E122" s="26" t="n">
        <f aca="false">SUMIF(case!$N:$N,$A122,case!E:E)</f>
        <v>-1415251</v>
      </c>
      <c r="F122" s="26" t="n">
        <f aca="false">SUMIF(case!$N:$N,$A122,case!F:F)</f>
        <v>-1168049</v>
      </c>
      <c r="G122" s="26" t="n">
        <f aca="false">SUMIF(case!$N:$N,$A122,case!G:G)</f>
        <v>-1052737</v>
      </c>
      <c r="H122" s="26" t="n">
        <f aca="false">SUMIF(case!$N:$N,$A122,case!H:H)</f>
        <v>-961818</v>
      </c>
      <c r="I122" s="26" t="n">
        <f aca="false">SUMIF(case!$N:$N,$A122,case!I:I)</f>
        <v>-832621</v>
      </c>
      <c r="J122" s="26" t="n">
        <f aca="false">SUMIF(case!$N:$N,$A122,case!J:J)</f>
        <v>-730776</v>
      </c>
      <c r="K122" s="26" t="n">
        <f aca="false">SUMIF(case!$N:$N,$A122,case!K:K)</f>
        <v>-744993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1513987</v>
      </c>
      <c r="C123" s="26" t="n">
        <f aca="false">C121+C122</f>
        <v>1309278</v>
      </c>
      <c r="D123" s="26" t="n">
        <f aca="false">D121+D122</f>
        <v>1419301</v>
      </c>
      <c r="E123" s="26" t="n">
        <f aca="false">E121+E122</f>
        <v>943109</v>
      </c>
      <c r="F123" s="26" t="n">
        <f aca="false">F121+F122</f>
        <v>122961</v>
      </c>
      <c r="G123" s="26" t="n">
        <f aca="false">G121+G122</f>
        <v>1297491</v>
      </c>
      <c r="H123" s="26" t="n">
        <f aca="false">H121+H122</f>
        <v>1451633</v>
      </c>
      <c r="I123" s="26" t="n">
        <f aca="false">I121+I122</f>
        <v>1216500</v>
      </c>
      <c r="J123" s="26" t="n">
        <f aca="false">J121+J122</f>
        <v>1542234</v>
      </c>
      <c r="K123" s="26" t="n">
        <f aca="false">K121+K122</f>
        <v>1122590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-949346</v>
      </c>
      <c r="C124" s="26" t="n">
        <f aca="false">SUMIF(case!$N:$N,$A124,case!C:C)</f>
        <v>-1039458</v>
      </c>
      <c r="D124" s="26" t="n">
        <f aca="false">SUMIF(case!$N:$N,$A124,case!D:D)</f>
        <v>-1071546</v>
      </c>
      <c r="E124" s="26" t="n">
        <f aca="false">SUMIF(case!$N:$N,$A124,case!E:E)</f>
        <v>-1006407</v>
      </c>
      <c r="F124" s="26" t="n">
        <f aca="false">SUMIF(case!$N:$N,$A124,case!F:F)</f>
        <v>-727789</v>
      </c>
      <c r="G124" s="26" t="n">
        <f aca="false">SUMIF(case!$N:$N,$A124,case!G:G)</f>
        <v>-539374</v>
      </c>
      <c r="H124" s="26" t="n">
        <f aca="false">SUMIF(case!$N:$N,$A124,case!H:H)</f>
        <v>-519631</v>
      </c>
      <c r="I124" s="26" t="n">
        <f aca="false">SUMIF(case!$N:$N,$A124,case!I:I)</f>
        <v>-507224</v>
      </c>
      <c r="J124" s="26" t="n">
        <f aca="false">SUMIF(case!$N:$N,$A124,case!J:J)</f>
        <v>-507965</v>
      </c>
      <c r="K124" s="26" t="n">
        <f aca="false">SUMIF(case!$N:$N,$A124,case!K:K)</f>
        <v>-504405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564641</v>
      </c>
      <c r="C125" s="26" t="n">
        <f aca="false">C123+C124</f>
        <v>269820</v>
      </c>
      <c r="D125" s="26" t="n">
        <f aca="false">D123+D124</f>
        <v>347755</v>
      </c>
      <c r="E125" s="26" t="n">
        <f aca="false">E123+E124</f>
        <v>-63298</v>
      </c>
      <c r="F125" s="26" t="n">
        <f aca="false">F123+F124</f>
        <v>-604828</v>
      </c>
      <c r="G125" s="26" t="n">
        <f aca="false">G123+G124</f>
        <v>758117</v>
      </c>
      <c r="H125" s="26" t="n">
        <f aca="false">H123+H124</f>
        <v>932002</v>
      </c>
      <c r="I125" s="26" t="n">
        <f aca="false">I123+I124</f>
        <v>709276</v>
      </c>
      <c r="J125" s="26" t="n">
        <f aca="false">J123+J124</f>
        <v>1034269</v>
      </c>
      <c r="K125" s="26" t="n">
        <f aca="false">K123+K124</f>
        <v>618185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567</v>
      </c>
      <c r="C127" s="26" t="n">
        <f aca="false">SUMIF(case!$N:$N,$A127,case!C:C)</f>
        <v>44721</v>
      </c>
      <c r="D127" s="26" t="n">
        <f aca="false">SUMIF(case!$N:$N,$A127,case!D:D)</f>
        <v>21004</v>
      </c>
      <c r="E127" s="26" t="n">
        <f aca="false">SUMIF(case!$N:$N,$A127,case!E:E)</f>
        <v>623</v>
      </c>
      <c r="F127" s="26" t="n">
        <f aca="false">SUMIF(case!$N:$N,$A127,case!F:F)</f>
        <v>1023</v>
      </c>
      <c r="G127" s="26" t="n">
        <f aca="false">SUMIF(case!$N:$N,$A127,case!G:G)</f>
        <v>4361</v>
      </c>
      <c r="H127" s="26" t="n">
        <f aca="false">SUMIF(case!$N:$N,$A127,case!H:H)</f>
        <v>694</v>
      </c>
      <c r="I127" s="26" t="n">
        <f aca="false">SUMIF(case!$N:$N,$A127,case!I:I)</f>
        <v>409</v>
      </c>
      <c r="J127" s="26" t="n">
        <f aca="false">SUMIF(case!$N:$N,$A127,case!J:J)</f>
        <v>399</v>
      </c>
      <c r="K127" s="26" t="n">
        <f aca="false">SUMIF(case!$N:$N,$A127,case!K:K)</f>
        <v>167923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-185516</v>
      </c>
      <c r="C129" s="26" t="n">
        <f aca="false">SUMIF(case!$N:$N,$A129,case!C:C)</f>
        <v>-12184</v>
      </c>
      <c r="D129" s="26" t="n">
        <f aca="false">SUMIF(case!$N:$N,$A129,case!D:D)</f>
        <v>-52959</v>
      </c>
      <c r="E129" s="26" t="n">
        <f aca="false">SUMIF(case!$N:$N,$A129,case!E:E)</f>
        <v>-47661</v>
      </c>
      <c r="F129" s="26" t="n">
        <f aca="false">SUMIF(case!$N:$N,$A129,case!F:F)</f>
        <v>-48244</v>
      </c>
      <c r="G129" s="26" t="n">
        <f aca="false">SUMIF(case!$N:$N,$A129,case!G:G)</f>
        <v>-47062</v>
      </c>
      <c r="H129" s="26" t="n">
        <f aca="false">SUMIF(case!$N:$N,$A129,case!H:H)</f>
        <v>-33728</v>
      </c>
      <c r="I129" s="26" t="n">
        <f aca="false">SUMIF(case!$N:$N,$A129,case!I:I)</f>
        <v>-41039</v>
      </c>
      <c r="J129" s="26" t="n">
        <f aca="false">SUMIF(case!$N:$N,$A129,case!J:J)</f>
        <v>-41632</v>
      </c>
      <c r="K129" s="26" t="n">
        <f aca="false">SUMIF(case!$N:$N,$A129,case!K:K)</f>
        <v>-37739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-91202</v>
      </c>
      <c r="C130" s="26" t="n">
        <f aca="false">SUMIF(case!$N:$N,$A130,case!C:C)</f>
        <v>-93464</v>
      </c>
      <c r="D130" s="26" t="n">
        <f aca="false">SUMIF(case!$N:$N,$A130,case!D:D)</f>
        <v>-127001</v>
      </c>
      <c r="E130" s="26" t="n">
        <f aca="false">SUMIF(case!$N:$N,$A130,case!E:E)</f>
        <v>-148924</v>
      </c>
      <c r="F130" s="26" t="n">
        <f aca="false">SUMIF(case!$N:$N,$A130,case!F:F)</f>
        <v>-111182</v>
      </c>
      <c r="G130" s="26" t="n">
        <f aca="false">SUMIF(case!$N:$N,$A130,case!G:G)</f>
        <v>-182832</v>
      </c>
      <c r="H130" s="26" t="n">
        <f aca="false">SUMIF(case!$N:$N,$A130,case!H:H)</f>
        <v>-79257</v>
      </c>
      <c r="I130" s="26" t="n">
        <f aca="false">SUMIF(case!$N:$N,$A130,case!I:I)</f>
        <v>-111512</v>
      </c>
      <c r="J130" s="26" t="n">
        <f aca="false">SUMIF(case!$N:$N,$A130,case!J:J)</f>
        <v>-124694</v>
      </c>
      <c r="K130" s="26" t="n">
        <f aca="false">SUMIF(case!$N:$N,$A130,case!K:K)</f>
        <v>-68670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288490</v>
      </c>
      <c r="C131" s="26" t="n">
        <f aca="false">C125+C126+C127+C130+C129+C128</f>
        <v>208893</v>
      </c>
      <c r="D131" s="26" t="n">
        <f aca="false">D125+D126+D127+D130+D129+D128</f>
        <v>188799</v>
      </c>
      <c r="E131" s="26" t="n">
        <f aca="false">E125+E126+E127+E130+E129+E128</f>
        <v>-259260</v>
      </c>
      <c r="F131" s="26" t="n">
        <f aca="false">F125+F126+F127+F130+F129+F128</f>
        <v>-763231</v>
      </c>
      <c r="G131" s="26" t="n">
        <f aca="false">G125+G126+G127+G130+G129+G128</f>
        <v>532584</v>
      </c>
      <c r="H131" s="26" t="n">
        <f aca="false">H125+H126+H127+H130+H129+H128</f>
        <v>819711</v>
      </c>
      <c r="I131" s="26" t="n">
        <f aca="false">I125+I126+I127+I130+I129+I128</f>
        <v>557134</v>
      </c>
      <c r="J131" s="26" t="n">
        <f aca="false">J125+J126+J127+J130+J129+J128</f>
        <v>868342</v>
      </c>
      <c r="K131" s="26" t="n">
        <f aca="false">K125+K126+K127+K130+K129+K128</f>
        <v>679699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288490</v>
      </c>
      <c r="C133" s="26" t="n">
        <f aca="false">case!C201</f>
        <v>208893</v>
      </c>
      <c r="D133" s="26" t="n">
        <f aca="false">case!D201</f>
        <v>188799</v>
      </c>
      <c r="E133" s="26" t="n">
        <f aca="false">case!E201</f>
        <v>-259260</v>
      </c>
      <c r="F133" s="26" t="n">
        <f aca="false">case!F201</f>
        <v>-763231</v>
      </c>
      <c r="G133" s="26" t="n">
        <f aca="false">case!G201</f>
        <v>532584</v>
      </c>
      <c r="H133" s="26" t="n">
        <f aca="false">case!H201</f>
        <v>819711</v>
      </c>
      <c r="I133" s="26" t="n">
        <f aca="false">case!I201</f>
        <v>557134</v>
      </c>
      <c r="J133" s="26" t="n">
        <f aca="false">case!J201</f>
        <v>868342</v>
      </c>
      <c r="K133" s="26" t="n">
        <f aca="false">case!K201</f>
        <v>679699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30062</v>
      </c>
      <c r="C137" s="26" t="n">
        <f aca="false">SUMIF(case!$N:$N,$A137,case!C:C)</f>
        <v>14629</v>
      </c>
      <c r="D137" s="26" t="n">
        <f aca="false">SUMIF(case!$N:$N,$A137,case!D:D)</f>
        <v>57215</v>
      </c>
      <c r="E137" s="26" t="n">
        <f aca="false">SUMIF(case!$N:$N,$A137,case!E:E)</f>
        <v>51377</v>
      </c>
      <c r="F137" s="26" t="n">
        <f aca="false">SUMIF(case!$N:$N,$A137,case!F:F)</f>
        <v>66053</v>
      </c>
      <c r="G137" s="26" t="n">
        <f aca="false">SUMIF(case!$N:$N,$A137,case!G:G)</f>
        <v>64222</v>
      </c>
      <c r="H137" s="26" t="n">
        <f aca="false">SUMIF(case!$N:$N,$A137,case!H:H)</f>
        <v>47141</v>
      </c>
      <c r="I137" s="26" t="n">
        <f aca="false">SUMIF(case!$N:$N,$A137,case!I:I)</f>
        <v>42032</v>
      </c>
      <c r="J137" s="26" t="n">
        <f aca="false">SUMIF(case!$N:$N,$A137,case!J:J)</f>
        <v>33770</v>
      </c>
      <c r="K137" s="26" t="n">
        <f aca="false">SUMIF(case!$N:$N,$A137,case!K:K)</f>
        <v>30925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-153139</v>
      </c>
      <c r="C138" s="26" t="n">
        <f aca="false">SUMIF(case!$N:$N,$A138,case!C:C)</f>
        <v>-152576</v>
      </c>
      <c r="D138" s="26" t="n">
        <f aca="false">SUMIF(case!$N:$N,$A138,case!D:D)</f>
        <v>-100916</v>
      </c>
      <c r="E138" s="26" t="n">
        <f aca="false">SUMIF(case!$N:$N,$A138,case!E:E)</f>
        <v>-71120</v>
      </c>
      <c r="F138" s="26" t="n">
        <f aca="false">SUMIF(case!$N:$N,$A138,case!F:F)</f>
        <v>-71239</v>
      </c>
      <c r="G138" s="26" t="n">
        <f aca="false">SUMIF(case!$N:$N,$A138,case!G:G)</f>
        <v>-52555</v>
      </c>
      <c r="H138" s="26" t="n">
        <f aca="false">SUMIF(case!$N:$N,$A138,case!H:H)</f>
        <v>-44139</v>
      </c>
      <c r="I138" s="26" t="n">
        <f aca="false">SUMIF(case!$N:$N,$A138,case!I:I)</f>
        <v>-79988</v>
      </c>
      <c r="J138" s="26" t="n">
        <f aca="false">SUMIF(case!$N:$N,$A138,case!J:J)</f>
        <v>-110173</v>
      </c>
      <c r="K138" s="26" t="n">
        <f aca="false">SUMIF(case!$N:$N,$A138,case!K:K)</f>
        <v>-277863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-78</v>
      </c>
      <c r="E139" s="26" t="n">
        <f aca="false">SUMIF(case!$N:$N,$A139,case!E:E)</f>
        <v>83</v>
      </c>
      <c r="F139" s="26" t="n">
        <f aca="false">SUMIF(case!$N:$N,$A139,case!F:F)</f>
        <v>-22</v>
      </c>
      <c r="G139" s="26" t="n">
        <f aca="false">SUMIF(case!$N:$N,$A139,case!G:G)</f>
        <v>-44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-2</v>
      </c>
      <c r="K139" s="26" t="n">
        <f aca="false">SUMIF(case!$N:$N,$A139,case!K:K)</f>
        <v>-8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-123077</v>
      </c>
      <c r="C140" s="26" t="n">
        <f aca="false">SUM(C137:C139)</f>
        <v>-137947</v>
      </c>
      <c r="D140" s="26" t="n">
        <f aca="false">SUM(D137:D139)</f>
        <v>-43779</v>
      </c>
      <c r="E140" s="26" t="n">
        <f aca="false">SUM(E137:E139)</f>
        <v>-19660</v>
      </c>
      <c r="F140" s="26" t="n">
        <f aca="false">SUM(F137:F139)</f>
        <v>-5208</v>
      </c>
      <c r="G140" s="26" t="n">
        <f aca="false">SUM(G137:G139)</f>
        <v>11623</v>
      </c>
      <c r="H140" s="26" t="n">
        <f aca="false">SUM(H137:H139)</f>
        <v>3002</v>
      </c>
      <c r="I140" s="26" t="n">
        <f aca="false">SUM(I137:I139)</f>
        <v>-37956</v>
      </c>
      <c r="J140" s="26" t="n">
        <f aca="false">SUM(J137:J139)</f>
        <v>-76405</v>
      </c>
      <c r="K140" s="26" t="n">
        <f aca="false">SUM(K137:K139)</f>
        <v>-246946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165413</v>
      </c>
      <c r="C141" s="26" t="n">
        <f aca="false">C131+C140</f>
        <v>70946</v>
      </c>
      <c r="D141" s="26" t="n">
        <f aca="false">D131+D140</f>
        <v>145020</v>
      </c>
      <c r="E141" s="26" t="n">
        <f aca="false">E131+E140</f>
        <v>-278920</v>
      </c>
      <c r="F141" s="26" t="n">
        <f aca="false">F131+F140</f>
        <v>-768439</v>
      </c>
      <c r="G141" s="26" t="n">
        <f aca="false">G131+G140</f>
        <v>544207</v>
      </c>
      <c r="H141" s="26" t="n">
        <f aca="false">H131+H140</f>
        <v>822713</v>
      </c>
      <c r="I141" s="26" t="n">
        <f aca="false">I131+I140</f>
        <v>519178</v>
      </c>
      <c r="J141" s="26" t="n">
        <f aca="false">J131+J140</f>
        <v>791937</v>
      </c>
      <c r="K141" s="26" t="n">
        <f aca="false">K131+K140</f>
        <v>432753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-720</v>
      </c>
      <c r="E145" s="26" t="n">
        <f aca="false">SUMIF(case!$N:$N,$A145,case!E:E)</f>
        <v>0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-8406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-720</v>
      </c>
      <c r="E146" s="26" t="n">
        <f aca="false">SUM(E144:E145)</f>
        <v>0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-8406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165413</v>
      </c>
      <c r="C148" s="26" t="n">
        <f aca="false">C141+C146</f>
        <v>70946</v>
      </c>
      <c r="D148" s="26" t="n">
        <f aca="false">D141+D146</f>
        <v>144300</v>
      </c>
      <c r="E148" s="26" t="n">
        <f aca="false">E141+E146</f>
        <v>-278920</v>
      </c>
      <c r="F148" s="26" t="n">
        <f aca="false">F141+F146</f>
        <v>-768439</v>
      </c>
      <c r="G148" s="26" t="n">
        <f aca="false">G141+G146</f>
        <v>544207</v>
      </c>
      <c r="H148" s="26" t="n">
        <f aca="false">H141+H146</f>
        <v>822713</v>
      </c>
      <c r="I148" s="26" t="n">
        <f aca="false">I141+I146</f>
        <v>519178</v>
      </c>
      <c r="J148" s="26" t="n">
        <f aca="false">J141+J146</f>
        <v>791937</v>
      </c>
      <c r="K148" s="26" t="n">
        <f aca="false">K141+K146</f>
        <v>424347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-16414</v>
      </c>
      <c r="C149" s="26" t="n">
        <f aca="false">SUMIF(case!$N:$N,$A149,case!C:C)</f>
        <v>-12775</v>
      </c>
      <c r="D149" s="26" t="n">
        <f aca="false">SUMIF(case!$N:$N,$A149,case!D:D)</f>
        <v>-15313</v>
      </c>
      <c r="E149" s="26" t="n">
        <f aca="false">SUMIF(case!$N:$N,$A149,case!E:E)</f>
        <v>-1669</v>
      </c>
      <c r="F149" s="26" t="n">
        <f aca="false">SUMIF(case!$N:$N,$A149,case!F:F)</f>
        <v>0</v>
      </c>
      <c r="G149" s="26" t="n">
        <f aca="false">SUMIF(case!$N:$N,$A149,case!G:G)</f>
        <v>-126786</v>
      </c>
      <c r="H149" s="26" t="n">
        <f aca="false">SUMIF(case!$N:$N,$A149,case!H:H)</f>
        <v>-194286</v>
      </c>
      <c r="I149" s="26" t="n">
        <f aca="false">SUMIF(case!$N:$N,$A149,case!I:I)</f>
        <v>-168237</v>
      </c>
      <c r="J149" s="26" t="n">
        <f aca="false">SUMIF(case!$N:$N,$A149,case!J:J)</f>
        <v>-257796</v>
      </c>
      <c r="K149" s="26" t="n">
        <f aca="false">SUMIF(case!$N:$N,$A149,case!K:K)</f>
        <v>-144172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148999</v>
      </c>
      <c r="C150" s="26" t="n">
        <f aca="false">C148+C149</f>
        <v>58171</v>
      </c>
      <c r="D150" s="26" t="n">
        <f aca="false">D148+D149</f>
        <v>128987</v>
      </c>
      <c r="E150" s="26" t="n">
        <f aca="false">E148+E149</f>
        <v>-280589</v>
      </c>
      <c r="F150" s="26" t="n">
        <f aca="false">F148+F149</f>
        <v>-768439</v>
      </c>
      <c r="G150" s="26" t="n">
        <f aca="false">G148+G149</f>
        <v>417421</v>
      </c>
      <c r="H150" s="26" t="n">
        <f aca="false">H148+H149</f>
        <v>628427</v>
      </c>
      <c r="I150" s="26" t="n">
        <f aca="false">I148+I149</f>
        <v>350941</v>
      </c>
      <c r="J150" s="26" t="n">
        <f aca="false">J148+J149</f>
        <v>534141</v>
      </c>
      <c r="K150" s="26" t="n">
        <f aca="false">K148+K149</f>
        <v>280175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148999</v>
      </c>
      <c r="C152" s="26" t="n">
        <f aca="false">case!C249</f>
        <v>58171</v>
      </c>
      <c r="D152" s="26" t="n">
        <f aca="false">case!D249</f>
        <v>128987</v>
      </c>
      <c r="E152" s="26" t="n">
        <f aca="false">case!E249</f>
        <v>-280589</v>
      </c>
      <c r="F152" s="26" t="n">
        <f aca="false">case!F249</f>
        <v>-768439</v>
      </c>
      <c r="G152" s="26" t="n">
        <f aca="false">case!G249</f>
        <v>417421</v>
      </c>
      <c r="H152" s="26" t="n">
        <f aca="false">case!H249</f>
        <v>628427</v>
      </c>
      <c r="I152" s="26" t="n">
        <f aca="false">case!I249</f>
        <v>350941</v>
      </c>
      <c r="J152" s="26" t="n">
        <f aca="false">case!J249</f>
        <v>534141</v>
      </c>
      <c r="K152" s="26" t="n">
        <f aca="false">case!K249</f>
        <v>280175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-0.0992304111526905</v>
      </c>
      <c r="C156" s="43" t="n">
        <f aca="false">C149/C148</f>
        <v>-0.18006652947312</v>
      </c>
      <c r="D156" s="43" t="n">
        <f aca="false">D149/D148</f>
        <v>-0.106119196119196</v>
      </c>
      <c r="E156" s="43" t="n">
        <f aca="false">E149/E148</f>
        <v>0.0059837946364549</v>
      </c>
      <c r="F156" s="43" t="n">
        <f aca="false">F149/F148</f>
        <v>-0</v>
      </c>
      <c r="G156" s="43" t="n">
        <f aca="false">G149/G148</f>
        <v>-0.23297385002398</v>
      </c>
      <c r="H156" s="43" t="n">
        <f aca="false">H149/H148</f>
        <v>-0.236152826076651</v>
      </c>
      <c r="I156" s="43" t="n">
        <f aca="false">I149/I148</f>
        <v>-0.32404493256648</v>
      </c>
      <c r="J156" s="43" t="n">
        <f aca="false">J149/J148</f>
        <v>-0.325525894105213</v>
      </c>
      <c r="K156" s="43" t="n">
        <f aca="false">K149/K148</f>
        <v>-0.33975025156299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12212.9813134397</v>
      </c>
      <c r="C157" s="26" t="n">
        <f aca="false">C156*C140</f>
        <v>24839.6375412285</v>
      </c>
      <c r="D157" s="26" t="n">
        <f aca="false">D156*D140</f>
        <v>4645.79228690229</v>
      </c>
      <c r="E157" s="26" t="n">
        <f aca="false">E156*E140</f>
        <v>-117.641402552703</v>
      </c>
      <c r="F157" s="26" t="n">
        <f aca="false">F156*F140</f>
        <v>0</v>
      </c>
      <c r="G157" s="26" t="n">
        <f aca="false">G156*G140</f>
        <v>-2707.85505882872</v>
      </c>
      <c r="H157" s="26" t="n">
        <f aca="false">H156*H140</f>
        <v>-708.930783882107</v>
      </c>
      <c r="I157" s="26" t="n">
        <f aca="false">I156*I140</f>
        <v>12299.4494604933</v>
      </c>
      <c r="J157" s="26" t="n">
        <f aca="false">J156*J140</f>
        <v>24871.8059391088</v>
      </c>
      <c r="K157" s="26" t="n">
        <f aca="false">K156*K140</f>
        <v>83899.9656224741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8033817</v>
      </c>
      <c r="C162" s="26" t="n">
        <f aca="false">C102+(C21-C62)</f>
        <v>9299163</v>
      </c>
      <c r="D162" s="26" t="n">
        <f aca="false">D102+(D21-D62)</f>
        <v>10030506</v>
      </c>
      <c r="E162" s="26" t="n">
        <f aca="false">E102+(E21-E62)</f>
        <v>9645692</v>
      </c>
      <c r="F162" s="26" t="n">
        <f aca="false">F102+(F21-F62)</f>
        <v>10068493</v>
      </c>
      <c r="G162" s="26" t="n">
        <f aca="false">G102+(G21-G62)</f>
        <v>9085807</v>
      </c>
      <c r="H162" s="26" t="n">
        <f aca="false">H102+(H21-H62)</f>
        <v>6757927</v>
      </c>
      <c r="I162" s="26" t="n">
        <f aca="false">I102+(I21-I62)</f>
        <v>7213183</v>
      </c>
      <c r="J162" s="26" t="n">
        <f aca="false">J102+(J21-J62)</f>
        <v>7500753</v>
      </c>
      <c r="K162" s="26" t="n">
        <f aca="false">K102+(K21-K62)</f>
        <v>8209866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288490</v>
      </c>
      <c r="D4" s="51" t="n">
        <f aca="false">RC!C131</f>
        <v>208893</v>
      </c>
      <c r="E4" s="51" t="n">
        <f aca="false">RC!D131</f>
        <v>188799</v>
      </c>
      <c r="F4" s="51" t="n">
        <f aca="false">RC!E131</f>
        <v>-259260</v>
      </c>
      <c r="G4" s="51" t="n">
        <f aca="false">RC!F131</f>
        <v>-763231</v>
      </c>
      <c r="H4" s="51" t="n">
        <f aca="false">RC!G131</f>
        <v>532584</v>
      </c>
      <c r="I4" s="51" t="n">
        <f aca="false">RC!H131</f>
        <v>819711</v>
      </c>
      <c r="J4" s="51" t="n">
        <f aca="false">RC!I131</f>
        <v>557134</v>
      </c>
      <c r="K4" s="51" t="n">
        <f aca="false">RC!J131</f>
        <v>868342</v>
      </c>
      <c r="L4" s="51" t="n">
        <f aca="false">RC!K131</f>
        <v>679699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-720</v>
      </c>
      <c r="F5" s="51" t="n">
        <f aca="false">RC!E146</f>
        <v>0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-8406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949346</v>
      </c>
      <c r="D6" s="51" t="n">
        <f aca="false">-RC!C124</f>
        <v>1039458</v>
      </c>
      <c r="E6" s="51" t="n">
        <f aca="false">-RC!D124</f>
        <v>1071546</v>
      </c>
      <c r="F6" s="51" t="n">
        <f aca="false">-RC!E124</f>
        <v>1006407</v>
      </c>
      <c r="G6" s="51" t="n">
        <f aca="false">-RC!F124</f>
        <v>727789</v>
      </c>
      <c r="H6" s="51" t="n">
        <f aca="false">-RC!G124</f>
        <v>539374</v>
      </c>
      <c r="I6" s="51" t="n">
        <f aca="false">-RC!H124</f>
        <v>519631</v>
      </c>
      <c r="J6" s="51" t="n">
        <f aca="false">-RC!I124</f>
        <v>507224</v>
      </c>
      <c r="K6" s="51" t="n">
        <f aca="false">-RC!J124</f>
        <v>507965</v>
      </c>
      <c r="L6" s="51" t="n">
        <f aca="false">-RC!K124</f>
        <v>504405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4201.01868656031</v>
      </c>
      <c r="D7" s="51" t="n">
        <f aca="false">-(RC!C149+RC!C157)</f>
        <v>-12064.6375412285</v>
      </c>
      <c r="E7" s="51" t="n">
        <f aca="false">-(RC!D149+RC!D157)</f>
        <v>10667.2077130977</v>
      </c>
      <c r="F7" s="51" t="n">
        <f aca="false">-(RC!E149+RC!E157)</f>
        <v>1786.6414025527</v>
      </c>
      <c r="G7" s="51" t="n">
        <f aca="false">-(RC!F149+RC!F157)</f>
        <v>-0</v>
      </c>
      <c r="H7" s="51" t="n">
        <f aca="false">-(RC!G149+RC!G157)</f>
        <v>129493.855058829</v>
      </c>
      <c r="I7" s="51" t="n">
        <f aca="false">-(RC!H149+RC!H157)</f>
        <v>194994.930783882</v>
      </c>
      <c r="J7" s="51" t="n">
        <f aca="false">-(RC!I149+RC!I157)</f>
        <v>155937.550539507</v>
      </c>
      <c r="K7" s="51" t="n">
        <f aca="false">-(RC!J149+RC!J157)</f>
        <v>232924.194060891</v>
      </c>
      <c r="L7" s="51" t="n">
        <f aca="false">-(RC!K149+RC!K157)</f>
        <v>60272.0343775259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1233634.98131344</v>
      </c>
      <c r="D8" s="54" t="n">
        <f aca="false">D4+D5+D6-D7</f>
        <v>1260415.63754123</v>
      </c>
      <c r="E8" s="54" t="n">
        <f aca="false">E4+E5+E6-E7</f>
        <v>1248957.7922869</v>
      </c>
      <c r="F8" s="54" t="n">
        <f aca="false">F4+F5+F6-F7</f>
        <v>745360.358597447</v>
      </c>
      <c r="G8" s="54" t="n">
        <f aca="false">G4+G5+G6-G7</f>
        <v>-35442</v>
      </c>
      <c r="H8" s="54" t="n">
        <f aca="false">H4+H5+H6-H7</f>
        <v>942464.144941171</v>
      </c>
      <c r="I8" s="54" t="n">
        <f aca="false">I4+I5+I6-I7</f>
        <v>1144347.06921612</v>
      </c>
      <c r="J8" s="54" t="n">
        <f aca="false">J4+J5+J6-J7</f>
        <v>908420.449460493</v>
      </c>
      <c r="K8" s="54" t="n">
        <f aca="false">K4+K5+K6-K7</f>
        <v>1143382.80593911</v>
      </c>
      <c r="L8" s="54" t="n">
        <f aca="false">L4+L5+L6-L7</f>
        <v>1115425.96562247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398848</v>
      </c>
      <c r="D11" s="51" t="n">
        <f aca="false">-1*(RC!C5-RC!D5)</f>
        <v>-333412</v>
      </c>
      <c r="E11" s="51" t="n">
        <f aca="false">-1*(RC!D5-RC!E5)</f>
        <v>155351</v>
      </c>
      <c r="F11" s="51" t="n">
        <f aca="false">-1*(RC!E5-RC!F5)</f>
        <v>-587485</v>
      </c>
      <c r="G11" s="51" t="n">
        <f aca="false">-1*(RC!F5-RC!G5)</f>
        <v>421020</v>
      </c>
      <c r="H11" s="51" t="n">
        <f aca="false">-1*(RC!G5-RC!H5)</f>
        <v>31376</v>
      </c>
      <c r="I11" s="51" t="n">
        <f aca="false">-1*(RC!H5-RC!I5)</f>
        <v>-5118</v>
      </c>
      <c r="J11" s="51" t="n">
        <f aca="false">-1*(RC!I5-RC!J5)</f>
        <v>68392</v>
      </c>
      <c r="K11" s="51" t="n">
        <f aca="false">-1*(RC!J5-RC!K5)</f>
        <v>-344342</v>
      </c>
      <c r="L11" s="51" t="n">
        <f aca="false">-1*(RC!K5-RC!L5)</f>
        <v>-1691488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-810507</v>
      </c>
      <c r="D12" s="51" t="n">
        <f aca="false">-1*(RC!C6-RC!D6)</f>
        <v>184161</v>
      </c>
      <c r="E12" s="51" t="n">
        <f aca="false">-1*(RC!D6-RC!E6)</f>
        <v>113947</v>
      </c>
      <c r="F12" s="51" t="n">
        <f aca="false">-1*(RC!E6-RC!F6)</f>
        <v>-831762</v>
      </c>
      <c r="G12" s="51" t="n">
        <f aca="false">-1*(RC!F6-RC!G6)</f>
        <v>267607</v>
      </c>
      <c r="H12" s="51" t="n">
        <f aca="false">-1*(RC!G6-RC!H6)</f>
        <v>-515568</v>
      </c>
      <c r="I12" s="51" t="n">
        <f aca="false">-1*(RC!H6-RC!I6)</f>
        <v>79295</v>
      </c>
      <c r="J12" s="51" t="n">
        <f aca="false">-1*(RC!I6-RC!J6)</f>
        <v>-90924</v>
      </c>
      <c r="K12" s="51" t="n">
        <f aca="false">-1*(RC!J6-RC!K6)</f>
        <v>-31225</v>
      </c>
      <c r="L12" s="51" t="n">
        <f aca="false">-1*(RC!K6-RC!L6)</f>
        <v>-2395489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190709</v>
      </c>
      <c r="D13" s="51" t="n">
        <f aca="false">-1*(RC!C7-RC!D7)</f>
        <v>-20607</v>
      </c>
      <c r="E13" s="51" t="n">
        <f aca="false">-1*(RC!D7-RC!E7)</f>
        <v>64778</v>
      </c>
      <c r="F13" s="51" t="n">
        <f aca="false">-1*(RC!E7-RC!F7)</f>
        <v>-20672</v>
      </c>
      <c r="G13" s="51" t="n">
        <f aca="false">-1*(RC!F7-RC!G7)</f>
        <v>-341034</v>
      </c>
      <c r="H13" s="51" t="n">
        <f aca="false">-1*(RC!G7-RC!H7)</f>
        <v>-70465</v>
      </c>
      <c r="I13" s="51" t="n">
        <f aca="false">-1*(RC!H7-RC!I7)</f>
        <v>22082</v>
      </c>
      <c r="J13" s="51" t="n">
        <f aca="false">-1*(RC!I7-RC!J7)</f>
        <v>-5</v>
      </c>
      <c r="K13" s="51" t="n">
        <f aca="false">-1*(RC!J7-RC!K7)</f>
        <v>19313</v>
      </c>
      <c r="L13" s="51" t="n">
        <f aca="false">-1*(RC!K7-RC!L7)</f>
        <v>-113620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656572</v>
      </c>
      <c r="D14" s="51" t="n">
        <f aca="false">RC!C48-RC!D48</f>
        <v>25916</v>
      </c>
      <c r="E14" s="51" t="n">
        <f aca="false">RC!D48-RC!E48</f>
        <v>-947727</v>
      </c>
      <c r="F14" s="51" t="n">
        <f aca="false">RC!E48-RC!F48</f>
        <v>1337274</v>
      </c>
      <c r="G14" s="51" t="n">
        <f aca="false">RC!F48-RC!G48</f>
        <v>-743040</v>
      </c>
      <c r="H14" s="51" t="n">
        <f aca="false">RC!G48-RC!H48</f>
        <v>1180803</v>
      </c>
      <c r="I14" s="51" t="n">
        <f aca="false">RC!H48-RC!I48</f>
        <v>-51652</v>
      </c>
      <c r="J14" s="51" t="n">
        <f aca="false">RC!I48-RC!J48</f>
        <v>-21643</v>
      </c>
      <c r="K14" s="51" t="n">
        <f aca="false">RC!J48-RC!K48</f>
        <v>79552</v>
      </c>
      <c r="L14" s="51" t="n">
        <f aca="false">RC!K48-RC!L48</f>
        <v>1895868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-3879</v>
      </c>
      <c r="D15" s="51" t="n">
        <f aca="false">RC!C50-RC!D50</f>
        <v>-136635</v>
      </c>
      <c r="E15" s="51" t="n">
        <f aca="false">RC!D50-RC!E50</f>
        <v>207513</v>
      </c>
      <c r="F15" s="51" t="n">
        <f aca="false">RC!E50-RC!F50</f>
        <v>-21624</v>
      </c>
      <c r="G15" s="51" t="n">
        <f aca="false">RC!F50-RC!G50</f>
        <v>266506</v>
      </c>
      <c r="H15" s="51" t="n">
        <f aca="false">RC!G50-RC!H50</f>
        <v>-34020</v>
      </c>
      <c r="I15" s="51" t="n">
        <f aca="false">RC!H50-RC!I50</f>
        <v>3581</v>
      </c>
      <c r="J15" s="51" t="n">
        <f aca="false">RC!I50-RC!J50</f>
        <v>-64513</v>
      </c>
      <c r="K15" s="51" t="n">
        <f aca="false">RC!J50-RC!K50</f>
        <v>-40694</v>
      </c>
      <c r="L15" s="51" t="n">
        <f aca="false">RC!K50-RC!L50</f>
        <v>819921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-88715</v>
      </c>
      <c r="D16" s="51" t="n">
        <f aca="false">-1*(RC!C21-RC!D21)</f>
        <v>153336</v>
      </c>
      <c r="E16" s="51" t="n">
        <f aca="false">-1*(RC!D21-RC!E21)</f>
        <v>200886</v>
      </c>
      <c r="F16" s="51" t="n">
        <f aca="false">-1*(RC!E21-RC!F21)</f>
        <v>4208</v>
      </c>
      <c r="G16" s="51" t="n">
        <f aca="false">-1*(RC!F21-RC!G21)</f>
        <v>170131</v>
      </c>
      <c r="H16" s="51" t="n">
        <f aca="false">-1*(RC!G21-RC!H21)</f>
        <v>-630506</v>
      </c>
      <c r="I16" s="51" t="n">
        <f aca="false">-1*(RC!H21-RC!I21)</f>
        <v>8672</v>
      </c>
      <c r="J16" s="51" t="n">
        <f aca="false">-1*(RC!I21-RC!J21)</f>
        <v>-18838</v>
      </c>
      <c r="K16" s="51" t="n">
        <f aca="false">-1*(RC!J21-RC!K21)</f>
        <v>93129</v>
      </c>
      <c r="L16" s="51" t="n">
        <f aca="false">-1*(RC!K21-RC!L21)</f>
        <v>-216778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18746</v>
      </c>
      <c r="D17" s="51" t="n">
        <f aca="false">RC!C62-RC!D62</f>
        <v>-62271</v>
      </c>
      <c r="E17" s="51" t="n">
        <f aca="false">RC!D62-RC!E62</f>
        <v>-311138</v>
      </c>
      <c r="F17" s="51" t="n">
        <f aca="false">RC!E62-RC!F62</f>
        <v>54713</v>
      </c>
      <c r="G17" s="51" t="n">
        <f aca="false">RC!F62-RC!G62</f>
        <v>44448</v>
      </c>
      <c r="H17" s="51" t="n">
        <f aca="false">RC!G62-RC!H62</f>
        <v>63</v>
      </c>
      <c r="I17" s="51" t="n">
        <f aca="false">RC!H62-RC!I62</f>
        <v>130036</v>
      </c>
      <c r="J17" s="51" t="n">
        <f aca="false">RC!I62-RC!J62</f>
        <v>-25952</v>
      </c>
      <c r="K17" s="51" t="n">
        <f aca="false">RC!J62-RC!K62</f>
        <v>461757</v>
      </c>
      <c r="L17" s="51" t="n">
        <f aca="false">RC!K62-RC!L62</f>
        <v>253637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361774</v>
      </c>
      <c r="D18" s="54" t="n">
        <f aca="false">SUM(D11:D17)</f>
        <v>-189512</v>
      </c>
      <c r="E18" s="54" t="n">
        <f aca="false">SUM(E11:E17)</f>
        <v>-516390</v>
      </c>
      <c r="F18" s="54" t="n">
        <f aca="false">SUM(F11:F17)</f>
        <v>-65348</v>
      </c>
      <c r="G18" s="54" t="n">
        <f aca="false">SUM(G11:G17)</f>
        <v>85638</v>
      </c>
      <c r="H18" s="54" t="n">
        <f aca="false">SUM(H11:H17)</f>
        <v>-38317</v>
      </c>
      <c r="I18" s="54" t="n">
        <f aca="false">SUM(I11:I17)</f>
        <v>186896</v>
      </c>
      <c r="J18" s="54" t="n">
        <f aca="false">SUM(J11:J17)</f>
        <v>-153483</v>
      </c>
      <c r="K18" s="54" t="n">
        <f aca="false">SUM(K11:K17)</f>
        <v>237490</v>
      </c>
      <c r="L18" s="54" t="n">
        <f aca="false">SUM(L11:L17)</f>
        <v>-1447949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-16105</v>
      </c>
      <c r="D19" s="51" t="n">
        <f aca="false">RC!C53-RC!D53</f>
        <v>-43128</v>
      </c>
      <c r="E19" s="51" t="n">
        <f aca="false">RC!D53-RC!E53</f>
        <v>-58650</v>
      </c>
      <c r="F19" s="51" t="n">
        <f aca="false">RC!E53-RC!F53</f>
        <v>45069</v>
      </c>
      <c r="G19" s="51" t="n">
        <f aca="false">RC!F53-RC!G53</f>
        <v>43127</v>
      </c>
      <c r="H19" s="51" t="n">
        <f aca="false">RC!G53-RC!H53</f>
        <v>40394</v>
      </c>
      <c r="I19" s="51" t="n">
        <f aca="false">RC!H53-RC!I53</f>
        <v>33875</v>
      </c>
      <c r="J19" s="51" t="n">
        <f aca="false">RC!I53-RC!J53</f>
        <v>29753</v>
      </c>
      <c r="K19" s="51" t="n">
        <f aca="false">RC!J53-RC!K53</f>
        <v>24791</v>
      </c>
      <c r="L19" s="51" t="n">
        <f aca="false">RC!K53-RC!L53</f>
        <v>208007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-0</v>
      </c>
      <c r="D20" s="51" t="n">
        <f aca="false">-1*(RC!C15-RC!D15)</f>
        <v>-0</v>
      </c>
      <c r="E20" s="51" t="n">
        <f aca="false">-1*(RC!D15-RC!E15)</f>
        <v>-0</v>
      </c>
      <c r="F20" s="51" t="n">
        <f aca="false">-1*(RC!E15-RC!F15)</f>
        <v>-150</v>
      </c>
      <c r="G20" s="51" t="n">
        <f aca="false">-1*(RC!F15-RC!G15)</f>
        <v>-0</v>
      </c>
      <c r="H20" s="51" t="n">
        <f aca="false">-1*(RC!G15-RC!H15)</f>
        <v>-1300</v>
      </c>
      <c r="I20" s="51" t="n">
        <f aca="false">-1*(RC!H15-RC!I15)</f>
        <v>-0</v>
      </c>
      <c r="J20" s="51" t="n">
        <f aca="false">-1*(RC!I15-RC!J15)</f>
        <v>-0</v>
      </c>
      <c r="K20" s="51" t="n">
        <f aca="false">-1*(RC!J15-RC!K15)</f>
        <v>-0</v>
      </c>
      <c r="L20" s="51" t="n">
        <f aca="false">-1*(RC!K15-RC!L15)</f>
        <v>-0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0</v>
      </c>
      <c r="D21" s="51" t="n">
        <f aca="false">RC!C54-RC!D54</f>
        <v>0</v>
      </c>
      <c r="E21" s="51" t="n">
        <f aca="false">RC!D54-RC!E54</f>
        <v>0</v>
      </c>
      <c r="F21" s="51" t="n">
        <f aca="false">RC!E54-RC!F54</f>
        <v>0</v>
      </c>
      <c r="G21" s="51" t="n">
        <f aca="false">RC!F54-RC!G54</f>
        <v>0</v>
      </c>
      <c r="H21" s="51" t="n">
        <f aca="false">RC!G54-RC!H54</f>
        <v>0</v>
      </c>
      <c r="I21" s="51" t="n">
        <f aca="false">RC!H54-RC!I54</f>
        <v>0</v>
      </c>
      <c r="J21" s="51" t="n">
        <f aca="false">RC!I54-RC!J54</f>
        <v>0</v>
      </c>
      <c r="K21" s="51" t="n">
        <f aca="false">RC!J54-RC!K54</f>
        <v>0</v>
      </c>
      <c r="L21" s="51" t="n">
        <f aca="false">RC!K54-RC!L54</f>
        <v>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345669</v>
      </c>
      <c r="D22" s="51" t="n">
        <f aca="false">SUM(D18:D21)</f>
        <v>-232640</v>
      </c>
      <c r="E22" s="51" t="n">
        <f aca="false">SUM(E18:E21)</f>
        <v>-575040</v>
      </c>
      <c r="F22" s="51" t="n">
        <f aca="false">SUM(F18:F21)</f>
        <v>-20429</v>
      </c>
      <c r="G22" s="51" t="n">
        <f aca="false">SUM(G18:G21)</f>
        <v>128765</v>
      </c>
      <c r="H22" s="51" t="n">
        <f aca="false">SUM(H18:H21)</f>
        <v>777</v>
      </c>
      <c r="I22" s="51" t="n">
        <f aca="false">SUM(I18:I21)</f>
        <v>220771</v>
      </c>
      <c r="J22" s="51" t="n">
        <f aca="false">SUM(J18:J21)</f>
        <v>-123730</v>
      </c>
      <c r="K22" s="51" t="n">
        <f aca="false">SUM(K18:K21)</f>
        <v>262281</v>
      </c>
      <c r="L22" s="51" t="n">
        <f aca="false">SUM(L18:L21)</f>
        <v>-1239942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1579303.98131344</v>
      </c>
      <c r="D23" s="54" t="n">
        <f aca="false">D8+D22</f>
        <v>1027775.63754123</v>
      </c>
      <c r="E23" s="54" t="n">
        <f aca="false">E8+E22</f>
        <v>673917.792286902</v>
      </c>
      <c r="F23" s="54" t="n">
        <f aca="false">F8+F22</f>
        <v>724931.358597447</v>
      </c>
      <c r="G23" s="54" t="n">
        <f aca="false">G8+G22</f>
        <v>93323</v>
      </c>
      <c r="H23" s="54" t="n">
        <f aca="false">H8+H22</f>
        <v>943241.144941171</v>
      </c>
      <c r="I23" s="54" t="n">
        <f aca="false">I8+I22</f>
        <v>1365118.06921612</v>
      </c>
      <c r="J23" s="54" t="n">
        <f aca="false">J8+J22</f>
        <v>784690.449460493</v>
      </c>
      <c r="K23" s="54" t="n">
        <f aca="false">K8+K22</f>
        <v>1405663.80593911</v>
      </c>
      <c r="L23" s="54" t="n">
        <f aca="false">L8+L22</f>
        <v>-124516.034377526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919677</v>
      </c>
      <c r="D25" s="51" t="n">
        <f aca="false">-1*(RC!C12-RC!D12)</f>
        <v>963983</v>
      </c>
      <c r="E25" s="51" t="n">
        <f aca="false">-1*(RC!D12-RC!E12)</f>
        <v>190226</v>
      </c>
      <c r="F25" s="51" t="n">
        <f aca="false">-1*(RC!E12-RC!F12)</f>
        <v>443230</v>
      </c>
      <c r="G25" s="51" t="n">
        <f aca="false">-1*(RC!F12-RC!G12)</f>
        <v>-1111451</v>
      </c>
      <c r="H25" s="51" t="n">
        <f aca="false">-1*(RC!G12-RC!H12)</f>
        <v>-2328657</v>
      </c>
      <c r="I25" s="51" t="n">
        <f aca="false">-1*(RC!H12-RC!I12)</f>
        <v>234485</v>
      </c>
      <c r="J25" s="51" t="n">
        <f aca="false">-1*(RC!I12-RC!J12)</f>
        <v>411300</v>
      </c>
      <c r="K25" s="51" t="n">
        <f aca="false">-1*(RC!J12-RC!K12)</f>
        <v>446832</v>
      </c>
      <c r="L25" s="51" t="n">
        <f aca="false">-1*(RC!K12-RC!L12)</f>
        <v>-6969924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-0</v>
      </c>
      <c r="D26" s="51" t="n">
        <f aca="false">-1*(RC!C27-RC!D27)</f>
        <v>5000</v>
      </c>
      <c r="E26" s="51" t="n">
        <f aca="false">-1*(RC!D27-RC!E27)</f>
        <v>720</v>
      </c>
      <c r="F26" s="51" t="n">
        <f aca="false">-1*(RC!E27-RC!F27)</f>
        <v>-0</v>
      </c>
      <c r="G26" s="51" t="n">
        <f aca="false">-1*(RC!F27-RC!G27)</f>
        <v>129</v>
      </c>
      <c r="H26" s="51" t="n">
        <f aca="false">-1*(RC!G27-RC!H27)</f>
        <v>-0</v>
      </c>
      <c r="I26" s="51" t="n">
        <f aca="false">-1*(RC!H27-RC!I27)</f>
        <v>-0</v>
      </c>
      <c r="J26" s="51" t="n">
        <f aca="false">-1*(RC!I27-RC!J27)</f>
        <v>-0</v>
      </c>
      <c r="K26" s="51" t="n">
        <f aca="false">-1*(RC!J27-RC!K27)</f>
        <v>81096</v>
      </c>
      <c r="L26" s="51" t="n">
        <f aca="false">-1*(RC!K27-RC!L27)</f>
        <v>-248687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-949346</v>
      </c>
      <c r="D28" s="51" t="n">
        <f aca="false">RC!C124</f>
        <v>-1039458</v>
      </c>
      <c r="E28" s="51" t="n">
        <f aca="false">RC!D124</f>
        <v>-1071546</v>
      </c>
      <c r="F28" s="51" t="n">
        <f aca="false">RC!E124</f>
        <v>-1006407</v>
      </c>
      <c r="G28" s="51" t="n">
        <f aca="false">RC!F124</f>
        <v>-727789</v>
      </c>
      <c r="H28" s="51" t="n">
        <f aca="false">RC!G124</f>
        <v>-539374</v>
      </c>
      <c r="I28" s="51" t="n">
        <f aca="false">RC!H124</f>
        <v>-519631</v>
      </c>
      <c r="J28" s="51" t="n">
        <f aca="false">RC!I124</f>
        <v>-507224</v>
      </c>
      <c r="K28" s="51" t="n">
        <f aca="false">RC!J124</f>
        <v>-507965</v>
      </c>
      <c r="L28" s="51" t="n">
        <f aca="false">RC!K124</f>
        <v>-504405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0</v>
      </c>
      <c r="D29" s="51" t="n">
        <f aca="false">RC!C80-RC!D80</f>
        <v>0</v>
      </c>
      <c r="E29" s="51" t="n">
        <f aca="false">RC!D80-RC!E80</f>
        <v>0</v>
      </c>
      <c r="F29" s="51" t="n">
        <f aca="false">RC!E80-RC!F80</f>
        <v>0</v>
      </c>
      <c r="G29" s="51" t="n">
        <f aca="false">RC!F80-RC!G80</f>
        <v>968333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900162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-29669</v>
      </c>
      <c r="D30" s="54" t="n">
        <f aca="false">SUM(D25:D29)</f>
        <v>-70475</v>
      </c>
      <c r="E30" s="54" t="n">
        <f aca="false">SUM(E25:E29)</f>
        <v>-880600</v>
      </c>
      <c r="F30" s="54" t="n">
        <f aca="false">SUM(F25:F29)</f>
        <v>-563177</v>
      </c>
      <c r="G30" s="54" t="n">
        <f aca="false">SUM(G25:G29)</f>
        <v>-870778</v>
      </c>
      <c r="H30" s="54" t="n">
        <f aca="false">SUM(H25:H29)</f>
        <v>-2868031</v>
      </c>
      <c r="I30" s="54" t="n">
        <f aca="false">SUM(I25:I29)</f>
        <v>-285146</v>
      </c>
      <c r="J30" s="54" t="n">
        <f aca="false">SUM(J25:J29)</f>
        <v>-95924</v>
      </c>
      <c r="K30" s="54" t="n">
        <f aca="false">SUM(K25:K29)</f>
        <v>19963</v>
      </c>
      <c r="L30" s="54" t="n">
        <f aca="false">SUM(L25:L29)</f>
        <v>-6822854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1549634.98131344</v>
      </c>
      <c r="D31" s="54" t="n">
        <f aca="false">D23+D30</f>
        <v>957300.637541228</v>
      </c>
      <c r="E31" s="54" t="n">
        <f aca="false">E23+E30</f>
        <v>-206682.207713098</v>
      </c>
      <c r="F31" s="54" t="n">
        <f aca="false">F23+F30</f>
        <v>161754.358597447</v>
      </c>
      <c r="G31" s="54" t="n">
        <f aca="false">G23+G30</f>
        <v>-777455</v>
      </c>
      <c r="H31" s="54" t="n">
        <f aca="false">H23+H30</f>
        <v>-1924789.85505883</v>
      </c>
      <c r="I31" s="54" t="n">
        <f aca="false">I23+I30</f>
        <v>1079972.06921612</v>
      </c>
      <c r="J31" s="54" t="n">
        <f aca="false">J23+J30</f>
        <v>688766.449460493</v>
      </c>
      <c r="K31" s="54" t="n">
        <f aca="false">K23+K30</f>
        <v>1425626.80593911</v>
      </c>
      <c r="L31" s="54" t="n">
        <f aca="false">L23+L30</f>
        <v>-6947370.03437753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-123077</v>
      </c>
      <c r="D34" s="51" t="n">
        <f aca="false">RC!C140</f>
        <v>-137947</v>
      </c>
      <c r="E34" s="51" t="n">
        <f aca="false">RC!D140</f>
        <v>-43779</v>
      </c>
      <c r="F34" s="51" t="n">
        <f aca="false">RC!E140</f>
        <v>-19660</v>
      </c>
      <c r="G34" s="51" t="n">
        <f aca="false">RC!F140</f>
        <v>-5208</v>
      </c>
      <c r="H34" s="51" t="n">
        <f aca="false">RC!G140</f>
        <v>11623</v>
      </c>
      <c r="I34" s="51" t="n">
        <f aca="false">RC!H140</f>
        <v>3002</v>
      </c>
      <c r="J34" s="51" t="n">
        <f aca="false">RC!I140</f>
        <v>-37956</v>
      </c>
      <c r="K34" s="51" t="n">
        <f aca="false">RC!J140</f>
        <v>-76405</v>
      </c>
      <c r="L34" s="51" t="n">
        <f aca="false">RC!K140</f>
        <v>-246946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-12212.9813134397</v>
      </c>
      <c r="D35" s="51" t="n">
        <f aca="false">-RC!C157</f>
        <v>-24839.6375412285</v>
      </c>
      <c r="E35" s="51" t="n">
        <f aca="false">-RC!D157</f>
        <v>-4645.79228690229</v>
      </c>
      <c r="F35" s="51" t="n">
        <f aca="false">-RC!E157</f>
        <v>117.641402552703</v>
      </c>
      <c r="G35" s="51" t="n">
        <f aca="false">-RC!F157</f>
        <v>-0</v>
      </c>
      <c r="H35" s="51" t="n">
        <f aca="false">-RC!G157</f>
        <v>2707.85505882872</v>
      </c>
      <c r="I35" s="51" t="n">
        <f aca="false">-RC!H157</f>
        <v>708.930783882107</v>
      </c>
      <c r="J35" s="51" t="n">
        <f aca="false">-RC!I157</f>
        <v>-12299.4494604933</v>
      </c>
      <c r="K35" s="51" t="n">
        <f aca="false">-RC!J157</f>
        <v>-24871.8059391088</v>
      </c>
      <c r="L35" s="51" t="n">
        <f aca="false">-RC!K157</f>
        <v>-83899.9656224741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-884153</v>
      </c>
      <c r="D37" s="51" t="n">
        <f aca="false">RC!C69-RC!D69</f>
        <v>-871661</v>
      </c>
      <c r="E37" s="51" t="n">
        <f aca="false">RC!D69-RC!E69</f>
        <v>-464393</v>
      </c>
      <c r="F37" s="51" t="n">
        <f aca="false">RC!E69-RC!F69</f>
        <v>572924</v>
      </c>
      <c r="G37" s="51" t="n">
        <f aca="false">RC!F69-RC!G69</f>
        <v>1863165</v>
      </c>
      <c r="H37" s="51" t="n">
        <f aca="false">RC!G69-RC!H69</f>
        <v>415913</v>
      </c>
      <c r="I37" s="51" t="n">
        <f aca="false">RC!H69-RC!I69</f>
        <v>-516647</v>
      </c>
      <c r="J37" s="51" t="n">
        <f aca="false">RC!I69-RC!J69</f>
        <v>-512343</v>
      </c>
      <c r="K37" s="51" t="n">
        <f aca="false">RC!J69-RC!K69</f>
        <v>-608445</v>
      </c>
      <c r="L37" s="51" t="n">
        <f aca="false">RC!K69-RC!L69</f>
        <v>3567216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-213279</v>
      </c>
      <c r="D38" s="51" t="n">
        <f aca="false">RC!C70-RC!D70</f>
        <v>-44513</v>
      </c>
      <c r="E38" s="51" t="n">
        <f aca="false">RC!D70-RC!E70</f>
        <v>189949</v>
      </c>
      <c r="F38" s="51" t="n">
        <f aca="false">RC!E70-RC!F70</f>
        <v>70180</v>
      </c>
      <c r="G38" s="51" t="n">
        <f aca="false">RC!F70-RC!G70</f>
        <v>-494598</v>
      </c>
      <c r="H38" s="51" t="n">
        <f aca="false">RC!G70-RC!H70</f>
        <v>714925</v>
      </c>
      <c r="I38" s="51" t="n">
        <f aca="false">RC!H70-RC!I70</f>
        <v>365014</v>
      </c>
      <c r="J38" s="51" t="n">
        <f aca="false">RC!I70-RC!J70</f>
        <v>-70349</v>
      </c>
      <c r="K38" s="51" t="n">
        <f aca="false">RC!J70-RC!K70</f>
        <v>-89574</v>
      </c>
      <c r="L38" s="51" t="n">
        <f aca="false">RC!K70-RC!L70</f>
        <v>811555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-1232721.98131344</v>
      </c>
      <c r="D40" s="54" t="n">
        <f aca="false">SUM(D34:D39)</f>
        <v>-1078960.63754123</v>
      </c>
      <c r="E40" s="54" t="n">
        <f aca="false">SUM(E34:E39)</f>
        <v>-322868.792286902</v>
      </c>
      <c r="F40" s="54" t="n">
        <f aca="false">SUM(F34:F39)</f>
        <v>623561.641402553</v>
      </c>
      <c r="G40" s="54" t="n">
        <f aca="false">SUM(G34:G39)</f>
        <v>1363359</v>
      </c>
      <c r="H40" s="54" t="n">
        <f aca="false">SUM(H34:H39)</f>
        <v>1145168.85505883</v>
      </c>
      <c r="I40" s="54" t="n">
        <f aca="false">SUM(I34:I39)</f>
        <v>-147922.069216118</v>
      </c>
      <c r="J40" s="54" t="n">
        <f aca="false">SUM(J34:J39)</f>
        <v>-632947.449460493</v>
      </c>
      <c r="K40" s="54" t="n">
        <f aca="false">SUM(K34:K39)</f>
        <v>-799295.805939109</v>
      </c>
      <c r="L40" s="54" t="n">
        <f aca="false">SUM(L34:L39)</f>
        <v>4047925.03437753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316913</v>
      </c>
      <c r="D41" s="54" t="n">
        <f aca="false">D31+D40</f>
        <v>-121660</v>
      </c>
      <c r="E41" s="54" t="n">
        <f aca="false">E31+E40</f>
        <v>-529551</v>
      </c>
      <c r="F41" s="54" t="n">
        <f aca="false">F31+F40</f>
        <v>785316</v>
      </c>
      <c r="G41" s="54" t="n">
        <f aca="false">G31+G40</f>
        <v>585904</v>
      </c>
      <c r="H41" s="54" t="n">
        <f aca="false">H31+H40</f>
        <v>-779621</v>
      </c>
      <c r="I41" s="54" t="n">
        <f aca="false">I31+I40</f>
        <v>932050</v>
      </c>
      <c r="J41" s="54" t="n">
        <f aca="false">J31+J40</f>
        <v>55819</v>
      </c>
      <c r="K41" s="54" t="n">
        <f aca="false">K31+K40</f>
        <v>626331</v>
      </c>
      <c r="L41" s="54" t="n">
        <f aca="false">L31+L40</f>
        <v>-2899445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2288201</v>
      </c>
      <c r="D43" s="51" t="n">
        <f aca="false">RC!C79</f>
        <v>2230027</v>
      </c>
      <c r="E43" s="51" t="n">
        <f aca="false">RC!D79</f>
        <v>2101041</v>
      </c>
      <c r="F43" s="51" t="n">
        <f aca="false">RC!E79</f>
        <v>2381628</v>
      </c>
      <c r="G43" s="51" t="n">
        <f aca="false">RC!F79</f>
        <v>3150066</v>
      </c>
      <c r="H43" s="51" t="n">
        <f aca="false">RC!G79</f>
        <v>2732648</v>
      </c>
      <c r="I43" s="51" t="n">
        <f aca="false">RC!H79</f>
        <v>2104220</v>
      </c>
      <c r="J43" s="51" t="n">
        <f aca="false">RC!I79</f>
        <v>1753279</v>
      </c>
      <c r="K43" s="51" t="n">
        <f aca="false">RC!J79</f>
        <v>1219138</v>
      </c>
      <c r="L43" s="51" t="n">
        <f aca="false">RC!K79</f>
        <v>938963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0</v>
      </c>
      <c r="D45" s="51" t="n">
        <f aca="false">RC!C76-RC!D76</f>
        <v>0</v>
      </c>
      <c r="E45" s="51" t="n">
        <f aca="false">RC!D76-RC!E76</f>
        <v>0</v>
      </c>
      <c r="F45" s="51" t="n">
        <f aca="false">RC!E76-RC!F76</f>
        <v>0</v>
      </c>
      <c r="G45" s="51" t="n">
        <f aca="false">RC!F76-RC!G76</f>
        <v>0</v>
      </c>
      <c r="H45" s="51" t="n">
        <f aca="false">RC!G76-RC!H76</f>
        <v>0</v>
      </c>
      <c r="I45" s="51" t="n">
        <f aca="false">RC!H76-RC!I76</f>
        <v>0</v>
      </c>
      <c r="J45" s="51" t="n">
        <f aca="false">RC!I76-RC!J76</f>
        <v>0</v>
      </c>
      <c r="K45" s="51" t="n">
        <f aca="false">RC!J76-RC!K76</f>
        <v>0</v>
      </c>
      <c r="L45" s="51" t="n">
        <f aca="false">RC!K76-RC!L76</f>
        <v>0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1500000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2288201</v>
      </c>
      <c r="D48" s="54" t="n">
        <f aca="false">SUM(D43:D47)</f>
        <v>2230027</v>
      </c>
      <c r="E48" s="54" t="n">
        <f aca="false">SUM(E43:E47)</f>
        <v>2101041</v>
      </c>
      <c r="F48" s="54" t="n">
        <f aca="false">SUM(F43:F47)</f>
        <v>2381628</v>
      </c>
      <c r="G48" s="54" t="n">
        <f aca="false">SUM(G43:G47)</f>
        <v>3150066</v>
      </c>
      <c r="H48" s="54" t="n">
        <f aca="false">SUM(H43:H47)</f>
        <v>2732648</v>
      </c>
      <c r="I48" s="54" t="n">
        <f aca="false">SUM(I43:I47)</f>
        <v>2104220</v>
      </c>
      <c r="J48" s="54" t="n">
        <f aca="false">SUM(J43:J47)</f>
        <v>1753279</v>
      </c>
      <c r="K48" s="54" t="n">
        <f aca="false">SUM(K43:K47)</f>
        <v>1219138</v>
      </c>
      <c r="L48" s="54" t="n">
        <f aca="false">SUM(L43:L47)</f>
        <v>2438963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2605114</v>
      </c>
      <c r="D49" s="54" t="n">
        <f aca="false">D41+D48</f>
        <v>2108367</v>
      </c>
      <c r="E49" s="54" t="n">
        <f aca="false">E41+E48</f>
        <v>1571490</v>
      </c>
      <c r="F49" s="54" t="n">
        <f aca="false">F41+F48</f>
        <v>3166944</v>
      </c>
      <c r="G49" s="54" t="n">
        <f aca="false">G41+G48</f>
        <v>3735970</v>
      </c>
      <c r="H49" s="54" t="n">
        <f aca="false">H41+H48</f>
        <v>1953027</v>
      </c>
      <c r="I49" s="54" t="n">
        <f aca="false">I41+I48</f>
        <v>3036270</v>
      </c>
      <c r="J49" s="54" t="n">
        <f aca="false">J41+J48</f>
        <v>1809098</v>
      </c>
      <c r="K49" s="54" t="n">
        <f aca="false">K41+K48</f>
        <v>1845469</v>
      </c>
      <c r="L49" s="54" t="n">
        <f aca="false">L41+L48</f>
        <v>-460482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316916</v>
      </c>
      <c r="D52" s="51" t="n">
        <f aca="false">RC!C31-RC!D31</f>
        <v>-121661</v>
      </c>
      <c r="E52" s="51" t="n">
        <f aca="false">RC!D31-RC!E31</f>
        <v>-529549</v>
      </c>
      <c r="F52" s="51" t="n">
        <f aca="false">RC!E31-RC!F31</f>
        <v>785317</v>
      </c>
      <c r="G52" s="51" t="n">
        <f aca="false">RC!F31-RC!G31</f>
        <v>585901</v>
      </c>
      <c r="H52" s="51" t="n">
        <f aca="false">RC!G31-RC!H31</f>
        <v>-779620</v>
      </c>
      <c r="I52" s="51" t="n">
        <f aca="false">RC!H31-RC!I31</f>
        <v>932050</v>
      </c>
      <c r="J52" s="51" t="n">
        <f aca="false">RC!I31-RC!J31</f>
        <v>55819</v>
      </c>
      <c r="K52" s="51" t="n">
        <f aca="false">RC!J31-RC!K31</f>
        <v>115393</v>
      </c>
      <c r="L52" s="51" t="n">
        <f aca="false">RC!K31-RC!L31</f>
        <v>50456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316916</v>
      </c>
      <c r="D54" s="51" t="n">
        <f aca="false">D52+D53</f>
        <v>-121661</v>
      </c>
      <c r="E54" s="51" t="n">
        <f aca="false">E52+E53</f>
        <v>-529549</v>
      </c>
      <c r="F54" s="51" t="n">
        <f aca="false">F52+F53</f>
        <v>785317</v>
      </c>
      <c r="G54" s="51" t="n">
        <f aca="false">G52+G53</f>
        <v>585901</v>
      </c>
      <c r="H54" s="51" t="n">
        <f aca="false">H52+H53</f>
        <v>-779620</v>
      </c>
      <c r="I54" s="51" t="n">
        <f aca="false">I52+I53</f>
        <v>932050</v>
      </c>
      <c r="J54" s="51" t="n">
        <f aca="false">J52+J53</f>
        <v>55819</v>
      </c>
      <c r="K54" s="51" t="n">
        <f aca="false">K52+K53</f>
        <v>115393</v>
      </c>
      <c r="L54" s="51" t="n">
        <f aca="false">L52+L53</f>
        <v>50456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2605114</v>
      </c>
      <c r="D55" s="54" t="n">
        <f aca="false">D49</f>
        <v>2108367</v>
      </c>
      <c r="E55" s="54" t="n">
        <f aca="false">E49</f>
        <v>1571490</v>
      </c>
      <c r="F55" s="54" t="n">
        <f aca="false">F49</f>
        <v>3166944</v>
      </c>
      <c r="G55" s="54" t="n">
        <f aca="false">G49</f>
        <v>3735970</v>
      </c>
      <c r="H55" s="54" t="n">
        <f aca="false">H49</f>
        <v>1953027</v>
      </c>
      <c r="I55" s="54" t="n">
        <f aca="false">I49</f>
        <v>3036270</v>
      </c>
      <c r="J55" s="54" t="n">
        <f aca="false">J49</f>
        <v>1809098</v>
      </c>
      <c r="K55" s="54" t="n">
        <f aca="false">K49</f>
        <v>1845469</v>
      </c>
      <c r="L55" s="54" t="n">
        <f aca="false">L49</f>
        <v>-460482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-2288198</v>
      </c>
      <c r="D56" s="54" t="n">
        <f aca="false">D54-D55</f>
        <v>-2230028</v>
      </c>
      <c r="E56" s="54" t="n">
        <f aca="false">E54-E55</f>
        <v>-2101039</v>
      </c>
      <c r="F56" s="54" t="n">
        <f aca="false">F54-F55</f>
        <v>-2381627</v>
      </c>
      <c r="G56" s="54" t="n">
        <f aca="false">G54-G55</f>
        <v>-3150069</v>
      </c>
      <c r="H56" s="54" t="n">
        <f aca="false">H54-H55</f>
        <v>-2732647</v>
      </c>
      <c r="I56" s="54" t="n">
        <f aca="false">I54-I55</f>
        <v>-2104220</v>
      </c>
      <c r="J56" s="54" t="n">
        <f aca="false">J54-J55</f>
        <v>-1753279</v>
      </c>
      <c r="K56" s="54" t="n">
        <f aca="false">K54-K55</f>
        <v>-1730076</v>
      </c>
      <c r="L56" s="54" t="n">
        <f aca="false">L54-L55</f>
        <v>510938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1233634.98131344</v>
      </c>
      <c r="D58" s="51" t="n">
        <f aca="false">D8</f>
        <v>1260415.63754123</v>
      </c>
      <c r="E58" s="51" t="n">
        <f aca="false">E8</f>
        <v>1248957.7922869</v>
      </c>
      <c r="F58" s="51" t="n">
        <f aca="false">F8</f>
        <v>745360.358597447</v>
      </c>
      <c r="G58" s="51" t="n">
        <f aca="false">G8</f>
        <v>-35442</v>
      </c>
      <c r="H58" s="51" t="n">
        <f aca="false">H8</f>
        <v>942464.144941171</v>
      </c>
      <c r="I58" s="51" t="n">
        <f aca="false">I8</f>
        <v>1144347.06921612</v>
      </c>
      <c r="J58" s="51" t="n">
        <f aca="false">J8</f>
        <v>908420.449460493</v>
      </c>
      <c r="K58" s="51" t="n">
        <f aca="false">K8</f>
        <v>1143382.80593911</v>
      </c>
      <c r="L58" s="51" t="n">
        <f aca="false">L8</f>
        <v>1115425.96562247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-949346</v>
      </c>
      <c r="D59" s="51" t="n">
        <f aca="false">-D6</f>
        <v>-1039458</v>
      </c>
      <c r="E59" s="51" t="n">
        <f aca="false">-E6</f>
        <v>-1071546</v>
      </c>
      <c r="F59" s="51" t="n">
        <f aca="false">-F6</f>
        <v>-1006407</v>
      </c>
      <c r="G59" s="51" t="n">
        <f aca="false">-G6</f>
        <v>-727789</v>
      </c>
      <c r="H59" s="51" t="n">
        <f aca="false">-H6</f>
        <v>-539374</v>
      </c>
      <c r="I59" s="51" t="n">
        <f aca="false">-I6</f>
        <v>-519631</v>
      </c>
      <c r="J59" s="51" t="n">
        <f aca="false">-J6</f>
        <v>-507224</v>
      </c>
      <c r="K59" s="51" t="n">
        <f aca="false">-K6</f>
        <v>-507965</v>
      </c>
      <c r="L59" s="51" t="n">
        <f aca="false">-L6</f>
        <v>-504405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1265346</v>
      </c>
      <c r="D60" s="51" t="n">
        <f aca="false">(RC!C162-RC!D162)*-1</f>
        <v>731343</v>
      </c>
      <c r="E60" s="51" t="n">
        <f aca="false">(RC!D162-RC!E162)*-1</f>
        <v>-384814</v>
      </c>
      <c r="F60" s="51" t="n">
        <f aca="false">(RC!E162-RC!F162)*-1</f>
        <v>422801</v>
      </c>
      <c r="G60" s="51" t="n">
        <f aca="false">(RC!F162-RC!G162)*-1</f>
        <v>-982686</v>
      </c>
      <c r="H60" s="51" t="n">
        <f aca="false">(RC!G162-RC!H162)*-1</f>
        <v>-2327880</v>
      </c>
      <c r="I60" s="51" t="n">
        <f aca="false">(RC!H162-RC!I162)*-1</f>
        <v>455256</v>
      </c>
      <c r="J60" s="51" t="n">
        <f aca="false">(RC!I162-RC!J162)*-1</f>
        <v>287570</v>
      </c>
      <c r="K60" s="51" t="n">
        <f aca="false">(RC!J162-RC!K162)*-1</f>
        <v>709113</v>
      </c>
      <c r="L60" s="51" t="n">
        <f aca="false">(RC!K162-RC!L162)*-1</f>
        <v>-8209866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-0</v>
      </c>
      <c r="D61" s="51" t="n">
        <f aca="false">(RC!C27-RC!D27)*-1</f>
        <v>5000</v>
      </c>
      <c r="E61" s="51" t="n">
        <f aca="false">(RC!D27-RC!E27)*-1</f>
        <v>720</v>
      </c>
      <c r="F61" s="51" t="n">
        <f aca="false">(RC!E27-RC!F27)*-1</f>
        <v>-0</v>
      </c>
      <c r="G61" s="51" t="n">
        <f aca="false">(RC!F27-RC!G27)*-1</f>
        <v>129</v>
      </c>
      <c r="H61" s="51" t="n">
        <f aca="false">(RC!G27-RC!H27)*-1</f>
        <v>-0</v>
      </c>
      <c r="I61" s="51" t="n">
        <f aca="false">(RC!H27-RC!I27)*-1</f>
        <v>-0</v>
      </c>
      <c r="J61" s="51" t="n">
        <f aca="false">(RC!I27-RC!J27)*-1</f>
        <v>-0</v>
      </c>
      <c r="K61" s="51" t="n">
        <f aca="false">(RC!J27-RC!K27)*-1</f>
        <v>81096</v>
      </c>
      <c r="L61" s="51" t="n">
        <f aca="false">(RC!K27-RC!L27)*-1</f>
        <v>-248687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0</v>
      </c>
      <c r="D63" s="51" t="n">
        <f aca="false">RC!C80-RC!D80</f>
        <v>0</v>
      </c>
      <c r="E63" s="51" t="n">
        <f aca="false">RC!D80-RC!E80</f>
        <v>0</v>
      </c>
      <c r="F63" s="51" t="n">
        <f aca="false">RC!E80-RC!F80</f>
        <v>0</v>
      </c>
      <c r="G63" s="51" t="n">
        <f aca="false">RC!F80-RC!G80</f>
        <v>968333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900162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1549634.98131344</v>
      </c>
      <c r="D64" s="51" t="n">
        <f aca="false">SUM(D58:D63)</f>
        <v>957300.637541228</v>
      </c>
      <c r="E64" s="51" t="n">
        <f aca="false">SUM(E58:E63)</f>
        <v>-206682.207713098</v>
      </c>
      <c r="F64" s="51" t="n">
        <f aca="false">SUM(F58:F63)</f>
        <v>161754.358597447</v>
      </c>
      <c r="G64" s="51" t="n">
        <f aca="false">SUM(G58:G63)</f>
        <v>-777455</v>
      </c>
      <c r="H64" s="51" t="n">
        <f aca="false">SUM(H58:H63)</f>
        <v>-1924789.85505883</v>
      </c>
      <c r="I64" s="51" t="n">
        <f aca="false">SUM(I58:I63)</f>
        <v>1079972.06921612</v>
      </c>
      <c r="J64" s="51" t="n">
        <f aca="false">SUM(J58:J63)</f>
        <v>688766.449460493</v>
      </c>
      <c r="K64" s="51" t="n">
        <f aca="false">SUM(K58:K63)</f>
        <v>1425626.80593911</v>
      </c>
      <c r="L64" s="51" t="n">
        <f aca="false">SUM(L58:L63)</f>
        <v>-6947370.03437753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1549634.98131344</v>
      </c>
      <c r="D65" s="54" t="n">
        <f aca="false">D31</f>
        <v>957300.637541228</v>
      </c>
      <c r="E65" s="54" t="n">
        <f aca="false">E31</f>
        <v>-206682.207713098</v>
      </c>
      <c r="F65" s="54" t="n">
        <f aca="false">F31</f>
        <v>161754.358597447</v>
      </c>
      <c r="G65" s="54" t="n">
        <f aca="false">G31</f>
        <v>-777455</v>
      </c>
      <c r="H65" s="54" t="n">
        <f aca="false">H31</f>
        <v>-1924789.85505883</v>
      </c>
      <c r="I65" s="54" t="n">
        <f aca="false">I31</f>
        <v>1079972.06921612</v>
      </c>
      <c r="J65" s="54" t="n">
        <f aca="false">J31</f>
        <v>688766.449460493</v>
      </c>
      <c r="K65" s="54" t="n">
        <f aca="false">K31</f>
        <v>1425626.80593911</v>
      </c>
      <c r="L65" s="54" t="n">
        <f aca="false">L31</f>
        <v>-6947370.03437753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148999</v>
      </c>
      <c r="D68" s="51" t="n">
        <f aca="false">RC!C150</f>
        <v>58171</v>
      </c>
      <c r="E68" s="51" t="n">
        <f aca="false">RC!D150</f>
        <v>128987</v>
      </c>
      <c r="F68" s="51" t="n">
        <f aca="false">RC!E150</f>
        <v>-280589</v>
      </c>
      <c r="G68" s="51" t="n">
        <f aca="false">RC!F150</f>
        <v>-768439</v>
      </c>
      <c r="H68" s="51" t="n">
        <f aca="false">RC!G150</f>
        <v>417421</v>
      </c>
      <c r="I68" s="51" t="n">
        <f aca="false">RC!H150</f>
        <v>628427</v>
      </c>
      <c r="J68" s="51" t="n">
        <f aca="false">RC!I150</f>
        <v>350941</v>
      </c>
      <c r="K68" s="51" t="n">
        <f aca="false">RC!J150</f>
        <v>534141</v>
      </c>
      <c r="L68" s="51" t="n">
        <f aca="false">RC!K150</f>
        <v>280175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1265346</v>
      </c>
      <c r="D69" s="51" t="n">
        <f aca="false">SUM(D60:D63)</f>
        <v>736343</v>
      </c>
      <c r="E69" s="51" t="n">
        <f aca="false">SUM(E60:E63)</f>
        <v>-384094</v>
      </c>
      <c r="F69" s="51" t="n">
        <f aca="false">SUM(F60:F63)</f>
        <v>422801</v>
      </c>
      <c r="G69" s="51" t="n">
        <f aca="false">SUM(G60:G63)</f>
        <v>-14224</v>
      </c>
      <c r="H69" s="51" t="n">
        <f aca="false">SUM(H60:H63)</f>
        <v>-2327880</v>
      </c>
      <c r="I69" s="51" t="n">
        <f aca="false">SUM(I60:I63)</f>
        <v>455256</v>
      </c>
      <c r="J69" s="51" t="n">
        <f aca="false">SUM(J60:J63)</f>
        <v>287570</v>
      </c>
      <c r="K69" s="51" t="n">
        <f aca="false">SUM(K60:K63)</f>
        <v>790209</v>
      </c>
      <c r="L69" s="51" t="n">
        <f aca="false">SUM(L60:L63)</f>
        <v>-7558391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-1097432</v>
      </c>
      <c r="D70" s="51" t="n">
        <f aca="false">SUM(D71:D74)</f>
        <v>-916174</v>
      </c>
      <c r="E70" s="51" t="n">
        <f aca="false">SUM(E71:E74)</f>
        <v>-274444</v>
      </c>
      <c r="F70" s="51" t="n">
        <f aca="false">SUM(F71:F74)</f>
        <v>643104</v>
      </c>
      <c r="G70" s="51" t="n">
        <f aca="false">SUM(G71:G74)</f>
        <v>1368567</v>
      </c>
      <c r="H70" s="51" t="n">
        <f aca="false">SUM(H71:H74)</f>
        <v>1130838</v>
      </c>
      <c r="I70" s="51" t="n">
        <f aca="false">SUM(I71:I74)</f>
        <v>-151633</v>
      </c>
      <c r="J70" s="51" t="n">
        <f aca="false">SUM(J71:J74)</f>
        <v>-582692</v>
      </c>
      <c r="K70" s="51" t="n">
        <f aca="false">SUM(K71:K74)</f>
        <v>-698019</v>
      </c>
      <c r="L70" s="51" t="n">
        <f aca="false">SUM(L71:L74)</f>
        <v>4378771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-1097432</v>
      </c>
      <c r="D71" s="51" t="n">
        <f aca="false">RC!C69+RC!C70-RC!D69-RC!D70</f>
        <v>-916174</v>
      </c>
      <c r="E71" s="51" t="n">
        <f aca="false">RC!D69+RC!D70-RC!E69-RC!E70</f>
        <v>-274444</v>
      </c>
      <c r="F71" s="51" t="n">
        <f aca="false">RC!E69+RC!E70-RC!F69-RC!F70</f>
        <v>643104</v>
      </c>
      <c r="G71" s="51" t="n">
        <f aca="false">RC!F69+RC!F70-RC!G69-RC!G70</f>
        <v>1368567</v>
      </c>
      <c r="H71" s="51" t="n">
        <f aca="false">RC!G69+RC!G70-RC!H69-RC!H70</f>
        <v>1130838</v>
      </c>
      <c r="I71" s="51" t="n">
        <f aca="false">RC!H69+RC!H70-RC!I69-RC!I70</f>
        <v>-151633</v>
      </c>
      <c r="J71" s="51" t="n">
        <f aca="false">RC!I69+RC!I70-RC!J69-RC!J70</f>
        <v>-582692</v>
      </c>
      <c r="K71" s="51" t="n">
        <f aca="false">RC!J69+RC!J70-RC!K69-RC!K70</f>
        <v>-698019</v>
      </c>
      <c r="L71" s="51" t="n">
        <f aca="false">RC!K69+RC!K70-RC!L69-RC!L70</f>
        <v>4378771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316913</v>
      </c>
      <c r="D75" s="51" t="n">
        <f aca="false">SUM(D68:D70)</f>
        <v>-121660</v>
      </c>
      <c r="E75" s="51" t="n">
        <f aca="false">SUM(E68:E70)</f>
        <v>-529551</v>
      </c>
      <c r="F75" s="51" t="n">
        <f aca="false">SUM(F68:F70)</f>
        <v>785316</v>
      </c>
      <c r="G75" s="51" t="n">
        <f aca="false">SUM(G68:G70)</f>
        <v>585904</v>
      </c>
      <c r="H75" s="51" t="n">
        <f aca="false">SUM(H68:H70)</f>
        <v>-779621</v>
      </c>
      <c r="I75" s="51" t="n">
        <f aca="false">SUM(I68:I70)</f>
        <v>932050</v>
      </c>
      <c r="J75" s="51" t="n">
        <f aca="false">SUM(J68:J70)</f>
        <v>55819</v>
      </c>
      <c r="K75" s="51" t="n">
        <f aca="false">SUM(K68:K70)</f>
        <v>626331</v>
      </c>
      <c r="L75" s="51" t="n">
        <f aca="false">SUM(L68:L70)</f>
        <v>-2899445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316913</v>
      </c>
      <c r="D76" s="54" t="n">
        <f aca="false">D41</f>
        <v>-121660</v>
      </c>
      <c r="E76" s="54" t="n">
        <f aca="false">E41</f>
        <v>-529551</v>
      </c>
      <c r="F76" s="54" t="n">
        <f aca="false">F41</f>
        <v>785316</v>
      </c>
      <c r="G76" s="54" t="n">
        <f aca="false">G41</f>
        <v>585904</v>
      </c>
      <c r="H76" s="54" t="n">
        <f aca="false">H41</f>
        <v>-779621</v>
      </c>
      <c r="I76" s="54" t="n">
        <f aca="false">I41</f>
        <v>932050</v>
      </c>
      <c r="J76" s="54" t="n">
        <f aca="false">J41</f>
        <v>55819</v>
      </c>
      <c r="K76" s="54" t="n">
        <f aca="false">K41</f>
        <v>626331</v>
      </c>
      <c r="L76" s="54" t="n">
        <f aca="false">L41</f>
        <v>-2899445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0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165413</v>
      </c>
      <c r="C3" s="71" t="n">
        <f aca="false">RC!C131+RC!C140+RC!C144</f>
        <v>70946</v>
      </c>
      <c r="D3" s="71" t="n">
        <f aca="false">RC!D131+RC!D140+RC!D144</f>
        <v>145020</v>
      </c>
      <c r="E3" s="71" t="n">
        <f aca="false">RC!E131+RC!E140+RC!E144</f>
        <v>-278920</v>
      </c>
      <c r="F3" s="71" t="n">
        <f aca="false">RC!F131+RC!F140+RC!F144</f>
        <v>-768439</v>
      </c>
      <c r="G3" s="71" t="n">
        <f aca="false">RC!G131+RC!G140+RC!G144</f>
        <v>544207</v>
      </c>
      <c r="H3" s="71" t="n">
        <f aca="false">RC!H131+RC!H140+RC!H144</f>
        <v>822713</v>
      </c>
      <c r="I3" s="71" t="n">
        <f aca="false">RC!I131+RC!I140+RC!I144</f>
        <v>519178</v>
      </c>
      <c r="J3" s="71" t="n">
        <f aca="false">RC!J131+RC!J140+RC!J144</f>
        <v>791937</v>
      </c>
      <c r="K3" s="71" t="n">
        <f aca="false">RC!K131+RC!K140+RC!K144</f>
        <v>432753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288490</v>
      </c>
      <c r="C4" s="71" t="n">
        <f aca="false">RC!C131</f>
        <v>208893</v>
      </c>
      <c r="D4" s="71" t="n">
        <f aca="false">RC!D131</f>
        <v>188799</v>
      </c>
      <c r="E4" s="71" t="n">
        <f aca="false">RC!E131</f>
        <v>-259260</v>
      </c>
      <c r="F4" s="71" t="n">
        <f aca="false">RC!F131</f>
        <v>-763231</v>
      </c>
      <c r="G4" s="71" t="n">
        <f aca="false">RC!G131</f>
        <v>532584</v>
      </c>
      <c r="H4" s="71" t="n">
        <f aca="false">RC!H131</f>
        <v>819711</v>
      </c>
      <c r="I4" s="71" t="n">
        <f aca="false">RC!I131</f>
        <v>557134</v>
      </c>
      <c r="J4" s="71" t="n">
        <f aca="false">RC!J131</f>
        <v>868342</v>
      </c>
      <c r="K4" s="71" t="n">
        <f aca="false">RC!K131</f>
        <v>679699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1513987</v>
      </c>
      <c r="C5" s="71" t="n">
        <f aca="false">RC!C123</f>
        <v>1309278</v>
      </c>
      <c r="D5" s="71" t="n">
        <f aca="false">RC!D123</f>
        <v>1419301</v>
      </c>
      <c r="E5" s="71" t="n">
        <f aca="false">RC!E123</f>
        <v>943109</v>
      </c>
      <c r="F5" s="71" t="n">
        <f aca="false">RC!F123</f>
        <v>122961</v>
      </c>
      <c r="G5" s="71" t="n">
        <f aca="false">RC!G123</f>
        <v>1297491</v>
      </c>
      <c r="H5" s="71" t="n">
        <f aca="false">RC!H123</f>
        <v>1451633</v>
      </c>
      <c r="I5" s="71" t="n">
        <f aca="false">RC!I123</f>
        <v>1216500</v>
      </c>
      <c r="J5" s="71" t="n">
        <f aca="false">RC!J123</f>
        <v>1542234</v>
      </c>
      <c r="K5" s="71" t="n">
        <f aca="false">RC!K123</f>
        <v>1122590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148999</v>
      </c>
      <c r="C6" s="71" t="n">
        <f aca="false">RC!C150</f>
        <v>58171</v>
      </c>
      <c r="D6" s="71" t="n">
        <f aca="false">RC!D150</f>
        <v>128987</v>
      </c>
      <c r="E6" s="71" t="n">
        <f aca="false">RC!E150</f>
        <v>-280589</v>
      </c>
      <c r="F6" s="71" t="n">
        <f aca="false">RC!F150</f>
        <v>-768439</v>
      </c>
      <c r="G6" s="71" t="n">
        <f aca="false">RC!G150</f>
        <v>417421</v>
      </c>
      <c r="H6" s="71" t="n">
        <f aca="false">RC!H150</f>
        <v>628427</v>
      </c>
      <c r="I6" s="71" t="n">
        <f aca="false">RC!I150</f>
        <v>350941</v>
      </c>
      <c r="J6" s="71" t="n">
        <f aca="false">RC!J150</f>
        <v>534141</v>
      </c>
      <c r="K6" s="71" t="n">
        <f aca="false">RC!K150</f>
        <v>280175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15865429</v>
      </c>
      <c r="C7" s="71" t="n">
        <f aca="false">RC!C111</f>
        <v>15846263</v>
      </c>
      <c r="D7" s="71" t="n">
        <f aca="false">RC!D111</f>
        <v>16436587</v>
      </c>
      <c r="E7" s="71" t="n">
        <f aca="false">RC!E111</f>
        <v>14766494</v>
      </c>
      <c r="F7" s="71" t="n">
        <f aca="false">RC!F111</f>
        <v>12805323</v>
      </c>
      <c r="G7" s="71" t="n">
        <f aca="false">RC!G111</f>
        <v>12805865</v>
      </c>
      <c r="H7" s="71" t="n">
        <f aca="false">RC!H111</f>
        <v>12148772</v>
      </c>
      <c r="I7" s="71" t="n">
        <f aca="false">RC!I111</f>
        <v>11358490</v>
      </c>
      <c r="J7" s="71" t="n">
        <f aca="false">RC!J111</f>
        <v>11193397</v>
      </c>
      <c r="K7" s="71" t="n">
        <f aca="false">RC!K111</f>
        <v>10754612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15846263</v>
      </c>
      <c r="C8" s="71" t="n">
        <f aca="false">RC!D111</f>
        <v>16436587</v>
      </c>
      <c r="D8" s="71" t="n">
        <f aca="false">RC!E111</f>
        <v>14766494</v>
      </c>
      <c r="E8" s="71" t="n">
        <f aca="false">RC!F111</f>
        <v>12805323</v>
      </c>
      <c r="F8" s="71" t="n">
        <f aca="false">RC!G111</f>
        <v>12805865</v>
      </c>
      <c r="G8" s="71" t="n">
        <f aca="false">RC!H111</f>
        <v>12148772</v>
      </c>
      <c r="H8" s="71" t="n">
        <f aca="false">RC!I111</f>
        <v>11358490</v>
      </c>
      <c r="I8" s="71" t="n">
        <f aca="false">RC!J111</f>
        <v>11193397</v>
      </c>
      <c r="J8" s="71" t="n">
        <f aca="false">RC!K111</f>
        <v>10754612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53029.6530958904</v>
      </c>
      <c r="C9" s="71" t="n">
        <f aca="false">C7*1.22/365</f>
        <v>52965.5913972603</v>
      </c>
      <c r="D9" s="71" t="n">
        <f aca="false">D7*1.22/365</f>
        <v>54938.7291506849</v>
      </c>
      <c r="E9" s="71" t="n">
        <f aca="false">E7*1.22/365</f>
        <v>49356.5004931507</v>
      </c>
      <c r="F9" s="71" t="n">
        <f aca="false">F7*1.22/365</f>
        <v>42801.3535890411</v>
      </c>
      <c r="G9" s="71" t="n">
        <f aca="false">G7*1.22/365</f>
        <v>42803.1652054795</v>
      </c>
      <c r="H9" s="71" t="n">
        <f aca="false">H7*1.22/365</f>
        <v>40606.8543561644</v>
      </c>
      <c r="I9" s="71" t="n">
        <f aca="false">I7*1.22/365</f>
        <v>37965.3638356164</v>
      </c>
      <c r="J9" s="71" t="n">
        <f aca="false">J7*1.22/365</f>
        <v>37413.5461369863</v>
      </c>
      <c r="K9" s="71" t="n">
        <f aca="false">K7*1.22/365</f>
        <v>35946.9223013699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-13871543</v>
      </c>
      <c r="C10" s="71" t="n">
        <f aca="false">RC!C116</f>
        <v>-12988814</v>
      </c>
      <c r="D10" s="71" t="n">
        <f aca="false">RC!D116</f>
        <v>-13555631</v>
      </c>
      <c r="E10" s="71" t="n">
        <f aca="false">RC!E116</f>
        <v>-13239897</v>
      </c>
      <c r="F10" s="71" t="n">
        <f aca="false">RC!F116</f>
        <v>-11246706</v>
      </c>
      <c r="G10" s="71" t="n">
        <f aca="false">RC!G116</f>
        <v>-10971206</v>
      </c>
      <c r="H10" s="71" t="n">
        <f aca="false">RC!H116</f>
        <v>-9656025</v>
      </c>
      <c r="I10" s="71" t="n">
        <f aca="false">RC!I116</f>
        <v>-9400294</v>
      </c>
      <c r="J10" s="71" t="n">
        <f aca="false">RC!J116</f>
        <v>-8951611</v>
      </c>
      <c r="K10" s="71" t="n">
        <f aca="false">RC!K116</f>
        <v>-8712859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-46365.1574246575</v>
      </c>
      <c r="C11" s="71" t="n">
        <f aca="false">RC!C116*1.22/365</f>
        <v>-43414.6659726027</v>
      </c>
      <c r="D11" s="71" t="n">
        <f aca="false">RC!D116*1.22/365</f>
        <v>-45309.2323835617</v>
      </c>
      <c r="E11" s="71" t="n">
        <f aca="false">RC!E116*1.22/365</f>
        <v>-44253.9023013699</v>
      </c>
      <c r="F11" s="71" t="n">
        <f aca="false">RC!F116*1.22/365</f>
        <v>-37591.7296438356</v>
      </c>
      <c r="G11" s="71" t="n">
        <f aca="false">RC!G116*1.22/365</f>
        <v>-36670.8803287671</v>
      </c>
      <c r="H11" s="71" t="n">
        <f aca="false">RC!H116*1.22/365</f>
        <v>-32274.9328767123</v>
      </c>
      <c r="I11" s="71" t="n">
        <f aca="false">RC!I116*1.22/365</f>
        <v>-31420.1607671233</v>
      </c>
      <c r="J11" s="71" t="n">
        <f aca="false">RC!J116*1.22/365</f>
        <v>-29920.4532054795</v>
      </c>
      <c r="K11" s="71" t="n">
        <f aca="false">RC!K116*1.22/365</f>
        <v>-29122.4328219178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-35937</v>
      </c>
      <c r="C12" s="71" t="n">
        <f aca="false">AVERAGE(RC!C120:D120)/365</f>
        <v>-36770.6205479452</v>
      </c>
      <c r="D12" s="71" t="n">
        <f aca="false">AVERAGE(RC!D120:E120)/365</f>
        <v>-35722.894520548</v>
      </c>
      <c r="E12" s="71" t="n">
        <f aca="false">AVERAGE(RC!E120:F120)/365</f>
        <v>-32770.4753424658</v>
      </c>
      <c r="F12" s="71" t="n">
        <f aca="false">AVERAGE(RC!F120:G120)/365</f>
        <v>-30095.8219178082</v>
      </c>
      <c r="G12" s="71" t="n">
        <f aca="false">AVERAGE(RC!G120:H120)/365</f>
        <v>-27658.8465753425</v>
      </c>
      <c r="H12" s="71" t="n">
        <f aca="false">AVERAGE(RC!H120:I120)/365</f>
        <v>-26088.6164383562</v>
      </c>
      <c r="I12" s="71" t="n">
        <f aca="false">AVERAGE(RC!I120:J120)/365</f>
        <v>-24972.2684931507</v>
      </c>
      <c r="J12" s="71" t="n">
        <f aca="false">AVERAGE(RC!J120:K120)/365</f>
        <v>-24393.7205479452</v>
      </c>
      <c r="K12" s="71" t="n">
        <f aca="false">AVERAGE(RC!K120:L120)/365</f>
        <v>-24348.0246575342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-3636.18767123288</v>
      </c>
      <c r="C13" s="71" t="n">
        <f aca="false">AVERAGE(RC!C122:D122)/365</f>
        <v>-3714.68219178082</v>
      </c>
      <c r="D13" s="71" t="n">
        <f aca="false">AVERAGE(RC!D122:E122)/365</f>
        <v>-3784.87397260274</v>
      </c>
      <c r="E13" s="71" t="n">
        <f aca="false">AVERAGE(RC!E122:F122)/365</f>
        <v>-3538.76712328767</v>
      </c>
      <c r="F13" s="71" t="n">
        <f aca="false">AVERAGE(RC!F122:G122)/365</f>
        <v>-3042.17260273973</v>
      </c>
      <c r="G13" s="71" t="n">
        <f aca="false">AVERAGE(RC!G122:H122)/365</f>
        <v>-2759.66438356164</v>
      </c>
      <c r="H13" s="71" t="n">
        <f aca="false">AVERAGE(RC!H122:I122)/365</f>
        <v>-2458.13561643836</v>
      </c>
      <c r="I13" s="71" t="n">
        <f aca="false">AVERAGE(RC!I122:J122)/365</f>
        <v>-2141.6397260274</v>
      </c>
      <c r="J13" s="71" t="n">
        <f aca="false">AVERAGE(RC!J122:K122)/365</f>
        <v>-2021.60136986301</v>
      </c>
      <c r="K13" s="71" t="n">
        <f aca="false">AVERAGE(RC!K122:L122)/365</f>
        <v>-2041.07671232877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8666490</v>
      </c>
      <c r="C14" s="71" t="n">
        <f aca="false">AVERAGE(RC!C93,RC!D93)</f>
        <v>9664834.5</v>
      </c>
      <c r="D14" s="71" t="n">
        <f aca="false">AVERAGE(RC!D93,RC!E93)</f>
        <v>9838099</v>
      </c>
      <c r="E14" s="71" t="n">
        <f aca="false">AVERAGE(RC!E93,RC!F93)</f>
        <v>9857092.5</v>
      </c>
      <c r="F14" s="71" t="n">
        <f aca="false">AVERAGE(RC!F93,RC!G93)</f>
        <v>9577150</v>
      </c>
      <c r="G14" s="71" t="n">
        <f aca="false">AVERAGE(RC!G93,RC!H93)</f>
        <v>7921867</v>
      </c>
      <c r="H14" s="71" t="n">
        <f aca="false">AVERAGE(RC!H93,RC!I93)</f>
        <v>6985555</v>
      </c>
      <c r="I14" s="71" t="n">
        <f aca="false">AVERAGE(RC!I93,RC!J93)</f>
        <v>7356968</v>
      </c>
      <c r="J14" s="71" t="n">
        <f aca="false">AVERAGE(RC!J93,RC!K93)</f>
        <v>7855309.5</v>
      </c>
      <c r="K14" s="71" t="n">
        <f aca="false">AVERAGE(RC!K93,RC!L93)</f>
        <v>8209866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9299163</v>
      </c>
      <c r="C15" s="71" t="n">
        <f aca="false">RC!D93</f>
        <v>10030506</v>
      </c>
      <c r="D15" s="71" t="n">
        <f aca="false">RC!E93</f>
        <v>9645692</v>
      </c>
      <c r="E15" s="71" t="n">
        <f aca="false">RC!F93</f>
        <v>10068493</v>
      </c>
      <c r="F15" s="71" t="n">
        <f aca="false">RC!G93</f>
        <v>9085807</v>
      </c>
      <c r="G15" s="71" t="n">
        <f aca="false">RC!H93</f>
        <v>6757927</v>
      </c>
      <c r="H15" s="71" t="n">
        <f aca="false">RC!I93</f>
        <v>7213183</v>
      </c>
      <c r="I15" s="71" t="n">
        <f aca="false">RC!J93</f>
        <v>7500753</v>
      </c>
      <c r="J15" s="71" t="n">
        <f aca="false">RC!K93</f>
        <v>8209866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8033817</v>
      </c>
      <c r="C16" s="71" t="n">
        <f aca="false">RC!C93</f>
        <v>9299163</v>
      </c>
      <c r="D16" s="71" t="n">
        <f aca="false">RC!D93</f>
        <v>10030506</v>
      </c>
      <c r="E16" s="71" t="n">
        <f aca="false">RC!E93</f>
        <v>9645692</v>
      </c>
      <c r="F16" s="71" t="n">
        <f aca="false">RC!F93</f>
        <v>10068493</v>
      </c>
      <c r="G16" s="71" t="n">
        <f aca="false">RC!G93</f>
        <v>9085807</v>
      </c>
      <c r="H16" s="71" t="n">
        <f aca="false">RC!H93</f>
        <v>6757927</v>
      </c>
      <c r="I16" s="71" t="n">
        <f aca="false">RC!I93</f>
        <v>7213183</v>
      </c>
      <c r="J16" s="71" t="n">
        <f aca="false">RC!J93</f>
        <v>7500753</v>
      </c>
      <c r="K16" s="71" t="n">
        <f aca="false">RC!K93</f>
        <v>8209866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161742</v>
      </c>
      <c r="C18" s="71" t="n">
        <f aca="false">AVERAGE(RC!C94,RC!D94)</f>
        <v>164242</v>
      </c>
      <c r="D18" s="71" t="n">
        <f aca="false">AVERAGE(RC!D94,RC!E94)</f>
        <v>167102</v>
      </c>
      <c r="E18" s="71" t="n">
        <f aca="false">AVERAGE(RC!E94,RC!F94)</f>
        <v>167462</v>
      </c>
      <c r="F18" s="71" t="n">
        <f aca="false">AVERAGE(RC!F94,RC!G94)</f>
        <v>167526.5</v>
      </c>
      <c r="G18" s="71" t="n">
        <f aca="false">AVERAGE(RC!G94,RC!H94)</f>
        <v>167591</v>
      </c>
      <c r="H18" s="71" t="n">
        <f aca="false">AVERAGE(RC!H94,RC!I94)</f>
        <v>167591</v>
      </c>
      <c r="I18" s="71" t="n">
        <f aca="false">AVERAGE(RC!I94,RC!J94)</f>
        <v>167591</v>
      </c>
      <c r="J18" s="71" t="n">
        <f aca="false">AVERAGE(RC!J94,RC!K94)</f>
        <v>208139</v>
      </c>
      <c r="K18" s="71" t="n">
        <f aca="false">AVERAGE(RC!K94,RC!L94)</f>
        <v>248687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161742</v>
      </c>
      <c r="C19" s="71" t="n">
        <f aca="false">AVERAGE(RC!C27,RC!D27)</f>
        <v>164242</v>
      </c>
      <c r="D19" s="71" t="n">
        <f aca="false">AVERAGE(RC!D27,RC!E27)</f>
        <v>167102</v>
      </c>
      <c r="E19" s="71" t="n">
        <f aca="false">AVERAGE(RC!E27,RC!F27)</f>
        <v>167462</v>
      </c>
      <c r="F19" s="71" t="n">
        <f aca="false">AVERAGE(RC!F27,RC!G27)</f>
        <v>167526.5</v>
      </c>
      <c r="G19" s="71" t="n">
        <f aca="false">AVERAGE(RC!G27,RC!H27)</f>
        <v>167591</v>
      </c>
      <c r="H19" s="71" t="n">
        <f aca="false">AVERAGE(RC!H27,RC!I27)</f>
        <v>167591</v>
      </c>
      <c r="I19" s="71" t="n">
        <f aca="false">AVERAGE(RC!I27,RC!J27)</f>
        <v>167591</v>
      </c>
      <c r="J19" s="71" t="n">
        <f aca="false">AVERAGE(RC!J27,RC!K27)</f>
        <v>208139</v>
      </c>
      <c r="K19" s="71" t="n">
        <f aca="false">AVERAGE(RC!K27,RC!L27)</f>
        <v>248687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161742</v>
      </c>
      <c r="C20" s="71" t="n">
        <f aca="false">RC!C27</f>
        <v>161742</v>
      </c>
      <c r="D20" s="71" t="n">
        <f aca="false">RC!D27</f>
        <v>166742</v>
      </c>
      <c r="E20" s="71" t="n">
        <f aca="false">RC!E27</f>
        <v>167462</v>
      </c>
      <c r="F20" s="71" t="n">
        <f aca="false">RC!F27</f>
        <v>167462</v>
      </c>
      <c r="G20" s="71" t="n">
        <f aca="false">RC!G27</f>
        <v>167591</v>
      </c>
      <c r="H20" s="71" t="n">
        <f aca="false">RC!H27</f>
        <v>167591</v>
      </c>
      <c r="I20" s="71" t="n">
        <f aca="false">RC!I27</f>
        <v>167591</v>
      </c>
      <c r="J20" s="71" t="n">
        <f aca="false">RC!J27</f>
        <v>167591</v>
      </c>
      <c r="K20" s="71" t="n">
        <f aca="false">RC!K27</f>
        <v>248687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-720</v>
      </c>
      <c r="E23" s="71" t="n">
        <f aca="false">RC!E145</f>
        <v>0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-8406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3097038</v>
      </c>
      <c r="C24" s="71" t="n">
        <f aca="false">C30-C31</f>
        <v>4201468.5</v>
      </c>
      <c r="D24" s="71" t="n">
        <f aca="false">D30-D31</f>
        <v>4471172.5</v>
      </c>
      <c r="E24" s="71" t="n">
        <f aca="false">E30-E31</f>
        <v>4414726.5</v>
      </c>
      <c r="F24" s="71" t="n">
        <f aca="false">F30-F31</f>
        <v>4094500</v>
      </c>
      <c r="G24" s="71" t="n">
        <f aca="false">G30-G31</f>
        <v>2747938</v>
      </c>
      <c r="H24" s="71" t="n">
        <f aca="false">H30-H31</f>
        <v>2334550.5</v>
      </c>
      <c r="I24" s="71" t="n">
        <f aca="false">I30-I31</f>
        <v>3195647.5</v>
      </c>
      <c r="J24" s="71" t="n">
        <f aca="false">J30-J31</f>
        <v>3921609</v>
      </c>
      <c r="K24" s="71" t="n">
        <f aca="false">K30-K31</f>
        <v>4328315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3097038</v>
      </c>
      <c r="C25" s="71" t="n">
        <f aca="false">IF(C24&gt;0, C24, 0)</f>
        <v>4201468.5</v>
      </c>
      <c r="D25" s="71" t="n">
        <f aca="false">IF(D24&gt;0, D24, 0)</f>
        <v>4471172.5</v>
      </c>
      <c r="E25" s="71" t="n">
        <f aca="false">IF(E24&gt;0, E24, 0)</f>
        <v>4414726.5</v>
      </c>
      <c r="F25" s="71" t="n">
        <f aca="false">IF(F24&gt;0, F24, 0)</f>
        <v>4094500</v>
      </c>
      <c r="G25" s="71" t="n">
        <f aca="false">IF(G24&gt;0, G24, 0)</f>
        <v>2747938</v>
      </c>
      <c r="H25" s="71" t="n">
        <f aca="false">IF(H24&gt;0, H24, 0)</f>
        <v>2334550.5</v>
      </c>
      <c r="I25" s="71" t="n">
        <f aca="false">IF(I24&gt;0, I24, 0)</f>
        <v>3195647.5</v>
      </c>
      <c r="J25" s="71" t="n">
        <f aca="false">IF(J24&gt;0, J24, 0)</f>
        <v>3921609</v>
      </c>
      <c r="K25" s="71" t="n">
        <f aca="false">IF(K24&gt;0, K24, 0)</f>
        <v>4328315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0</v>
      </c>
      <c r="G26" s="71" t="n">
        <f aca="false">IF(G24&lt;0, G24, 0)</f>
        <v>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-153139</v>
      </c>
      <c r="C27" s="71" t="n">
        <f aca="false">RC!C138</f>
        <v>-152576</v>
      </c>
      <c r="D27" s="71" t="n">
        <f aca="false">RC!D138</f>
        <v>-100916</v>
      </c>
      <c r="E27" s="71" t="n">
        <f aca="false">RC!E138</f>
        <v>-71120</v>
      </c>
      <c r="F27" s="71" t="n">
        <f aca="false">RC!F138</f>
        <v>-71239</v>
      </c>
      <c r="G27" s="71" t="n">
        <f aca="false">RC!G138</f>
        <v>-52555</v>
      </c>
      <c r="H27" s="71" t="n">
        <f aca="false">RC!H138</f>
        <v>-44139</v>
      </c>
      <c r="I27" s="71" t="n">
        <f aca="false">RC!I138</f>
        <v>-79988</v>
      </c>
      <c r="J27" s="71" t="n">
        <f aca="false">RC!J138</f>
        <v>-110173</v>
      </c>
      <c r="K27" s="71" t="n">
        <f aca="false">RC!K138</f>
        <v>-277863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30062</v>
      </c>
      <c r="C28" s="71" t="n">
        <f aca="false">RC!C137</f>
        <v>14629</v>
      </c>
      <c r="D28" s="71" t="n">
        <f aca="false">RC!D137</f>
        <v>57215</v>
      </c>
      <c r="E28" s="71" t="n">
        <f aca="false">RC!E137</f>
        <v>51377</v>
      </c>
      <c r="F28" s="71" t="n">
        <f aca="false">RC!F137</f>
        <v>66053</v>
      </c>
      <c r="G28" s="71" t="n">
        <f aca="false">RC!G137</f>
        <v>64222</v>
      </c>
      <c r="H28" s="71" t="n">
        <f aca="false">RC!H137</f>
        <v>47141</v>
      </c>
      <c r="I28" s="71" t="n">
        <f aca="false">RC!I137</f>
        <v>42032</v>
      </c>
      <c r="J28" s="71" t="n">
        <f aca="false">RC!J137</f>
        <v>33770</v>
      </c>
      <c r="K28" s="71" t="n">
        <f aca="false">RC!K137</f>
        <v>30925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-16414</v>
      </c>
      <c r="C29" s="71" t="n">
        <f aca="false">RC!C149</f>
        <v>-12775</v>
      </c>
      <c r="D29" s="71" t="n">
        <f aca="false">RC!D149</f>
        <v>-15313</v>
      </c>
      <c r="E29" s="71" t="n">
        <f aca="false">RC!E149</f>
        <v>-1669</v>
      </c>
      <c r="F29" s="71" t="n">
        <f aca="false">RC!F149</f>
        <v>0</v>
      </c>
      <c r="G29" s="71" t="n">
        <f aca="false">RC!G149</f>
        <v>-126786</v>
      </c>
      <c r="H29" s="71" t="n">
        <f aca="false">RC!H149</f>
        <v>-194286</v>
      </c>
      <c r="I29" s="71" t="n">
        <f aca="false">RC!I149</f>
        <v>-168237</v>
      </c>
      <c r="J29" s="71" t="n">
        <f aca="false">RC!J149</f>
        <v>-257796</v>
      </c>
      <c r="K29" s="71" t="n">
        <f aca="false">RC!K149</f>
        <v>-144172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4349602</v>
      </c>
      <c r="C30" s="71" t="n">
        <f aca="false">AVERAGE(RC!C73,RC!D73)</f>
        <v>5356405</v>
      </c>
      <c r="D30" s="71" t="n">
        <f aca="false">AVERAGE(RC!D73,RC!E73)</f>
        <v>5951714</v>
      </c>
      <c r="E30" s="71" t="n">
        <f aca="false">AVERAGE(RC!E73,RC!F73)</f>
        <v>5767384</v>
      </c>
      <c r="F30" s="71" t="n">
        <f aca="false">AVERAGE(RC!F73,RC!G73)</f>
        <v>4761548.5</v>
      </c>
      <c r="G30" s="71" t="n">
        <f aca="false">AVERAGE(RC!G73,RC!H73)</f>
        <v>3511846</v>
      </c>
      <c r="H30" s="71" t="n">
        <f aca="false">AVERAGE(RC!H73,RC!I73)</f>
        <v>3022243.5</v>
      </c>
      <c r="I30" s="71" t="n">
        <f aca="false">AVERAGE(RC!I73,RC!J73)</f>
        <v>3389406</v>
      </c>
      <c r="J30" s="71" t="n">
        <f aca="false">AVERAGE(RC!J73,RC!K73)</f>
        <v>4029761.5</v>
      </c>
      <c r="K30" s="71" t="n">
        <f aca="false">AVERAGE(RC!K73,RC!L73)</f>
        <v>4378771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1252564</v>
      </c>
      <c r="C31" s="71" t="n">
        <f aca="false">AVERAGE(RC!C33,RC!D33)</f>
        <v>1154936.5</v>
      </c>
      <c r="D31" s="71" t="n">
        <f aca="false">AVERAGE(RC!D33,RC!E33)</f>
        <v>1480541.5</v>
      </c>
      <c r="E31" s="71" t="n">
        <f aca="false">AVERAGE(RC!E33,RC!F33)</f>
        <v>1352657.5</v>
      </c>
      <c r="F31" s="71" t="n">
        <f aca="false">AVERAGE(RC!F33,RC!G33)</f>
        <v>667048.5</v>
      </c>
      <c r="G31" s="71" t="n">
        <f aca="false">AVERAGE(RC!G33,RC!H33)</f>
        <v>763908</v>
      </c>
      <c r="H31" s="71" t="n">
        <f aca="false">AVERAGE(RC!H33,RC!I33)</f>
        <v>687693</v>
      </c>
      <c r="I31" s="71" t="n">
        <f aca="false">AVERAGE(RC!I33,RC!J33)</f>
        <v>193758.5</v>
      </c>
      <c r="J31" s="71" t="n">
        <f aca="false">AVERAGE(RC!J33,RC!K33)</f>
        <v>108152.5</v>
      </c>
      <c r="K31" s="71" t="n">
        <f aca="false">AVERAGE(RC!K33,RC!L33)</f>
        <v>50456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2086282</v>
      </c>
      <c r="C32" s="71" t="n">
        <f aca="false">AVERAGE(RC!C5:D5)</f>
        <v>2119000</v>
      </c>
      <c r="D32" s="71" t="n">
        <f aca="false">AVERAGE(RC!D5:E5)</f>
        <v>2029969.5</v>
      </c>
      <c r="E32" s="71" t="n">
        <f aca="false">AVERAGE(RC!E5:F5)</f>
        <v>1813902.5</v>
      </c>
      <c r="F32" s="71" t="n">
        <f aca="false">AVERAGE(RC!F5:G5)</f>
        <v>1730670</v>
      </c>
      <c r="G32" s="71" t="n">
        <f aca="false">AVERAGE(RC!G5:H5)</f>
        <v>1956868</v>
      </c>
      <c r="H32" s="71" t="n">
        <f aca="false">AVERAGE(RC!H5:I5)</f>
        <v>1969997</v>
      </c>
      <c r="I32" s="71" t="n">
        <f aca="false">AVERAGE(RC!I5:J5)</f>
        <v>2001634</v>
      </c>
      <c r="J32" s="71" t="n">
        <f aca="false">AVERAGE(RC!J5:K5)</f>
        <v>1863659</v>
      </c>
      <c r="K32" s="71" t="n">
        <f aca="false">AVERAGE(RC!K5:L5)</f>
        <v>1691488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3083637</v>
      </c>
      <c r="C33" s="71" t="n">
        <f aca="false">AVERAGE(RC!C48,RC!D48)</f>
        <v>2742393</v>
      </c>
      <c r="D33" s="71" t="n">
        <f aca="false">AVERAGE(RC!D48,RC!E48)</f>
        <v>3203298.5</v>
      </c>
      <c r="E33" s="71" t="n">
        <f aca="false">AVERAGE(RC!E48,RC!F48)</f>
        <v>3008525</v>
      </c>
      <c r="F33" s="71" t="n">
        <f aca="false">AVERAGE(RC!F48,RC!G48)</f>
        <v>2711408</v>
      </c>
      <c r="G33" s="71" t="n">
        <f aca="false">AVERAGE(RC!G48,RC!H48)</f>
        <v>2492526.5</v>
      </c>
      <c r="H33" s="71" t="n">
        <f aca="false">AVERAGE(RC!H48,RC!I48)</f>
        <v>1927951</v>
      </c>
      <c r="I33" s="71" t="n">
        <f aca="false">AVERAGE(RC!I48,RC!J48)</f>
        <v>1964598.5</v>
      </c>
      <c r="J33" s="71" t="n">
        <f aca="false">AVERAGE(RC!J48,RC!K48)</f>
        <v>1935644</v>
      </c>
      <c r="K33" s="71" t="n">
        <f aca="false">AVERAGE(RC!K48,RC!L48)</f>
        <v>1895868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3625211.5</v>
      </c>
      <c r="C34" s="71" t="n">
        <f aca="false">AVERAGE(RC!C6,RC!D6)</f>
        <v>3312038.5</v>
      </c>
      <c r="D34" s="71" t="n">
        <f aca="false">AVERAGE(RC!D6,RC!E6)</f>
        <v>3461092.5</v>
      </c>
      <c r="E34" s="71" t="n">
        <f aca="false">AVERAGE(RC!E6,RC!F6)</f>
        <v>3102185</v>
      </c>
      <c r="F34" s="71" t="n">
        <f aca="false">AVERAGE(RC!F6,RC!G6)</f>
        <v>2820107.5</v>
      </c>
      <c r="G34" s="71" t="n">
        <f aca="false">AVERAGE(RC!G6,RC!H6)</f>
        <v>2696127</v>
      </c>
      <c r="H34" s="71" t="n">
        <f aca="false">AVERAGE(RC!H6,RC!I6)</f>
        <v>2477990.5</v>
      </c>
      <c r="I34" s="71" t="n">
        <f aca="false">AVERAGE(RC!I6,RC!J6)</f>
        <v>2472176</v>
      </c>
      <c r="J34" s="71" t="n">
        <f aca="false">AVERAGE(RC!J6,RC!K6)</f>
        <v>2411101.5</v>
      </c>
      <c r="K34" s="71" t="n">
        <f aca="false">AVERAGE(RC!K6,RC!L6)</f>
        <v>2395489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4030465</v>
      </c>
      <c r="C35" s="71" t="n">
        <f aca="false">RC!C6</f>
        <v>3219958</v>
      </c>
      <c r="D35" s="71" t="n">
        <f aca="false">RC!D6</f>
        <v>3404119</v>
      </c>
      <c r="E35" s="71" t="n">
        <f aca="false">RC!E6</f>
        <v>3518066</v>
      </c>
      <c r="F35" s="71" t="n">
        <f aca="false">RC!F6</f>
        <v>2686304</v>
      </c>
      <c r="G35" s="71" t="n">
        <f aca="false">RC!G6</f>
        <v>2953911</v>
      </c>
      <c r="H35" s="71" t="n">
        <f aca="false">RC!H6</f>
        <v>2438343</v>
      </c>
      <c r="I35" s="71" t="n">
        <f aca="false">RC!I6</f>
        <v>2517638</v>
      </c>
      <c r="J35" s="71" t="n">
        <f aca="false">RC!J6</f>
        <v>2426714</v>
      </c>
      <c r="K35" s="71" t="n">
        <f aca="false">RC!K6</f>
        <v>2395489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6256429.5</v>
      </c>
      <c r="C36" s="71" t="n">
        <f aca="false">AVERAGE(RC!C8:D8)+AVERAGE(RC!C19:D19)+AVERAGE(RC!C30:D30)</f>
        <v>6093336</v>
      </c>
      <c r="D36" s="71" t="n">
        <f aca="false">AVERAGE(RC!D8:E8)+AVERAGE(RC!D19:E19)+AVERAGE(RC!D30:E30)</f>
        <v>6352556</v>
      </c>
      <c r="E36" s="71" t="n">
        <f aca="false">AVERAGE(RC!E8:F8)+AVERAGE(RC!E19:F19)+AVERAGE(RC!E30:F30)</f>
        <v>5902181.5</v>
      </c>
      <c r="F36" s="71" t="n">
        <f aca="false">AVERAGE(RC!F8:G8)+AVERAGE(RC!F19:G19)+AVERAGE(RC!F30:G30)</f>
        <v>5443188</v>
      </c>
      <c r="G36" s="71" t="n">
        <f aca="false">AVERAGE(RC!G8:H8)+AVERAGE(RC!G19:H19)+AVERAGE(RC!G30:H30)</f>
        <v>5109468.5</v>
      </c>
      <c r="H36" s="71" t="n">
        <f aca="false">AVERAGE(RC!H8:I8)+AVERAGE(RC!H19:I19)+AVERAGE(RC!H30:I30)</f>
        <v>4569352.5</v>
      </c>
      <c r="I36" s="71" t="n">
        <f aca="false">AVERAGE(RC!I8:J8)+AVERAGE(RC!I19:J19)+AVERAGE(RC!I30:J30)</f>
        <v>4601130.5</v>
      </c>
      <c r="J36" s="71" t="n">
        <f aca="false">AVERAGE(RC!J8:K8)+AVERAGE(RC!J19:K19)+AVERAGE(RC!J30:K30)</f>
        <v>4441869.5</v>
      </c>
      <c r="K36" s="71" t="n">
        <f aca="false">AVERAGE(RC!K8:L8)+AVERAGE(RC!K19:L19)+AVERAGE(RC!K30:L30)</f>
        <v>4303296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6411262</v>
      </c>
      <c r="C37" s="71" t="n">
        <f aca="false">RC!C8+RC!C19+RC!C30</f>
        <v>6101597</v>
      </c>
      <c r="D37" s="71" t="n">
        <f aca="false">RC!D8+RC!D19+RC!D30</f>
        <v>6085075</v>
      </c>
      <c r="E37" s="71" t="n">
        <f aca="false">RC!E8+RC!E19+RC!E30</f>
        <v>6620037</v>
      </c>
      <c r="F37" s="71" t="n">
        <f aca="false">RC!F8+RC!F19+RC!F30</f>
        <v>5184326</v>
      </c>
      <c r="G37" s="71" t="n">
        <f aca="false">RC!G8+RC!G19+RC!G30</f>
        <v>5702050</v>
      </c>
      <c r="H37" s="71" t="n">
        <f aca="false">RC!H8+RC!H19+RC!H30</f>
        <v>4516887</v>
      </c>
      <c r="I37" s="71" t="n">
        <f aca="false">RC!I8+RC!I19+RC!I30</f>
        <v>4621818</v>
      </c>
      <c r="J37" s="71" t="n">
        <f aca="false">RC!J8+RC!J19+RC!J30</f>
        <v>4580443</v>
      </c>
      <c r="K37" s="71" t="n">
        <f aca="false">RC!K8+RC!K19+RC!K30</f>
        <v>4303296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5577441</v>
      </c>
      <c r="C38" s="71" t="n">
        <f aca="false">AVERAGE(RC!C51:D51)+AVERAGE(RC!C59:D59)+AVERAGE(RC!C70:D70)</f>
        <v>5436034.5</v>
      </c>
      <c r="D38" s="71" t="n">
        <f aca="false">AVERAGE(RC!D51:E51)+AVERAGE(RC!D59:E59)+AVERAGE(RC!D70:E70)</f>
        <v>5804735</v>
      </c>
      <c r="E38" s="71" t="n">
        <f aca="false">AVERAGE(RC!E51:F51)+AVERAGE(RC!E59:F59)+AVERAGE(RC!E70:F70)</f>
        <v>5383726.5</v>
      </c>
      <c r="F38" s="71" t="n">
        <f aca="false">AVERAGE(RC!F51:G51)+AVERAGE(RC!F59:G59)+AVERAGE(RC!F70:G70)</f>
        <v>5164774.5</v>
      </c>
      <c r="G38" s="71" t="n">
        <f aca="false">AVERAGE(RC!G51:H51)+AVERAGE(RC!G59:H59)+AVERAGE(RC!G70:H70)</f>
        <v>4738377.5</v>
      </c>
      <c r="H38" s="71" t="n">
        <f aca="false">AVERAGE(RC!H51:I51)+AVERAGE(RC!H59:I59)+AVERAGE(RC!H70:I70)</f>
        <v>3618798.5</v>
      </c>
      <c r="I38" s="71" t="n">
        <f aca="false">AVERAGE(RC!I51:J51)+AVERAGE(RC!I59:J59)+AVERAGE(RC!I70:J70)</f>
        <v>3534078</v>
      </c>
      <c r="J38" s="71" t="n">
        <f aca="false">AVERAGE(RC!J51:K51)+AVERAGE(RC!J59:K59)+AVERAGE(RC!J70:K70)</f>
        <v>3718097</v>
      </c>
      <c r="K38" s="71" t="n">
        <f aca="false">AVERAGE(RC!K51:L51)+AVERAGE(RC!K59:L59)+AVERAGE(RC!K70:L70)</f>
        <v>3780981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5802278</v>
      </c>
      <c r="C39" s="71" t="n">
        <f aca="false">RC!C51+RC!C59+RC!C70</f>
        <v>5352604</v>
      </c>
      <c r="D39" s="71" t="n">
        <f aca="false">RC!D51+RC!D59+RC!D70</f>
        <v>5519465</v>
      </c>
      <c r="E39" s="71" t="n">
        <f aca="false">RC!E51+RC!E59+RC!E70</f>
        <v>6090005</v>
      </c>
      <c r="F39" s="71" t="n">
        <f aca="false">RC!F51+RC!F59+RC!F70</f>
        <v>4677448</v>
      </c>
      <c r="G39" s="71" t="n">
        <f aca="false">RC!G51+RC!G59+RC!G70</f>
        <v>5652101</v>
      </c>
      <c r="H39" s="71" t="n">
        <f aca="false">RC!H51+RC!H59+RC!H70</f>
        <v>3824654</v>
      </c>
      <c r="I39" s="71" t="n">
        <f aca="false">RC!I51+RC!I59+RC!I70</f>
        <v>3412943</v>
      </c>
      <c r="J39" s="71" t="n">
        <f aca="false">RC!J51+RC!J59+RC!J70</f>
        <v>3655213</v>
      </c>
      <c r="K39" s="71" t="n">
        <f aca="false">RC!K51+RC!K59+RC!K70</f>
        <v>3780981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3003652.5</v>
      </c>
      <c r="C42" s="71" t="n">
        <f aca="false">AVERAGE(RC!C69,RC!D69)</f>
        <v>3881559.5</v>
      </c>
      <c r="D42" s="71" t="n">
        <f aca="false">AVERAGE(RC!D69,RC!E69)</f>
        <v>4549586.5</v>
      </c>
      <c r="E42" s="71" t="n">
        <f aca="false">AVERAGE(RC!E69,RC!F69)</f>
        <v>4495321</v>
      </c>
      <c r="F42" s="71" t="n">
        <f aca="false">AVERAGE(RC!F69,RC!G69)</f>
        <v>3277276.5</v>
      </c>
      <c r="G42" s="71" t="n">
        <f aca="false">AVERAGE(RC!G69,RC!H69)</f>
        <v>2137737.5</v>
      </c>
      <c r="H42" s="71" t="n">
        <f aca="false">AVERAGE(RC!H69,RC!I69)</f>
        <v>2188104.5</v>
      </c>
      <c r="I42" s="71" t="n">
        <f aca="false">AVERAGE(RC!I69,RC!J69)</f>
        <v>2702599.5</v>
      </c>
      <c r="J42" s="71" t="n">
        <f aca="false">AVERAGE(RC!J69,RC!K69)</f>
        <v>3262993.5</v>
      </c>
      <c r="K42" s="71" t="n">
        <f aca="false">AVERAGE(RC!K69,RC!L69)</f>
        <v>3567216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2561576</v>
      </c>
      <c r="C43" s="71" t="n">
        <f aca="false">RC!C69</f>
        <v>3445729</v>
      </c>
      <c r="D43" s="71" t="n">
        <f aca="false">RC!D69</f>
        <v>4317390</v>
      </c>
      <c r="E43" s="71" t="n">
        <f aca="false">RC!E69</f>
        <v>4781783</v>
      </c>
      <c r="F43" s="71" t="n">
        <f aca="false">RC!F69</f>
        <v>4208859</v>
      </c>
      <c r="G43" s="71" t="n">
        <f aca="false">RC!G69</f>
        <v>2345694</v>
      </c>
      <c r="H43" s="71" t="n">
        <f aca="false">RC!H69</f>
        <v>1929781</v>
      </c>
      <c r="I43" s="71" t="n">
        <f aca="false">RC!I69</f>
        <v>2446428</v>
      </c>
      <c r="J43" s="71" t="n">
        <f aca="false">RC!J69</f>
        <v>2958771</v>
      </c>
      <c r="K43" s="71" t="n">
        <f aca="false">RC!K69</f>
        <v>3567216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7261587.5</v>
      </c>
      <c r="C44" s="71" t="n">
        <f aca="false">((RC!C12+RC!C15)+RC!D12+RC!D15)/2</f>
        <v>8203417.5</v>
      </c>
      <c r="D44" s="71" t="n">
        <f aca="false">((RC!D12+RC!D15)+RC!E12+RC!E15)/2</f>
        <v>8780522</v>
      </c>
      <c r="E44" s="71" t="n">
        <f aca="false">((RC!E12+RC!E15)+RC!F12+RC!F15)/2</f>
        <v>9097175</v>
      </c>
      <c r="F44" s="71" t="n">
        <f aca="false">((RC!F12+RC!F15)+RC!G12+RC!G15)/2</f>
        <v>8762989.5</v>
      </c>
      <c r="G44" s="71" t="n">
        <f aca="false">((RC!G12+RC!G15)+RC!H12+RC!H15)/2</f>
        <v>7042285.5</v>
      </c>
      <c r="H44" s="71" t="n">
        <f aca="false">((RC!H12+RC!H15)+RC!I12+RC!I15)/2</f>
        <v>5994549.5</v>
      </c>
      <c r="I44" s="71" t="n">
        <f aca="false">((RC!I12+RC!I15)+RC!J12+RC!J15)/2</f>
        <v>6317442</v>
      </c>
      <c r="J44" s="71" t="n">
        <f aca="false">((RC!J12+RC!J15)+RC!K12+RC!K15)/2</f>
        <v>6746508</v>
      </c>
      <c r="K44" s="71" t="n">
        <f aca="false">((RC!K12+RC!K15)+RC!L12+RC!L15)/2</f>
        <v>3484962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6800299</v>
      </c>
      <c r="C45" s="71" t="n">
        <f aca="false">RC!C12</f>
        <v>7719976</v>
      </c>
      <c r="D45" s="71" t="n">
        <f aca="false">RC!D12</f>
        <v>8683959</v>
      </c>
      <c r="E45" s="71" t="n">
        <f aca="false">RC!E12</f>
        <v>8874185</v>
      </c>
      <c r="F45" s="71" t="n">
        <f aca="false">RC!F12</f>
        <v>9317415</v>
      </c>
      <c r="G45" s="71" t="n">
        <f aca="false">RC!G12</f>
        <v>8205964</v>
      </c>
      <c r="H45" s="71" t="n">
        <f aca="false">RC!H12</f>
        <v>5877307</v>
      </c>
      <c r="I45" s="71" t="n">
        <f aca="false">RC!I12</f>
        <v>6111792</v>
      </c>
      <c r="J45" s="71" t="n">
        <f aca="false">RC!J12</f>
        <v>6523092</v>
      </c>
      <c r="K45" s="71" t="n">
        <f aca="false">RC!K12</f>
        <v>6969924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5731194</v>
      </c>
      <c r="C46" s="71" t="n">
        <f aca="false">AVERAGE(RC!C84,RC!D84)</f>
        <v>5627608</v>
      </c>
      <c r="D46" s="71" t="n">
        <f aca="false">AVERAGE(RC!D84,RC!E84)</f>
        <v>5534028.5</v>
      </c>
      <c r="E46" s="71" t="n">
        <f aca="false">AVERAGE(RC!E84,RC!F84)</f>
        <v>5609828</v>
      </c>
      <c r="F46" s="71" t="n">
        <f aca="false">AVERAGE(RC!F84,RC!G84)</f>
        <v>5650176.5</v>
      </c>
      <c r="G46" s="71" t="n">
        <f aca="false">AVERAGE(RC!G84,RC!H84)</f>
        <v>5341520</v>
      </c>
      <c r="H46" s="71" t="n">
        <f aca="false">AVERAGE(RC!H84,RC!I84)</f>
        <v>4818595.5</v>
      </c>
      <c r="I46" s="71" t="n">
        <f aca="false">AVERAGE(RC!I84,RC!J84)</f>
        <v>4328911.5</v>
      </c>
      <c r="J46" s="71" t="n">
        <f aca="false">AVERAGE(RC!J84,RC!K84)</f>
        <v>3886370.5</v>
      </c>
      <c r="K46" s="71" t="n">
        <f aca="false">AVERAGE(RC!K84,RC!L84)</f>
        <v>3619300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5656693</v>
      </c>
      <c r="C47" s="71" t="n">
        <f aca="false">RC!D84</f>
        <v>5598523</v>
      </c>
      <c r="D47" s="71" t="n">
        <f aca="false">RC!E84</f>
        <v>5469534</v>
      </c>
      <c r="E47" s="71" t="n">
        <f aca="false">RC!F84</f>
        <v>5750122</v>
      </c>
      <c r="F47" s="71" t="n">
        <f aca="false">RC!G84</f>
        <v>5550231</v>
      </c>
      <c r="G47" s="71" t="n">
        <f aca="false">RC!H84</f>
        <v>5132809</v>
      </c>
      <c r="H47" s="71" t="n">
        <f aca="false">RC!I84</f>
        <v>4504382</v>
      </c>
      <c r="I47" s="71" t="n">
        <f aca="false">RC!J84</f>
        <v>4153441</v>
      </c>
      <c r="J47" s="71" t="n">
        <f aca="false">RC!K84</f>
        <v>3619300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5805695</v>
      </c>
      <c r="C48" s="71" t="n">
        <f aca="false">RC!C84</f>
        <v>5656693</v>
      </c>
      <c r="D48" s="71" t="n">
        <f aca="false">RC!D84</f>
        <v>5598523</v>
      </c>
      <c r="E48" s="71" t="n">
        <f aca="false">RC!E84</f>
        <v>5469534</v>
      </c>
      <c r="F48" s="71" t="n">
        <f aca="false">RC!F84</f>
        <v>5750122</v>
      </c>
      <c r="G48" s="71" t="n">
        <f aca="false">RC!G84</f>
        <v>5550231</v>
      </c>
      <c r="H48" s="71" t="n">
        <f aca="false">RC!H84</f>
        <v>5132809</v>
      </c>
      <c r="I48" s="71" t="n">
        <f aca="false">RC!I84</f>
        <v>4504382</v>
      </c>
      <c r="J48" s="71" t="n">
        <f aca="false">RC!J84</f>
        <v>4153441</v>
      </c>
      <c r="K48" s="71" t="n">
        <f aca="false">RC!K84</f>
        <v>3619300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-3</v>
      </c>
      <c r="C49" s="71" t="n">
        <f aca="false">RC!D82+RC!D79-RC!C79</f>
        <v>1</v>
      </c>
      <c r="D49" s="71" t="n">
        <f aca="false">RC!E82+RC!E79-RC!D79</f>
        <v>-2</v>
      </c>
      <c r="E49" s="71" t="n">
        <f aca="false">RC!F82+RC!F79-RC!E79</f>
        <v>-1</v>
      </c>
      <c r="F49" s="71" t="n">
        <f aca="false">RC!G82+RC!G79-RC!F79</f>
        <v>3</v>
      </c>
      <c r="G49" s="71" t="n">
        <f aca="false">RC!H82+RC!H79-RC!G79</f>
        <v>-1</v>
      </c>
      <c r="H49" s="71" t="n">
        <f aca="false">RC!I82+RC!I79-RC!H79</f>
        <v>0</v>
      </c>
      <c r="I49" s="71" t="n">
        <f aca="false">RC!J82+RC!J79-RC!I79</f>
        <v>0</v>
      </c>
      <c r="J49" s="71" t="n">
        <f aca="false">RC!K82+RC!K79-RC!J79</f>
        <v>0</v>
      </c>
      <c r="K49" s="71" t="n">
        <f aca="false">RC!L82+RC!L79-RC!K79</f>
        <v>-938963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0</v>
      </c>
      <c r="C50" s="71" t="n">
        <f aca="false">RC!C76-RC!D76</f>
        <v>0</v>
      </c>
      <c r="D50" s="71" t="n">
        <f aca="false">RC!D76-RC!E76</f>
        <v>0</v>
      </c>
      <c r="E50" s="71" t="n">
        <f aca="false">RC!E76-RC!F76</f>
        <v>0</v>
      </c>
      <c r="F50" s="71" t="n">
        <f aca="false">RC!F76-RC!G76</f>
        <v>0</v>
      </c>
      <c r="G50" s="71" t="n">
        <f aca="false">RC!G76-RC!H76</f>
        <v>0</v>
      </c>
      <c r="H50" s="71" t="n">
        <f aca="false">RC!H76-RC!I76</f>
        <v>0</v>
      </c>
      <c r="I50" s="71" t="n">
        <f aca="false">RC!I76-RC!J76</f>
        <v>0</v>
      </c>
      <c r="J50" s="71" t="n">
        <f aca="false">RC!J76-RC!K76</f>
        <v>0</v>
      </c>
      <c r="K50" s="71" t="n">
        <f aca="false">RC!K76-RC!L76</f>
        <v>0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58174</v>
      </c>
      <c r="C51" s="71" t="n">
        <f aca="false">RF!D43-RF!E43</f>
        <v>128986</v>
      </c>
      <c r="D51" s="71" t="n">
        <f aca="false">RF!E43-RF!F43</f>
        <v>-280587</v>
      </c>
      <c r="E51" s="71" t="n">
        <f aca="false">RF!F43-RF!G43</f>
        <v>-768438</v>
      </c>
      <c r="F51" s="71" t="n">
        <f aca="false">RF!G43-RF!H43</f>
        <v>417418</v>
      </c>
      <c r="G51" s="71" t="n">
        <f aca="false">RF!H43-RF!I43</f>
        <v>628428</v>
      </c>
      <c r="H51" s="71" t="n">
        <f aca="false">RF!I43-RF!J43</f>
        <v>350941</v>
      </c>
      <c r="I51" s="71" t="n">
        <f aca="false">RF!J43-RF!K43</f>
        <v>534141</v>
      </c>
      <c r="J51" s="71" t="n">
        <f aca="false">RF!K43-RF!L43</f>
        <v>280175</v>
      </c>
      <c r="K51" s="71" t="n">
        <f aca="false">RF!L43-RF!M43</f>
        <v>938963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90828</v>
      </c>
      <c r="C52" s="71" t="n">
        <f aca="false">RC!C82-RC!D82</f>
        <v>-70816</v>
      </c>
      <c r="D52" s="71" t="n">
        <f aca="false">RC!D82-RC!E82</f>
        <v>409576</v>
      </c>
      <c r="E52" s="71" t="n">
        <f aca="false">RC!E82-RC!F82</f>
        <v>487850</v>
      </c>
      <c r="F52" s="71" t="n">
        <f aca="false">RC!F82-RC!G82</f>
        <v>-1185860</v>
      </c>
      <c r="G52" s="71" t="n">
        <f aca="false">RC!G82-RC!H82</f>
        <v>-211006</v>
      </c>
      <c r="H52" s="71" t="n">
        <f aca="false">RC!H82-RC!I82</f>
        <v>277486</v>
      </c>
      <c r="I52" s="71" t="n">
        <f aca="false">RC!I82-RC!J82</f>
        <v>-183200</v>
      </c>
      <c r="J52" s="71" t="n">
        <f aca="false">RC!J82-RC!K82</f>
        <v>253966</v>
      </c>
      <c r="K52" s="71" t="n">
        <f aca="false">RC!K82-RC!L82</f>
        <v>280175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149002</v>
      </c>
      <c r="C53" s="71" t="n">
        <f aca="false">RC!C77-RC!D77</f>
        <v>58170</v>
      </c>
      <c r="D53" s="71" t="n">
        <f aca="false">RC!D77-RC!E77</f>
        <v>128989</v>
      </c>
      <c r="E53" s="71" t="n">
        <f aca="false">RC!E77-RC!F77</f>
        <v>-280588</v>
      </c>
      <c r="F53" s="71" t="n">
        <f aca="false">RC!F77-RC!G77</f>
        <v>199891</v>
      </c>
      <c r="G53" s="71" t="n">
        <f aca="false">RC!G77-RC!H77</f>
        <v>417422</v>
      </c>
      <c r="H53" s="71" t="n">
        <f aca="false">RC!H77-RC!I77</f>
        <v>628427</v>
      </c>
      <c r="I53" s="71" t="n">
        <f aca="false">RC!I77-RC!J77</f>
        <v>350941</v>
      </c>
      <c r="J53" s="71" t="n">
        <f aca="false">RC!J77-RC!K77</f>
        <v>534141</v>
      </c>
      <c r="K53" s="71" t="n">
        <f aca="false">RC!K77-RC!L77</f>
        <v>3619300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288490</v>
      </c>
      <c r="C58" s="74" t="n">
        <f aca="false">C4</f>
        <v>208893</v>
      </c>
      <c r="D58" s="74" t="n">
        <f aca="false">D4</f>
        <v>188799</v>
      </c>
      <c r="E58" s="74" t="n">
        <f aca="false">E4</f>
        <v>-259260</v>
      </c>
      <c r="F58" s="74" t="n">
        <f aca="false">F4</f>
        <v>-763231</v>
      </c>
      <c r="G58" s="74" t="n">
        <f aca="false">G4</f>
        <v>532584</v>
      </c>
      <c r="H58" s="74" t="n">
        <f aca="false">H4</f>
        <v>819711</v>
      </c>
      <c r="I58" s="74" t="n">
        <f aca="false">I4</f>
        <v>557134</v>
      </c>
      <c r="J58" s="74" t="n">
        <f aca="false">J4</f>
        <v>868342</v>
      </c>
      <c r="K58" s="74" t="n">
        <f aca="false">K4</f>
        <v>679699</v>
      </c>
    </row>
    <row r="59" customFormat="false" ht="15.75" hidden="false" customHeight="true" outlineLevel="0" collapsed="false">
      <c r="A59" s="44" t="s">
        <v>508</v>
      </c>
      <c r="B59" s="74" t="n">
        <f aca="false">B7</f>
        <v>15865429</v>
      </c>
      <c r="C59" s="74" t="n">
        <f aca="false">C7</f>
        <v>15846263</v>
      </c>
      <c r="D59" s="74" t="n">
        <f aca="false">D7</f>
        <v>16436587</v>
      </c>
      <c r="E59" s="74" t="n">
        <f aca="false">E7</f>
        <v>14766494</v>
      </c>
      <c r="F59" s="74" t="n">
        <f aca="false">F7</f>
        <v>12805323</v>
      </c>
      <c r="G59" s="74" t="n">
        <f aca="false">G7</f>
        <v>12805865</v>
      </c>
      <c r="H59" s="74" t="n">
        <f aca="false">H7</f>
        <v>12148772</v>
      </c>
      <c r="I59" s="74" t="n">
        <f aca="false">I7</f>
        <v>11358490</v>
      </c>
      <c r="J59" s="74" t="n">
        <f aca="false">J7</f>
        <v>11193397</v>
      </c>
      <c r="K59" s="74" t="n">
        <f aca="false">K7</f>
        <v>10754612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0.018183561251322</v>
      </c>
      <c r="C60" s="75" t="n">
        <f aca="false">C58/C59</f>
        <v>0.0131824771556549</v>
      </c>
      <c r="D60" s="75" t="n">
        <f aca="false">D58/D59</f>
        <v>0.0114865087259295</v>
      </c>
      <c r="E60" s="75" t="n">
        <f aca="false">E58/E59</f>
        <v>-0.0175573159072154</v>
      </c>
      <c r="F60" s="75" t="n">
        <f aca="false">F58/F59</f>
        <v>-0.0596026355602276</v>
      </c>
      <c r="G60" s="75" t="n">
        <f aca="false">G58/G59</f>
        <v>0.0415890687587289</v>
      </c>
      <c r="H60" s="75" t="n">
        <f aca="false">H58/H59</f>
        <v>0.0674727453935262</v>
      </c>
      <c r="I60" s="75" t="n">
        <f aca="false">I58/I59</f>
        <v>0.0490500057666116</v>
      </c>
      <c r="J60" s="75" t="n">
        <f aca="false">J58/J59</f>
        <v>0.0775762710819602</v>
      </c>
      <c r="K60" s="75" t="n">
        <f aca="false">K58/K59</f>
        <v>0.0632006993836691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288490</v>
      </c>
      <c r="C62" s="74" t="n">
        <f aca="false">C4</f>
        <v>208893</v>
      </c>
      <c r="D62" s="74" t="n">
        <f aca="false">D4</f>
        <v>188799</v>
      </c>
      <c r="E62" s="74" t="n">
        <f aca="false">E4</f>
        <v>-259260</v>
      </c>
      <c r="F62" s="74" t="n">
        <f aca="false">F4</f>
        <v>-763231</v>
      </c>
      <c r="G62" s="74" t="n">
        <f aca="false">G4</f>
        <v>532584</v>
      </c>
      <c r="H62" s="74" t="n">
        <f aca="false">H4</f>
        <v>819711</v>
      </c>
      <c r="I62" s="74" t="n">
        <f aca="false">I4</f>
        <v>557134</v>
      </c>
      <c r="J62" s="74" t="n">
        <f aca="false">J4</f>
        <v>868342</v>
      </c>
      <c r="K62" s="74" t="n">
        <f aca="false">K4</f>
        <v>679699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8666490</v>
      </c>
      <c r="C63" s="74" t="n">
        <f aca="false">C14</f>
        <v>9664834.5</v>
      </c>
      <c r="D63" s="74" t="n">
        <f aca="false">D14</f>
        <v>9838099</v>
      </c>
      <c r="E63" s="74" t="n">
        <f aca="false">E14</f>
        <v>9857092.5</v>
      </c>
      <c r="F63" s="74" t="n">
        <f aca="false">F14</f>
        <v>9577150</v>
      </c>
      <c r="G63" s="74" t="n">
        <f aca="false">G14</f>
        <v>7921867</v>
      </c>
      <c r="H63" s="74" t="n">
        <f aca="false">H14</f>
        <v>6985555</v>
      </c>
      <c r="I63" s="74" t="n">
        <f aca="false">I14</f>
        <v>7356968</v>
      </c>
      <c r="J63" s="74" t="n">
        <f aca="false">J14</f>
        <v>7855309.5</v>
      </c>
      <c r="K63" s="74" t="n">
        <f aca="false">K14</f>
        <v>8209866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0.0332879862551044</v>
      </c>
      <c r="C64" s="75" t="n">
        <f aca="false">C62/C63</f>
        <v>0.0216137172343717</v>
      </c>
      <c r="D64" s="75" t="n">
        <f aca="false">D62/D63</f>
        <v>0.019190597695754</v>
      </c>
      <c r="E64" s="75" t="n">
        <f aca="false">E62/E63</f>
        <v>-0.0263018734987016</v>
      </c>
      <c r="F64" s="75" t="n">
        <f aca="false">F62/F63</f>
        <v>-0.0796929149068355</v>
      </c>
      <c r="G64" s="75" t="n">
        <f aca="false">G62/G63</f>
        <v>0.0672296063541587</v>
      </c>
      <c r="H64" s="75" t="n">
        <f aca="false">H62/H63</f>
        <v>0.117343718573542</v>
      </c>
      <c r="I64" s="75" t="n">
        <f aca="false">I62/I63</f>
        <v>0.0757287513008076</v>
      </c>
      <c r="J64" s="75" t="n">
        <f aca="false">J62/J63</f>
        <v>0.11054204802497</v>
      </c>
      <c r="K64" s="75" t="n">
        <f aca="false">K62/K63</f>
        <v>0.0827905108317237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153139</v>
      </c>
      <c r="C66" s="74" t="n">
        <f aca="false">-C27</f>
        <v>152576</v>
      </c>
      <c r="D66" s="74" t="n">
        <f aca="false">-D27</f>
        <v>100916</v>
      </c>
      <c r="E66" s="74" t="n">
        <f aca="false">-E27</f>
        <v>71120</v>
      </c>
      <c r="F66" s="74" t="n">
        <f aca="false">-F27</f>
        <v>71239</v>
      </c>
      <c r="G66" s="74" t="n">
        <f aca="false">-G27</f>
        <v>52555</v>
      </c>
      <c r="H66" s="74" t="n">
        <f aca="false">-H27</f>
        <v>44139</v>
      </c>
      <c r="I66" s="74" t="n">
        <f aca="false">-I27</f>
        <v>79988</v>
      </c>
      <c r="J66" s="74" t="n">
        <f aca="false">-J27</f>
        <v>110173</v>
      </c>
      <c r="K66" s="74" t="n">
        <f aca="false">-K27</f>
        <v>277863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4349602</v>
      </c>
      <c r="C67" s="74" t="n">
        <f aca="false">C30</f>
        <v>5356405</v>
      </c>
      <c r="D67" s="74" t="n">
        <f aca="false">D30</f>
        <v>5951714</v>
      </c>
      <c r="E67" s="74" t="n">
        <f aca="false">E30</f>
        <v>5767384</v>
      </c>
      <c r="F67" s="74" t="n">
        <f aca="false">F30</f>
        <v>4761548.5</v>
      </c>
      <c r="G67" s="74" t="n">
        <f aca="false">G30</f>
        <v>3511846</v>
      </c>
      <c r="H67" s="74" t="n">
        <f aca="false">H30</f>
        <v>3022243.5</v>
      </c>
      <c r="I67" s="74" t="n">
        <f aca="false">I30</f>
        <v>3389406</v>
      </c>
      <c r="J67" s="74" t="n">
        <f aca="false">J30</f>
        <v>4029761.5</v>
      </c>
      <c r="K67" s="74" t="n">
        <f aca="false">K30</f>
        <v>4378771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0.0352075891081529</v>
      </c>
      <c r="C68" s="75" t="n">
        <f aca="false">C66/C67</f>
        <v>0.0284847766365687</v>
      </c>
      <c r="D68" s="75" t="n">
        <f aca="false">D66/D67</f>
        <v>0.0169557878621184</v>
      </c>
      <c r="E68" s="75" t="n">
        <f aca="false">E66/E67</f>
        <v>0.0123314140345085</v>
      </c>
      <c r="F68" s="75" t="n">
        <f aca="false">F66/F67</f>
        <v>0.0149613093303576</v>
      </c>
      <c r="G68" s="75" t="n">
        <f aca="false">G66/G67</f>
        <v>0.0149650639578159</v>
      </c>
      <c r="H68" s="75" t="n">
        <f aca="false">H66/H67</f>
        <v>0.0146047133528453</v>
      </c>
      <c r="I68" s="75" t="n">
        <f aca="false">I66/I67</f>
        <v>0.0235994153547849</v>
      </c>
      <c r="J68" s="75" t="n">
        <f aca="false">J66/J67</f>
        <v>0.0273398314019328</v>
      </c>
      <c r="K68" s="75" t="n">
        <f aca="false">K66/K67</f>
        <v>0.063456846681409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30062</v>
      </c>
      <c r="C70" s="74" t="n">
        <f aca="false">C28</f>
        <v>14629</v>
      </c>
      <c r="D70" s="74" t="n">
        <f aca="false">D28</f>
        <v>57215</v>
      </c>
      <c r="E70" s="74" t="n">
        <f aca="false">E28</f>
        <v>51377</v>
      </c>
      <c r="F70" s="74" t="n">
        <f aca="false">F28</f>
        <v>66053</v>
      </c>
      <c r="G70" s="74" t="n">
        <f aca="false">G28</f>
        <v>64222</v>
      </c>
      <c r="H70" s="74" t="n">
        <f aca="false">H28</f>
        <v>47141</v>
      </c>
      <c r="I70" s="74" t="n">
        <f aca="false">I28</f>
        <v>42032</v>
      </c>
      <c r="J70" s="74" t="n">
        <f aca="false">J28</f>
        <v>33770</v>
      </c>
      <c r="K70" s="74" t="n">
        <f aca="false">K28</f>
        <v>30925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1252564</v>
      </c>
      <c r="C71" s="74" t="n">
        <f aca="false">C31</f>
        <v>1154936.5</v>
      </c>
      <c r="D71" s="74" t="n">
        <f aca="false">D31</f>
        <v>1480541.5</v>
      </c>
      <c r="E71" s="74" t="n">
        <f aca="false">E31</f>
        <v>1352657.5</v>
      </c>
      <c r="F71" s="74" t="n">
        <f aca="false">F31</f>
        <v>667048.5</v>
      </c>
      <c r="G71" s="74" t="n">
        <f aca="false">G31</f>
        <v>763908</v>
      </c>
      <c r="H71" s="74" t="n">
        <f aca="false">H31</f>
        <v>687693</v>
      </c>
      <c r="I71" s="74" t="n">
        <f aca="false">I31</f>
        <v>193758.5</v>
      </c>
      <c r="J71" s="74" t="n">
        <f aca="false">J31</f>
        <v>108152.5</v>
      </c>
      <c r="K71" s="74" t="n">
        <f aca="false">K31</f>
        <v>50456</v>
      </c>
    </row>
    <row r="72" s="57" customFormat="true" ht="15.75" hidden="false" customHeight="true" outlineLevel="0" collapsed="false">
      <c r="A72" s="57" t="s">
        <v>517</v>
      </c>
      <c r="B72" s="75" t="n">
        <f aca="false">B70/B71</f>
        <v>0.0240003704401532</v>
      </c>
      <c r="C72" s="75" t="n">
        <f aca="false">C70/C71</f>
        <v>0.012666497248983</v>
      </c>
      <c r="D72" s="75" t="n">
        <f aca="false">D70/D71</f>
        <v>0.0386446445439051</v>
      </c>
      <c r="E72" s="75" t="n">
        <f aca="false">E70/E71</f>
        <v>0.0379822682386339</v>
      </c>
      <c r="F72" s="75" t="n">
        <f aca="false">F70/F71</f>
        <v>0.099022784700063</v>
      </c>
      <c r="G72" s="75" t="n">
        <f aca="false">G70/G71</f>
        <v>0.0840703330767579</v>
      </c>
      <c r="H72" s="75" t="n">
        <f aca="false">H70/H71</f>
        <v>0.0685494835631597</v>
      </c>
      <c r="I72" s="75" t="n">
        <f aca="false">I70/I71</f>
        <v>0.216929837916788</v>
      </c>
      <c r="J72" s="75" t="n">
        <f aca="false">J70/J71</f>
        <v>0.312244284690599</v>
      </c>
      <c r="K72" s="75" t="n">
        <f aca="false">K70/K71</f>
        <v>0.612910258443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161742</v>
      </c>
      <c r="C75" s="74" t="n">
        <f aca="false">C18</f>
        <v>164242</v>
      </c>
      <c r="D75" s="74" t="n">
        <f aca="false">D18</f>
        <v>167102</v>
      </c>
      <c r="E75" s="74" t="n">
        <f aca="false">E18</f>
        <v>167462</v>
      </c>
      <c r="F75" s="74" t="n">
        <f aca="false">F18</f>
        <v>167526.5</v>
      </c>
      <c r="G75" s="74" t="n">
        <f aca="false">G18</f>
        <v>167591</v>
      </c>
      <c r="H75" s="74" t="n">
        <f aca="false">H18</f>
        <v>167591</v>
      </c>
      <c r="I75" s="74" t="n">
        <f aca="false">I18</f>
        <v>167591</v>
      </c>
      <c r="J75" s="74" t="n">
        <f aca="false">J18</f>
        <v>208139</v>
      </c>
      <c r="K75" s="74" t="n">
        <f aca="false">K18</f>
        <v>248687</v>
      </c>
    </row>
    <row r="76" s="57" customFormat="true" ht="15.75" hidden="false" customHeight="true" outlineLevel="0" collapsed="false">
      <c r="A76" s="57" t="s">
        <v>520</v>
      </c>
      <c r="B76" s="75" t="n">
        <f aca="false">B74/B75</f>
        <v>0</v>
      </c>
      <c r="C76" s="75" t="n">
        <f aca="false">C74/C75</f>
        <v>0</v>
      </c>
      <c r="D76" s="75" t="n">
        <f aca="false">D74/D75</f>
        <v>0</v>
      </c>
      <c r="E76" s="75" t="n">
        <f aca="false">E74/E75</f>
        <v>0</v>
      </c>
      <c r="F76" s="75" t="n">
        <f aca="false">F74/F75</f>
        <v>0</v>
      </c>
      <c r="G76" s="75" t="n">
        <f aca="false">G74/G75</f>
        <v>0</v>
      </c>
      <c r="H76" s="75" t="n">
        <f aca="false">H74/H75</f>
        <v>0</v>
      </c>
      <c r="I76" s="75" t="n">
        <f aca="false">I74/I75</f>
        <v>0</v>
      </c>
      <c r="J76" s="75" t="n">
        <f aca="false">J74/J75</f>
        <v>0</v>
      </c>
      <c r="K76" s="75" t="n">
        <f aca="false">K74/K75</f>
        <v>0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148999</v>
      </c>
      <c r="C78" s="74" t="n">
        <f aca="false">C6</f>
        <v>58171</v>
      </c>
      <c r="D78" s="74" t="n">
        <f aca="false">D6</f>
        <v>128987</v>
      </c>
      <c r="E78" s="74" t="n">
        <f aca="false">E6</f>
        <v>-280589</v>
      </c>
      <c r="F78" s="74" t="n">
        <f aca="false">F6</f>
        <v>-768439</v>
      </c>
      <c r="G78" s="74" t="n">
        <f aca="false">G6</f>
        <v>417421</v>
      </c>
      <c r="H78" s="74" t="n">
        <f aca="false">H6</f>
        <v>628427</v>
      </c>
      <c r="I78" s="74" t="n">
        <f aca="false">I6</f>
        <v>350941</v>
      </c>
      <c r="J78" s="74" t="n">
        <f aca="false">J6</f>
        <v>534141</v>
      </c>
      <c r="K78" s="74" t="n">
        <f aca="false">K6</f>
        <v>280175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5731194</v>
      </c>
      <c r="C79" s="74" t="n">
        <f aca="false">C46</f>
        <v>5627608</v>
      </c>
      <c r="D79" s="74" t="n">
        <f aca="false">D46</f>
        <v>5534028.5</v>
      </c>
      <c r="E79" s="74" t="n">
        <f aca="false">E46</f>
        <v>5609828</v>
      </c>
      <c r="F79" s="74" t="n">
        <f aca="false">F46</f>
        <v>5650176.5</v>
      </c>
      <c r="G79" s="74" t="n">
        <f aca="false">G46</f>
        <v>5341520</v>
      </c>
      <c r="H79" s="74" t="n">
        <f aca="false">H46</f>
        <v>4818595.5</v>
      </c>
      <c r="I79" s="74" t="n">
        <f aca="false">I46</f>
        <v>4328911.5</v>
      </c>
      <c r="J79" s="74" t="n">
        <f aca="false">J46</f>
        <v>3886370.5</v>
      </c>
      <c r="K79" s="74" t="n">
        <f aca="false">K46</f>
        <v>3619300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0.0259978985181796</v>
      </c>
      <c r="C80" s="75" t="n">
        <f aca="false">C78/C79</f>
        <v>0.0103367185489821</v>
      </c>
      <c r="D80" s="75" t="n">
        <f aca="false">D78/D79</f>
        <v>0.0233079753745395</v>
      </c>
      <c r="E80" s="75" t="n">
        <f aca="false">E78/E79</f>
        <v>-0.0500173980378721</v>
      </c>
      <c r="F80" s="75" t="n">
        <f aca="false">F78/F79</f>
        <v>-0.136002654076382</v>
      </c>
      <c r="G80" s="75" t="n">
        <f aca="false">G78/G79</f>
        <v>0.0781464826491336</v>
      </c>
      <c r="H80" s="75" t="n">
        <f aca="false">H78/H79</f>
        <v>0.130417047872144</v>
      </c>
      <c r="I80" s="75" t="n">
        <f aca="false">I78/I79</f>
        <v>0.0810691094054475</v>
      </c>
      <c r="J80" s="75" t="n">
        <f aca="false">J78/J79</f>
        <v>0.137439546744192</v>
      </c>
      <c r="K80" s="75" t="n">
        <f aca="false">K78/K79</f>
        <v>0.0774113778907524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165413</v>
      </c>
      <c r="C82" s="74" t="n">
        <f aca="false">C3</f>
        <v>70946</v>
      </c>
      <c r="D82" s="74" t="n">
        <f aca="false">D3</f>
        <v>145020</v>
      </c>
      <c r="E82" s="74" t="n">
        <f aca="false">E3</f>
        <v>-278920</v>
      </c>
      <c r="F82" s="74" t="n">
        <f aca="false">F3</f>
        <v>-768439</v>
      </c>
      <c r="G82" s="74" t="n">
        <f aca="false">G3</f>
        <v>544207</v>
      </c>
      <c r="H82" s="74" t="n">
        <f aca="false">H3</f>
        <v>822713</v>
      </c>
      <c r="I82" s="74" t="n">
        <f aca="false">I3</f>
        <v>519178</v>
      </c>
      <c r="J82" s="74" t="n">
        <f aca="false">J3</f>
        <v>791937</v>
      </c>
      <c r="K82" s="74" t="n">
        <f aca="false">K3</f>
        <v>432753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5731194</v>
      </c>
      <c r="C83" s="74" t="n">
        <f aca="false">C46</f>
        <v>5627608</v>
      </c>
      <c r="D83" s="74" t="n">
        <f aca="false">D46</f>
        <v>5534028.5</v>
      </c>
      <c r="E83" s="74" t="n">
        <f aca="false">E46</f>
        <v>5609828</v>
      </c>
      <c r="F83" s="74" t="n">
        <f aca="false">F46</f>
        <v>5650176.5</v>
      </c>
      <c r="G83" s="74" t="n">
        <f aca="false">G46</f>
        <v>5341520</v>
      </c>
      <c r="H83" s="74" t="n">
        <f aca="false">H46</f>
        <v>4818595.5</v>
      </c>
      <c r="I83" s="74" t="n">
        <f aca="false">I46</f>
        <v>4328911.5</v>
      </c>
      <c r="J83" s="74" t="n">
        <f aca="false">J46</f>
        <v>3886370.5</v>
      </c>
      <c r="K83" s="74" t="n">
        <f aca="false">K46</f>
        <v>3619300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0.0288618741574618</v>
      </c>
      <c r="C84" s="75" t="n">
        <f aca="false">C82/C83</f>
        <v>0.0126067771600296</v>
      </c>
      <c r="D84" s="75" t="n">
        <f aca="false">D82/D83</f>
        <v>0.0262051415167089</v>
      </c>
      <c r="E84" s="75" t="n">
        <f aca="false">E82/E83</f>
        <v>-0.0497198844599157</v>
      </c>
      <c r="F84" s="75" t="n">
        <f aca="false">F82/F83</f>
        <v>-0.136002654076382</v>
      </c>
      <c r="G84" s="75" t="n">
        <f aca="false">G82/G83</f>
        <v>0.101882422980725</v>
      </c>
      <c r="H84" s="75" t="n">
        <f aca="false">H82/H83</f>
        <v>0.170737095487679</v>
      </c>
      <c r="I84" s="75" t="n">
        <f aca="false">I82/I83</f>
        <v>0.119932689776633</v>
      </c>
      <c r="J84" s="75" t="n">
        <f aca="false">J82/J83</f>
        <v>0.203772903278264</v>
      </c>
      <c r="K84" s="75" t="n">
        <f aca="false">K82/K83</f>
        <v>0.11956814853701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0.0332879862551044</v>
      </c>
      <c r="C87" s="74" t="n">
        <f aca="false">C64</f>
        <v>0.0216137172343717</v>
      </c>
      <c r="D87" s="74" t="n">
        <f aca="false">D64</f>
        <v>0.019190597695754</v>
      </c>
      <c r="E87" s="74" t="n">
        <f aca="false">E64</f>
        <v>-0.0263018734987016</v>
      </c>
      <c r="F87" s="74" t="n">
        <f aca="false">F64</f>
        <v>-0.0796929149068355</v>
      </c>
      <c r="G87" s="74" t="n">
        <f aca="false">G64</f>
        <v>0.0672296063541587</v>
      </c>
      <c r="H87" s="74" t="n">
        <f aca="false">H64</f>
        <v>0.117343718573542</v>
      </c>
      <c r="I87" s="74" t="n">
        <f aca="false">I64</f>
        <v>0.0757287513008076</v>
      </c>
      <c r="J87" s="74" t="n">
        <f aca="false">J64</f>
        <v>0.11054204802497</v>
      </c>
      <c r="K87" s="74" t="n">
        <f aca="false">K64</f>
        <v>0.0827905108317237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-0.00145685321572176</v>
      </c>
      <c r="C88" s="74" t="n">
        <f aca="false">(C87-C68)*(C30/C46)</f>
        <v>-0.00653993258542979</v>
      </c>
      <c r="D88" s="74" t="n">
        <f aca="false">(D87-D68)*(D30/D46)</f>
        <v>0.00240348400341397</v>
      </c>
      <c r="E88" s="74" t="n">
        <f aca="false">(E87-E68)*(E30/E46)</f>
        <v>-0.0397183308269764</v>
      </c>
      <c r="F88" s="74" t="n">
        <f aca="false">(F87-F68)*(F30/F46)</f>
        <v>-0.0797675399052172</v>
      </c>
      <c r="G88" s="74" t="n">
        <f aca="false">(G87-G68)*(G30/G46)</f>
        <v>0.0343619464415423</v>
      </c>
      <c r="H88" s="74" t="n">
        <f aca="false">(H87-H68)*(H30/H46)</f>
        <v>0.0644383390813188</v>
      </c>
      <c r="I88" s="74" t="n">
        <f aca="false">(I87-I68)*(I30/I46)</f>
        <v>0.0408156840423892</v>
      </c>
      <c r="J88" s="74" t="n">
        <f aca="false">(J87-J68)*(J30/J46)</f>
        <v>0.0862720343472589</v>
      </c>
      <c r="K88" s="74" t="n">
        <f aca="false">(K87-K68)*(K30/K46)</f>
        <v>0.0233906246802248</v>
      </c>
    </row>
    <row r="89" customFormat="false" ht="15.75" hidden="false" customHeight="true" outlineLevel="0" collapsed="false">
      <c r="A89" s="44" t="s">
        <v>527</v>
      </c>
      <c r="B89" s="74" t="n">
        <f aca="false">(B72-B87)*(B31/B46)</f>
        <v>-0.00202982715567448</v>
      </c>
      <c r="C89" s="74" t="n">
        <f aca="false">(C72-C87)*(C31/C46)</f>
        <v>-0.00183621015085893</v>
      </c>
      <c r="D89" s="74" t="n">
        <f aca="false">(D72-D87)*(D31/D46)</f>
        <v>0.00520462149799767</v>
      </c>
      <c r="E89" s="74" t="n">
        <f aca="false">(E72-E87)*(E31/E46)</f>
        <v>0.0155003729975447</v>
      </c>
      <c r="F89" s="74" t="n">
        <f aca="false">(F72-F87)*(F31/F46)</f>
        <v>0.0210988168863809</v>
      </c>
      <c r="G89" s="74" t="n">
        <f aca="false">(G72-G87)*(G31/G46)</f>
        <v>0.00240844663489182</v>
      </c>
      <c r="H89" s="74" t="n">
        <f aca="false">(H72-H87)*(H31/H46)</f>
        <v>-0.00696374158341262</v>
      </c>
      <c r="I89" s="74" t="n">
        <f aca="false">(I72-I87)*(I31/I46)</f>
        <v>0.00632004390505153</v>
      </c>
      <c r="J89" s="74" t="n">
        <f aca="false">(J72-J87)*(J31/J46)</f>
        <v>0.00561310383324994</v>
      </c>
      <c r="K89" s="74" t="n">
        <f aca="false">(K72-K87)*(K31/K46)</f>
        <v>0.00739030254067763</v>
      </c>
    </row>
    <row r="90" customFormat="false" ht="15.75" hidden="false" customHeight="true" outlineLevel="0" collapsed="false">
      <c r="A90" s="44" t="s">
        <v>528</v>
      </c>
      <c r="B90" s="74" t="n">
        <f aca="false">(B76-B87)*(B75/B46)</f>
        <v>-0.000939431726246416</v>
      </c>
      <c r="C90" s="74" t="n">
        <f aca="false">(C76-C87)*(C75/C46)</f>
        <v>-0.000630797338053339</v>
      </c>
      <c r="D90" s="74" t="n">
        <f aca="false">(D76-D87)*(D75/D46)</f>
        <v>-0.000579467065656762</v>
      </c>
      <c r="E90" s="74" t="n">
        <f aca="false">(E76-E87)*(E75/E46)</f>
        <v>0.000785151405682948</v>
      </c>
      <c r="F90" s="74" t="n">
        <f aca="false">(F76-F87)*(F75/F46)</f>
        <v>0.00236287753296556</v>
      </c>
      <c r="G90" s="74" t="n">
        <f aca="false">(G76-G87)*(G75/G46)</f>
        <v>-0.0021093390942091</v>
      </c>
      <c r="H90" s="74" t="n">
        <f aca="false">(H76-H87)*(H75/H46)</f>
        <v>-0.00408122058376938</v>
      </c>
      <c r="I90" s="74" t="n">
        <f aca="false">(I76-I87)*(I75/I46)</f>
        <v>-0.00293178947161513</v>
      </c>
      <c r="J90" s="74" t="n">
        <f aca="false">(J76-J87)*(J75/J46)</f>
        <v>-0.00592020532624698</v>
      </c>
      <c r="K90" s="74" t="n">
        <f aca="false">(K76-K87)*(K75/K46)</f>
        <v>-0.00568864801680128</v>
      </c>
    </row>
    <row r="91" s="57" customFormat="true" ht="15.75" hidden="false" customHeight="true" outlineLevel="0" collapsed="false">
      <c r="A91" s="57" t="s">
        <v>524</v>
      </c>
      <c r="B91" s="75" t="n">
        <f aca="false">SUM(B87:B90)</f>
        <v>0.0288618741574618</v>
      </c>
      <c r="C91" s="75" t="n">
        <f aca="false">SUM(C87:C90)</f>
        <v>0.0126067771600296</v>
      </c>
      <c r="D91" s="75" t="n">
        <f aca="false">SUM(D87:D90)</f>
        <v>0.0262192361315089</v>
      </c>
      <c r="E91" s="75" t="n">
        <f aca="false">SUM(E87:E90)</f>
        <v>-0.0497346799224504</v>
      </c>
      <c r="F91" s="75" t="n">
        <f aca="false">SUM(F87:F90)</f>
        <v>-0.135998760392706</v>
      </c>
      <c r="G91" s="75" t="n">
        <f aca="false">SUM(G87:G90)</f>
        <v>0.101890660336384</v>
      </c>
      <c r="H91" s="75" t="n">
        <f aca="false">SUM(H87:H90)</f>
        <v>0.170737095487679</v>
      </c>
      <c r="I91" s="75" t="n">
        <f aca="false">SUM(I87:I90)</f>
        <v>0.119932689776633</v>
      </c>
      <c r="J91" s="75" t="n">
        <f aca="false">SUM(J87:J90)</f>
        <v>0.196506980879231</v>
      </c>
      <c r="K91" s="75" t="n">
        <f aca="false">SUM(K87:K90)</f>
        <v>0.107882790035825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0.0503368059081581</v>
      </c>
      <c r="C94" s="74" t="n">
        <f aca="false">C64*(C14/C46)</f>
        <v>0.0371193231653662</v>
      </c>
      <c r="D94" s="74" t="n">
        <f aca="false">D64*(D14/D46)</f>
        <v>0.0341160151235217</v>
      </c>
      <c r="E94" s="74" t="n">
        <f aca="false">E64*(E14/E46)</f>
        <v>-0.0462153206836288</v>
      </c>
      <c r="F94" s="74" t="n">
        <f aca="false">F64*(F14/F46)</f>
        <v>-0.135080912959091</v>
      </c>
      <c r="G94" s="74" t="n">
        <f aca="false">G64*(G14/G46)</f>
        <v>0.0997064505983316</v>
      </c>
      <c r="H94" s="74" t="n">
        <f aca="false">H64*(H14/H46)</f>
        <v>0.170114092374012</v>
      </c>
      <c r="I94" s="74" t="n">
        <f aca="false">I64*(I14/I46)</f>
        <v>0.128700713793756</v>
      </c>
      <c r="J94" s="74" t="n">
        <f aca="false">J64*(J14/J46)</f>
        <v>0.223432634639441</v>
      </c>
      <c r="K94" s="74" t="n">
        <f aca="false">K64*(K14/K46)</f>
        <v>0.187798469317271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-0.0267202610834671</v>
      </c>
      <c r="C95" s="74" t="n">
        <f aca="false">-C68*(C30/C46)</f>
        <v>-0.0271120518699952</v>
      </c>
      <c r="D95" s="74" t="n">
        <f aca="false">-D68*(D30/D46)</f>
        <v>-0.0182355403482291</v>
      </c>
      <c r="E95" s="74" t="n">
        <f aca="false">-E68*(E30/E46)</f>
        <v>-0.0126777505477886</v>
      </c>
      <c r="F95" s="74" t="n">
        <f aca="false">-F68*(F30/F46)</f>
        <v>-0.0126082786971345</v>
      </c>
      <c r="G95" s="74" t="n">
        <f aca="false">-G68*(G30/G46)</f>
        <v>-0.00983895969686531</v>
      </c>
      <c r="H95" s="74" t="n">
        <f aca="false">-H68*(H30/H46)</f>
        <v>-0.00916013805267531</v>
      </c>
      <c r="I95" s="74" t="n">
        <f aca="false">-I68*(I30/I46)</f>
        <v>-0.0184776242249351</v>
      </c>
      <c r="J95" s="74" t="n">
        <f aca="false">-J68*(J30/J46)</f>
        <v>-0.0283485581212599</v>
      </c>
      <c r="K95" s="74" t="n">
        <f aca="false">-K68*(K30/K46)</f>
        <v>-0.0767725803332136</v>
      </c>
    </row>
    <row r="96" customFormat="false" ht="15.75" hidden="false" customHeight="true" outlineLevel="0" collapsed="false">
      <c r="A96" s="44" t="s">
        <v>532</v>
      </c>
      <c r="B96" s="74" t="n">
        <f aca="false">B72*(B31/B46)</f>
        <v>0.0052453293327708</v>
      </c>
      <c r="C96" s="74" t="n">
        <f aca="false">C72*(C31/C46)</f>
        <v>0.00259950586465866</v>
      </c>
      <c r="D96" s="74" t="n">
        <f aca="false">D72*(D31/D46)</f>
        <v>0.0103387613562164</v>
      </c>
      <c r="E96" s="74" t="n">
        <f aca="false">E72*(E31/E46)</f>
        <v>0.00915839130896705</v>
      </c>
      <c r="F96" s="74" t="n">
        <f aca="false">F72*(F31/F46)</f>
        <v>0.0116904312635189</v>
      </c>
      <c r="G96" s="74" t="n">
        <f aca="false">G72*(G31/G46)</f>
        <v>0.0120231694349174</v>
      </c>
      <c r="H96" s="74" t="n">
        <f aca="false">H72*(H31/H46)</f>
        <v>0.00978314116634194</v>
      </c>
      <c r="I96" s="74" t="n">
        <f aca="false">I72*(I31/I46)</f>
        <v>0.00970960020781206</v>
      </c>
      <c r="J96" s="74" t="n">
        <f aca="false">J72*(J31/J46)</f>
        <v>0.00868934137905792</v>
      </c>
      <c r="K96" s="74" t="n">
        <f aca="false">K72*(K31/K46)</f>
        <v>0.00854446992512364</v>
      </c>
    </row>
    <row r="97" customFormat="false" ht="15.75" hidden="false" customHeight="true" outlineLevel="0" collapsed="false">
      <c r="A97" s="44" t="s">
        <v>533</v>
      </c>
      <c r="B97" s="74" t="n">
        <f aca="false">B76*(B18/B46)</f>
        <v>0</v>
      </c>
      <c r="C97" s="74" t="n">
        <f aca="false">C76*(C18/C46)</f>
        <v>0</v>
      </c>
      <c r="D97" s="74" t="n">
        <f aca="false">D76*(D18/D46)</f>
        <v>0</v>
      </c>
      <c r="E97" s="74" t="n">
        <f aca="false">E76*(E18/E46)</f>
        <v>0</v>
      </c>
      <c r="F97" s="74" t="n">
        <f aca="false">F76*(F18/F46)</f>
        <v>0</v>
      </c>
      <c r="G97" s="74" t="n">
        <f aca="false">G76*(G18/G46)</f>
        <v>0</v>
      </c>
      <c r="H97" s="74" t="n">
        <f aca="false">H76*(H18/H46)</f>
        <v>0</v>
      </c>
      <c r="I97" s="74" t="n">
        <f aca="false">I76*(I18/I46)</f>
        <v>0</v>
      </c>
      <c r="J97" s="74" t="n">
        <f aca="false">J76*(J18/J46)</f>
        <v>0</v>
      </c>
      <c r="K97" s="74" t="n">
        <f aca="false">K76*(K18/K46)</f>
        <v>0</v>
      </c>
    </row>
    <row r="98" s="57" customFormat="true" ht="15.75" hidden="false" customHeight="true" outlineLevel="0" collapsed="false">
      <c r="A98" s="57" t="s">
        <v>524</v>
      </c>
      <c r="B98" s="75" t="n">
        <f aca="false">SUM(B94:B97)</f>
        <v>0.0288618741574618</v>
      </c>
      <c r="C98" s="75" t="n">
        <f aca="false">SUM(C94:C97)</f>
        <v>0.0126067771600296</v>
      </c>
      <c r="D98" s="75" t="n">
        <f aca="false">SUM(D94:D97)</f>
        <v>0.0262192361315089</v>
      </c>
      <c r="E98" s="75" t="n">
        <f aca="false">SUM(E94:E97)</f>
        <v>-0.0497346799224504</v>
      </c>
      <c r="F98" s="75" t="n">
        <f aca="false">SUM(F94:F97)</f>
        <v>-0.135998760392706</v>
      </c>
      <c r="G98" s="75" t="n">
        <f aca="false">SUM(G94:G97)</f>
        <v>0.101890660336384</v>
      </c>
      <c r="H98" s="75" t="n">
        <f aca="false">SUM(H94:H97)</f>
        <v>0.170737095487679</v>
      </c>
      <c r="I98" s="75" t="n">
        <f aca="false">SUM(I94:I97)</f>
        <v>0.119932689776633</v>
      </c>
      <c r="J98" s="75" t="n">
        <f aca="false">SUM(J94:J97)</f>
        <v>0.203773417897239</v>
      </c>
      <c r="K98" s="75" t="n">
        <f aca="false">SUM(K94:K97)</f>
        <v>0.119570358909181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n">
        <f aca="false">B84-B91</f>
        <v>0</v>
      </c>
      <c r="C100" s="74" t="n">
        <f aca="false">C84-C91</f>
        <v>0</v>
      </c>
      <c r="D100" s="74" t="n">
        <f aca="false">D84-D91</f>
        <v>-1.40946148000504E-005</v>
      </c>
      <c r="E100" s="74" t="n">
        <f aca="false">E84-E91</f>
        <v>1.47954625346822E-005</v>
      </c>
      <c r="F100" s="74" t="n">
        <f aca="false">F84-F91</f>
        <v>-3.8936836752046E-006</v>
      </c>
      <c r="G100" s="74" t="n">
        <f aca="false">G84-G91</f>
        <v>-8.23735565906592E-006</v>
      </c>
      <c r="H100" s="74" t="n">
        <f aca="false">H84-H91</f>
        <v>0</v>
      </c>
      <c r="I100" s="74" t="n">
        <f aca="false">I84-I91</f>
        <v>0</v>
      </c>
      <c r="J100" s="74" t="n">
        <f aca="false">J84-J91</f>
        <v>0.00726592239903295</v>
      </c>
      <c r="K100" s="74" t="n">
        <f aca="false">K84-K91</f>
        <v>0.0116853585011851</v>
      </c>
    </row>
    <row r="101" customFormat="false" ht="15.75" hidden="false" customHeight="true" outlineLevel="0" collapsed="false">
      <c r="A101" s="44" t="s">
        <v>535</v>
      </c>
      <c r="B101" s="74" t="n">
        <f aca="false">B84-B98</f>
        <v>0</v>
      </c>
      <c r="C101" s="74" t="n">
        <f aca="false">C84-C98</f>
        <v>0</v>
      </c>
      <c r="D101" s="74" t="n">
        <f aca="false">D84-D98</f>
        <v>-1.40946148000504E-005</v>
      </c>
      <c r="E101" s="74" t="n">
        <f aca="false">E84-E98</f>
        <v>1.47954625346822E-005</v>
      </c>
      <c r="F101" s="74" t="n">
        <f aca="false">F84-F98</f>
        <v>-3.8936836752046E-006</v>
      </c>
      <c r="G101" s="74" t="n">
        <f aca="false">G84-G98</f>
        <v>-8.23735565905204E-006</v>
      </c>
      <c r="H101" s="74" t="n">
        <f aca="false">H84-H98</f>
        <v>0</v>
      </c>
      <c r="I101" s="74" t="n">
        <f aca="false">I84-I98</f>
        <v>0</v>
      </c>
      <c r="J101" s="74" t="n">
        <f aca="false">J84-J98</f>
        <v>-5.14618974212233E-007</v>
      </c>
      <c r="K101" s="74" t="n">
        <f aca="false">K84-K98</f>
        <v>-2.21037217140729E-006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165413</v>
      </c>
      <c r="C104" s="74" t="n">
        <f aca="false">C3</f>
        <v>70946</v>
      </c>
      <c r="D104" s="74" t="n">
        <f aca="false">D3</f>
        <v>145020</v>
      </c>
      <c r="E104" s="74" t="n">
        <f aca="false">E3</f>
        <v>-278920</v>
      </c>
      <c r="F104" s="74" t="n">
        <f aca="false">F3</f>
        <v>-768439</v>
      </c>
      <c r="G104" s="74" t="n">
        <f aca="false">G3</f>
        <v>544207</v>
      </c>
      <c r="H104" s="74" t="n">
        <f aca="false">H3</f>
        <v>822713</v>
      </c>
      <c r="I104" s="74" t="n">
        <f aca="false">I3</f>
        <v>519178</v>
      </c>
      <c r="J104" s="74" t="n">
        <f aca="false">J3</f>
        <v>791937</v>
      </c>
      <c r="K104" s="74" t="n">
        <f aca="false">K3</f>
        <v>432753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5731194</v>
      </c>
      <c r="C105" s="74" t="n">
        <f aca="false">C46</f>
        <v>5627608</v>
      </c>
      <c r="D105" s="74" t="n">
        <f aca="false">D46</f>
        <v>5534028.5</v>
      </c>
      <c r="E105" s="74" t="n">
        <f aca="false">E46</f>
        <v>5609828</v>
      </c>
      <c r="F105" s="74" t="n">
        <f aca="false">F46</f>
        <v>5650176.5</v>
      </c>
      <c r="G105" s="74" t="n">
        <f aca="false">G46</f>
        <v>5341520</v>
      </c>
      <c r="H105" s="74" t="n">
        <f aca="false">H46</f>
        <v>4818595.5</v>
      </c>
      <c r="I105" s="74" t="n">
        <f aca="false">I46</f>
        <v>4328911.5</v>
      </c>
      <c r="J105" s="74" t="n">
        <f aca="false">J46</f>
        <v>3886370.5</v>
      </c>
      <c r="K105" s="74" t="n">
        <f aca="false">K46</f>
        <v>3619300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0.995035167563095</v>
      </c>
      <c r="E106" s="74" t="n">
        <f aca="false">(E104+E23)/E104</f>
        <v>1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0.980575524606415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0.90076958884731</v>
      </c>
      <c r="C107" s="74" t="n">
        <f aca="false">(C3+C23+C29)/(C3+C23)</f>
        <v>0.81993347052688</v>
      </c>
      <c r="D107" s="74" t="n">
        <f aca="false">(D3+D23+D29)/(D3+D23)</f>
        <v>0.893880803880804</v>
      </c>
      <c r="E107" s="74" t="n">
        <f aca="false">(E3+E23+E29)/(E3+E23)</f>
        <v>1.00598379463646</v>
      </c>
      <c r="F107" s="74" t="n">
        <f aca="false">(F3+F23+F29)/(F3+F23)</f>
        <v>1</v>
      </c>
      <c r="G107" s="74" t="n">
        <f aca="false">(G3+G23+G29)/(G3+G23)</f>
        <v>0.76702614997602</v>
      </c>
      <c r="H107" s="74" t="n">
        <f aca="false">(H3+H23+H29)/(H3+H23)</f>
        <v>0.763847173923349</v>
      </c>
      <c r="I107" s="74" t="n">
        <f aca="false">(I3+I23+I29)/(I3+I23)</f>
        <v>0.67595506743352</v>
      </c>
      <c r="J107" s="74" t="n">
        <f aca="false">(J3+J23+J29)/(J3+J23)</f>
        <v>0.674474105894787</v>
      </c>
      <c r="K107" s="74" t="n">
        <f aca="false">(K3+K23+K29)/(K3+K23)</f>
        <v>0.66024974843701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0.0259978985181796</v>
      </c>
      <c r="C108" s="74" t="n">
        <f aca="false">C6/C46</f>
        <v>0.0103367185489821</v>
      </c>
      <c r="D108" s="74" t="n">
        <f aca="false">D6/D46</f>
        <v>0.0233079753745395</v>
      </c>
      <c r="E108" s="74" t="n">
        <f aca="false">E6/E46</f>
        <v>-0.0500173980378721</v>
      </c>
      <c r="F108" s="74" t="n">
        <f aca="false">F6/F46</f>
        <v>-0.136002654076382</v>
      </c>
      <c r="G108" s="74" t="n">
        <f aca="false">G6/G46</f>
        <v>0.0781464826491336</v>
      </c>
      <c r="H108" s="74" t="n">
        <f aca="false">H6/H46</f>
        <v>0.130417047872144</v>
      </c>
      <c r="I108" s="74" t="n">
        <f aca="false">I6/I46</f>
        <v>0.0810691094054475</v>
      </c>
      <c r="J108" s="74" t="n">
        <f aca="false">J6/J46</f>
        <v>0.137439546744192</v>
      </c>
      <c r="K108" s="74" t="n">
        <f aca="false">K6/K46</f>
        <v>0.0774113778907524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0.0259978985181796</v>
      </c>
      <c r="C109" s="75" t="n">
        <f aca="false">(C104/C105)*C106*C107</f>
        <v>0.0103367185489821</v>
      </c>
      <c r="D109" s="75" t="n">
        <f aca="false">(D104/D105)*D106*D107</f>
        <v>0.0233079753745395</v>
      </c>
      <c r="E109" s="75" t="n">
        <f aca="false">(E104/E105)*E106*E107</f>
        <v>-0.0500173980378721</v>
      </c>
      <c r="F109" s="75" t="n">
        <f aca="false">(F104/F105)*F106*F107</f>
        <v>-0.136002654076382</v>
      </c>
      <c r="G109" s="75" t="n">
        <f aca="false">(G104/G105)*G106*G107</f>
        <v>0.0781464826491336</v>
      </c>
      <c r="H109" s="75" t="n">
        <f aca="false">(H104/H105)*H106*H107</f>
        <v>0.130417047872145</v>
      </c>
      <c r="I109" s="75" t="n">
        <f aca="false">(I104/I105)*I106*I107</f>
        <v>0.0810691094054475</v>
      </c>
      <c r="J109" s="75" t="n">
        <f aca="false">(J104/J105)*J106*J107</f>
        <v>0.137439546744192</v>
      </c>
      <c r="K109" s="75" t="n">
        <f aca="false">(K104/K105)*K106*K107</f>
        <v>0.0774113778907524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2086282</v>
      </c>
      <c r="C115" s="74" t="n">
        <f aca="false">C32</f>
        <v>2119000</v>
      </c>
      <c r="D115" s="74" t="n">
        <f aca="false">D32</f>
        <v>2029969.5</v>
      </c>
      <c r="E115" s="74" t="n">
        <f aca="false">E32</f>
        <v>1813902.5</v>
      </c>
      <c r="F115" s="74" t="n">
        <f aca="false">F32</f>
        <v>1730670</v>
      </c>
      <c r="G115" s="74" t="n">
        <f aca="false">G32</f>
        <v>1956868</v>
      </c>
      <c r="H115" s="74" t="n">
        <f aca="false">H32</f>
        <v>1969997</v>
      </c>
      <c r="I115" s="74" t="n">
        <f aca="false">I32</f>
        <v>2001634</v>
      </c>
      <c r="J115" s="74" t="n">
        <f aca="false">J32</f>
        <v>1863659</v>
      </c>
      <c r="K115" s="74" t="n">
        <f aca="false">K32</f>
        <v>1691488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53029.6530958904</v>
      </c>
      <c r="C116" s="74" t="n">
        <f aca="false">C9</f>
        <v>52965.5913972603</v>
      </c>
      <c r="D116" s="74" t="n">
        <f aca="false">D9</f>
        <v>54938.7291506849</v>
      </c>
      <c r="E116" s="74" t="n">
        <f aca="false">E9</f>
        <v>49356.5004931507</v>
      </c>
      <c r="F116" s="74" t="n">
        <f aca="false">F9</f>
        <v>42801.3535890411</v>
      </c>
      <c r="G116" s="74" t="n">
        <f aca="false">G9</f>
        <v>42803.1652054795</v>
      </c>
      <c r="H116" s="74" t="n">
        <f aca="false">H9</f>
        <v>40606.8543561644</v>
      </c>
      <c r="I116" s="74" t="n">
        <f aca="false">I9</f>
        <v>37965.3638356164</v>
      </c>
      <c r="J116" s="74" t="n">
        <f aca="false">J9</f>
        <v>37413.5461369863</v>
      </c>
      <c r="K116" s="74" t="n">
        <f aca="false">K9</f>
        <v>35946.9223013699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39.3417998836896</v>
      </c>
      <c r="C117" s="78" t="n">
        <f aca="false">C115/C116</f>
        <v>40.0071054452459</v>
      </c>
      <c r="D117" s="78" t="n">
        <f aca="false">D115/D116</f>
        <v>36.9496988987903</v>
      </c>
      <c r="E117" s="78" t="n">
        <f aca="false">E115/E116</f>
        <v>36.751035463945</v>
      </c>
      <c r="F117" s="78" t="n">
        <f aca="false">F115/F116</f>
        <v>40.4349361615312</v>
      </c>
      <c r="G117" s="78" t="n">
        <f aca="false">G115/G116</f>
        <v>45.7178339640521</v>
      </c>
      <c r="H117" s="78" t="n">
        <f aca="false">H115/H116</f>
        <v>48.5139031632708</v>
      </c>
      <c r="I117" s="78" t="n">
        <f aca="false">I115/I116</f>
        <v>52.7226344693214</v>
      </c>
      <c r="J117" s="78" t="n">
        <f aca="false">J115/J116</f>
        <v>49.8124126800593</v>
      </c>
      <c r="K117" s="78" t="n">
        <f aca="false">K115/K116</f>
        <v>47.0551549815307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3083637</v>
      </c>
      <c r="C119" s="74" t="n">
        <f aca="false">C33</f>
        <v>2742393</v>
      </c>
      <c r="D119" s="74" t="n">
        <f aca="false">D33</f>
        <v>3203298.5</v>
      </c>
      <c r="E119" s="74" t="n">
        <f aca="false">E33</f>
        <v>3008525</v>
      </c>
      <c r="F119" s="74" t="n">
        <f aca="false">F33</f>
        <v>2711408</v>
      </c>
      <c r="G119" s="74" t="n">
        <f aca="false">G33</f>
        <v>2492526.5</v>
      </c>
      <c r="H119" s="74" t="n">
        <f aca="false">H33</f>
        <v>1927951</v>
      </c>
      <c r="I119" s="74" t="n">
        <f aca="false">I33</f>
        <v>1964598.5</v>
      </c>
      <c r="J119" s="74" t="n">
        <f aca="false">J33</f>
        <v>1935644</v>
      </c>
      <c r="K119" s="74" t="n">
        <f aca="false">K33</f>
        <v>1895868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46365.1574246575</v>
      </c>
      <c r="C120" s="74" t="n">
        <f aca="false">-C11</f>
        <v>43414.6659726027</v>
      </c>
      <c r="D120" s="74" t="n">
        <f aca="false">-D11</f>
        <v>45309.2323835617</v>
      </c>
      <c r="E120" s="74" t="n">
        <f aca="false">-E11</f>
        <v>44253.9023013699</v>
      </c>
      <c r="F120" s="74" t="n">
        <f aca="false">-F11</f>
        <v>37591.7296438356</v>
      </c>
      <c r="G120" s="74" t="n">
        <f aca="false">-G11</f>
        <v>36670.8803287671</v>
      </c>
      <c r="H120" s="74" t="n">
        <f aca="false">-H11</f>
        <v>32274.9328767123</v>
      </c>
      <c r="I120" s="74" t="n">
        <f aca="false">-I11</f>
        <v>31420.1607671233</v>
      </c>
      <c r="J120" s="74" t="n">
        <f aca="false">-J11</f>
        <v>29920.4532054795</v>
      </c>
      <c r="K120" s="74" t="n">
        <f aca="false">-K11</f>
        <v>29122.4328219178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66.5076357178523</v>
      </c>
      <c r="C121" s="78" t="n">
        <f aca="false">C119/C120</f>
        <v>63.1674329069033</v>
      </c>
      <c r="D121" s="78" t="n">
        <f aca="false">D119/D120</f>
        <v>70.6985824187604</v>
      </c>
      <c r="E121" s="78" t="n">
        <f aca="false">E119/E120</f>
        <v>67.9832702551719</v>
      </c>
      <c r="F121" s="78" t="n">
        <f aca="false">F119/F120</f>
        <v>72.1277798518277</v>
      </c>
      <c r="G121" s="78" t="n">
        <f aca="false">G119/G120</f>
        <v>67.9701844529948</v>
      </c>
      <c r="H121" s="78" t="n">
        <f aca="false">H119/H120</f>
        <v>59.7352442951506</v>
      </c>
      <c r="I121" s="78" t="n">
        <f aca="false">I119/I120</f>
        <v>62.5266851611935</v>
      </c>
      <c r="J121" s="78" t="n">
        <f aca="false">J119/J120</f>
        <v>64.693004036634</v>
      </c>
      <c r="K121" s="78" t="n">
        <f aca="false">K119/K120</f>
        <v>65.0999183891379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3625211.5</v>
      </c>
      <c r="C123" s="74" t="n">
        <f aca="false">C34</f>
        <v>3312038.5</v>
      </c>
      <c r="D123" s="74" t="n">
        <f aca="false">D34</f>
        <v>3461092.5</v>
      </c>
      <c r="E123" s="74" t="n">
        <f aca="false">E34</f>
        <v>3102185</v>
      </c>
      <c r="F123" s="74" t="n">
        <f aca="false">F34</f>
        <v>2820107.5</v>
      </c>
      <c r="G123" s="74" t="n">
        <f aca="false">G34</f>
        <v>2696127</v>
      </c>
      <c r="H123" s="74" t="n">
        <f aca="false">H34</f>
        <v>2477990.5</v>
      </c>
      <c r="I123" s="74" t="n">
        <f aca="false">I34</f>
        <v>2472176</v>
      </c>
      <c r="J123" s="74" t="n">
        <f aca="false">J34</f>
        <v>2411101.5</v>
      </c>
      <c r="K123" s="74" t="n">
        <f aca="false">K34</f>
        <v>2395489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35937</v>
      </c>
      <c r="C124" s="74" t="n">
        <f aca="false">-C12</f>
        <v>36770.6205479452</v>
      </c>
      <c r="D124" s="74" t="n">
        <f aca="false">-D12</f>
        <v>35722.894520548</v>
      </c>
      <c r="E124" s="74" t="n">
        <f aca="false">-E12</f>
        <v>32770.4753424658</v>
      </c>
      <c r="F124" s="74" t="n">
        <f aca="false">-F12</f>
        <v>30095.8219178082</v>
      </c>
      <c r="G124" s="74" t="n">
        <f aca="false">-G12</f>
        <v>27658.8465753425</v>
      </c>
      <c r="H124" s="74" t="n">
        <f aca="false">-H12</f>
        <v>26088.6164383562</v>
      </c>
      <c r="I124" s="74" t="n">
        <f aca="false">-I12</f>
        <v>24972.2684931507</v>
      </c>
      <c r="J124" s="74" t="n">
        <f aca="false">-J12</f>
        <v>24393.7205479452</v>
      </c>
      <c r="K124" s="74" t="n">
        <f aca="false">-K12</f>
        <v>24348.0246575342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3636.18767123288</v>
      </c>
      <c r="C125" s="74" t="n">
        <f aca="false">-C13</f>
        <v>3714.68219178082</v>
      </c>
      <c r="D125" s="74" t="n">
        <f aca="false">-D13</f>
        <v>3784.87397260274</v>
      </c>
      <c r="E125" s="74" t="n">
        <f aca="false">-E13</f>
        <v>3538.76712328767</v>
      </c>
      <c r="F125" s="74" t="n">
        <f aca="false">-F13</f>
        <v>3042.17260273973</v>
      </c>
      <c r="G125" s="74" t="n">
        <f aca="false">-G13</f>
        <v>2759.66438356164</v>
      </c>
      <c r="H125" s="74" t="n">
        <f aca="false">-H13</f>
        <v>2458.13561643836</v>
      </c>
      <c r="I125" s="74" t="n">
        <f aca="false">-I13</f>
        <v>2141.6397260274</v>
      </c>
      <c r="J125" s="74" t="n">
        <f aca="false">-J13</f>
        <v>2021.60136986301</v>
      </c>
      <c r="K125" s="74" t="n">
        <f aca="false">-K13</f>
        <v>2041.07671232877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91.6077706480869</v>
      </c>
      <c r="C126" s="78" t="n">
        <f aca="false">C123/(C124+C125)</f>
        <v>81.8084162860928</v>
      </c>
      <c r="D126" s="78" t="n">
        <f aca="false">D123/(D124+D125)</f>
        <v>87.6053655270365</v>
      </c>
      <c r="E126" s="78" t="n">
        <f aca="false">E123/(E124+E125)</f>
        <v>85.4378882436326</v>
      </c>
      <c r="F126" s="78" t="n">
        <f aca="false">F123/(F124+F125)</f>
        <v>85.1019363362901</v>
      </c>
      <c r="G126" s="78" t="n">
        <f aca="false">G123/(G124+G125)</f>
        <v>88.634417498033</v>
      </c>
      <c r="H126" s="78" t="n">
        <f aca="false">H123/(H124+H125)</f>
        <v>86.804638763933</v>
      </c>
      <c r="I126" s="78" t="n">
        <f aca="false">I123/(I124+I125)</f>
        <v>91.1774127143866</v>
      </c>
      <c r="J126" s="78" t="n">
        <f aca="false">J123/(J124+J125)</f>
        <v>91.2766275384487</v>
      </c>
      <c r="K126" s="78" t="n">
        <f aca="false">K123/(K124+K125)</f>
        <v>90.7756943453825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15865429</v>
      </c>
      <c r="C128" s="74" t="n">
        <f aca="false">C7</f>
        <v>15846263</v>
      </c>
      <c r="D128" s="74" t="n">
        <f aca="false">D7</f>
        <v>16436587</v>
      </c>
      <c r="E128" s="74" t="n">
        <f aca="false">E7</f>
        <v>14766494</v>
      </c>
      <c r="F128" s="74" t="n">
        <f aca="false">F7</f>
        <v>12805323</v>
      </c>
      <c r="G128" s="74" t="n">
        <f aca="false">G7</f>
        <v>12805865</v>
      </c>
      <c r="H128" s="74" t="n">
        <f aca="false">H7</f>
        <v>12148772</v>
      </c>
      <c r="I128" s="74" t="n">
        <f aca="false">I7</f>
        <v>11358490</v>
      </c>
      <c r="J128" s="74" t="n">
        <f aca="false">J7</f>
        <v>11193397</v>
      </c>
      <c r="K128" s="74" t="n">
        <f aca="false">K7</f>
        <v>10754612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3625211.5</v>
      </c>
      <c r="C129" s="74" t="n">
        <f aca="false">C123</f>
        <v>3312038.5</v>
      </c>
      <c r="D129" s="74" t="n">
        <f aca="false">D123</f>
        <v>3461092.5</v>
      </c>
      <c r="E129" s="74" t="n">
        <f aca="false">E123</f>
        <v>3102185</v>
      </c>
      <c r="F129" s="74" t="n">
        <f aca="false">F123</f>
        <v>2820107.5</v>
      </c>
      <c r="G129" s="74" t="n">
        <f aca="false">G123</f>
        <v>2696127</v>
      </c>
      <c r="H129" s="74" t="n">
        <f aca="false">H123</f>
        <v>2477990.5</v>
      </c>
      <c r="I129" s="74" t="n">
        <f aca="false">I123</f>
        <v>2472176</v>
      </c>
      <c r="J129" s="74" t="n">
        <f aca="false">J123</f>
        <v>2411101.5</v>
      </c>
      <c r="K129" s="74" t="n">
        <f aca="false">K123</f>
        <v>2395489</v>
      </c>
    </row>
    <row r="130" s="57" customFormat="true" ht="15.75" hidden="false" customHeight="true" outlineLevel="0" collapsed="false">
      <c r="A130" s="57" t="s">
        <v>551</v>
      </c>
      <c r="B130" s="78" t="n">
        <f aca="false">B128/B129</f>
        <v>4.37641472780278</v>
      </c>
      <c r="C130" s="78" t="n">
        <f aca="false">C128/C129</f>
        <v>4.78444408179434</v>
      </c>
      <c r="D130" s="78" t="n">
        <f aca="false">D128/D129</f>
        <v>4.74895917979655</v>
      </c>
      <c r="E130" s="78" t="n">
        <f aca="false">E128/E129</f>
        <v>4.76003010781111</v>
      </c>
      <c r="F130" s="78" t="n">
        <f aca="false">F128/F129</f>
        <v>4.54072158596791</v>
      </c>
      <c r="G130" s="78" t="n">
        <f aca="false">G128/G129</f>
        <v>4.74972618129636</v>
      </c>
      <c r="H130" s="78" t="n">
        <f aca="false">H128/H129</f>
        <v>4.90267093437203</v>
      </c>
      <c r="I130" s="78" t="n">
        <f aca="false">I128/I129</f>
        <v>4.59453129550647</v>
      </c>
      <c r="J130" s="78" t="n">
        <f aca="false">J128/J129</f>
        <v>4.64244122447769</v>
      </c>
      <c r="K130" s="78" t="n">
        <f aca="false">K128/K129</f>
        <v>4.48952677303048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15865429</v>
      </c>
      <c r="C132" s="74" t="n">
        <f aca="false">C128</f>
        <v>15846263</v>
      </c>
      <c r="D132" s="74" t="n">
        <f aca="false">D128</f>
        <v>16436587</v>
      </c>
      <c r="E132" s="74" t="n">
        <f aca="false">E128</f>
        <v>14766494</v>
      </c>
      <c r="F132" s="74" t="n">
        <f aca="false">F128</f>
        <v>12805323</v>
      </c>
      <c r="G132" s="74" t="n">
        <f aca="false">G128</f>
        <v>12805865</v>
      </c>
      <c r="H132" s="74" t="n">
        <f aca="false">H128</f>
        <v>12148772</v>
      </c>
      <c r="I132" s="74" t="n">
        <f aca="false">I128</f>
        <v>11358490</v>
      </c>
      <c r="J132" s="74" t="n">
        <f aca="false">J128</f>
        <v>11193397</v>
      </c>
      <c r="K132" s="74" t="n">
        <f aca="false">K128</f>
        <v>10754612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8941038.5</v>
      </c>
      <c r="C133" s="74" t="n">
        <f aca="false">AVERAGE(RC!C102:D102)</f>
        <v>9928835</v>
      </c>
      <c r="D133" s="74" t="n">
        <f aca="false">AVERAGE(RC!D102:E102)</f>
        <v>10111693</v>
      </c>
      <c r="E133" s="74" t="n">
        <f aca="false">AVERAGE(RC!E102:F102)</f>
        <v>10156352</v>
      </c>
      <c r="F133" s="74" t="n">
        <f aca="false">AVERAGE(RC!F102:G102)</f>
        <v>9739659.5</v>
      </c>
      <c r="G133" s="74" t="n">
        <f aca="false">AVERAGE(RC!G102:H102)</f>
        <v>8292308.5</v>
      </c>
      <c r="H133" s="74" t="n">
        <f aca="false">AVERAGE(RC!H102:I102)</f>
        <v>7601864</v>
      </c>
      <c r="I133" s="74" t="n">
        <f aca="false">AVERAGE(RC!I102:J102)</f>
        <v>7926318</v>
      </c>
      <c r="J133" s="74" t="n">
        <f aca="false">AVERAGE(RC!J102:K102)</f>
        <v>8169611.5</v>
      </c>
      <c r="K133" s="74" t="n">
        <f aca="false">AVERAGE(RC!K102:L102)</f>
        <v>8246725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1.7744503616666</v>
      </c>
      <c r="C134" s="78" t="n">
        <f aca="false">C132/C133</f>
        <v>1.59598412099708</v>
      </c>
      <c r="D134" s="78" t="n">
        <f aca="false">D132/D133</f>
        <v>1.62550296968074</v>
      </c>
      <c r="E134" s="78" t="n">
        <f aca="false">E132/E133</f>
        <v>1.45391711512165</v>
      </c>
      <c r="F134" s="78" t="n">
        <f aca="false">F132/F133</f>
        <v>1.31476084969911</v>
      </c>
      <c r="G134" s="78" t="n">
        <f aca="false">G132/G133</f>
        <v>1.54430638946923</v>
      </c>
      <c r="H134" s="78" t="n">
        <f aca="false">H132/H133</f>
        <v>1.59813066900434</v>
      </c>
      <c r="I134" s="78" t="n">
        <f aca="false">I132/I133</f>
        <v>1.43300962691631</v>
      </c>
      <c r="J134" s="78" t="n">
        <f aca="false">J132/J133</f>
        <v>1.37012598457099</v>
      </c>
      <c r="K134" s="78" t="n">
        <f aca="false">K132/K133</f>
        <v>1.30410702430359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15865429</v>
      </c>
      <c r="C136" s="74" t="n">
        <f aca="false">C132</f>
        <v>15846263</v>
      </c>
      <c r="D136" s="74" t="n">
        <f aca="false">D132</f>
        <v>16436587</v>
      </c>
      <c r="E136" s="74" t="n">
        <f aca="false">E132</f>
        <v>14766494</v>
      </c>
      <c r="F136" s="74" t="n">
        <f aca="false">F132</f>
        <v>12805323</v>
      </c>
      <c r="G136" s="74" t="n">
        <f aca="false">G132</f>
        <v>12805865</v>
      </c>
      <c r="H136" s="74" t="n">
        <f aca="false">H132</f>
        <v>12148772</v>
      </c>
      <c r="I136" s="74" t="n">
        <f aca="false">I132</f>
        <v>11358490</v>
      </c>
      <c r="J136" s="74" t="n">
        <f aca="false">J132</f>
        <v>11193397</v>
      </c>
      <c r="K136" s="74" t="n">
        <f aca="false">K132</f>
        <v>10754612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8666490</v>
      </c>
      <c r="C137" s="74" t="n">
        <f aca="false">C14</f>
        <v>9664834.5</v>
      </c>
      <c r="D137" s="74" t="n">
        <f aca="false">D14</f>
        <v>9838099</v>
      </c>
      <c r="E137" s="74" t="n">
        <f aca="false">E14</f>
        <v>9857092.5</v>
      </c>
      <c r="F137" s="74" t="n">
        <f aca="false">F14</f>
        <v>9577150</v>
      </c>
      <c r="G137" s="74" t="n">
        <f aca="false">G14</f>
        <v>7921867</v>
      </c>
      <c r="H137" s="74" t="n">
        <f aca="false">H14</f>
        <v>6985555</v>
      </c>
      <c r="I137" s="74" t="n">
        <f aca="false">I14</f>
        <v>7356968</v>
      </c>
      <c r="J137" s="74" t="n">
        <f aca="false">J14</f>
        <v>7855309.5</v>
      </c>
      <c r="K137" s="74" t="n">
        <f aca="false">K14</f>
        <v>8209866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1.83066374045317</v>
      </c>
      <c r="C138" s="78" t="n">
        <f aca="false">C136/C137</f>
        <v>1.63957934302962</v>
      </c>
      <c r="D138" s="78" t="n">
        <f aca="false">D136/D137</f>
        <v>1.67070762349515</v>
      </c>
      <c r="E138" s="78" t="n">
        <f aca="false">E136/E137</f>
        <v>1.49805776906324</v>
      </c>
      <c r="F138" s="78" t="n">
        <f aca="false">F136/F137</f>
        <v>1.33707031841414</v>
      </c>
      <c r="G138" s="78" t="n">
        <f aca="false">G136/G137</f>
        <v>1.61652108019486</v>
      </c>
      <c r="H138" s="78" t="n">
        <f aca="false">H136/H137</f>
        <v>1.73912767131602</v>
      </c>
      <c r="I138" s="78" t="n">
        <f aca="false">I136/I137</f>
        <v>1.54390912125756</v>
      </c>
      <c r="J138" s="78" t="n">
        <f aca="false">J136/J137</f>
        <v>1.42494665550734</v>
      </c>
      <c r="K138" s="78" t="n">
        <f aca="false">K136/K137</f>
        <v>1.30996194091353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0.0332879862551044</v>
      </c>
      <c r="C140" s="74" t="n">
        <f aca="false">C64</f>
        <v>0.0216137172343717</v>
      </c>
      <c r="D140" s="74" t="n">
        <f aca="false">D64</f>
        <v>0.019190597695754</v>
      </c>
      <c r="E140" s="74" t="n">
        <f aca="false">E64</f>
        <v>-0.0263018734987016</v>
      </c>
      <c r="F140" s="74" t="n">
        <f aca="false">F64</f>
        <v>-0.0796929149068355</v>
      </c>
      <c r="G140" s="74" t="n">
        <f aca="false">G64</f>
        <v>0.0672296063541587</v>
      </c>
      <c r="H140" s="74" t="n">
        <f aca="false">H64</f>
        <v>0.117343718573542</v>
      </c>
      <c r="I140" s="74" t="n">
        <f aca="false">I64</f>
        <v>0.0757287513008076</v>
      </c>
      <c r="J140" s="74" t="n">
        <f aca="false">J64</f>
        <v>0.11054204802497</v>
      </c>
      <c r="K140" s="74" t="n">
        <f aca="false">K64</f>
        <v>0.0827905108317237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0.018183561251322</v>
      </c>
      <c r="C141" s="74" t="n">
        <f aca="false">C60</f>
        <v>0.0131824771556549</v>
      </c>
      <c r="D141" s="74" t="n">
        <f aca="false">D60</f>
        <v>0.0114865087259295</v>
      </c>
      <c r="E141" s="74" t="n">
        <f aca="false">E60</f>
        <v>-0.0175573159072154</v>
      </c>
      <c r="F141" s="74" t="n">
        <f aca="false">F60</f>
        <v>-0.0596026355602276</v>
      </c>
      <c r="G141" s="74" t="n">
        <f aca="false">G60</f>
        <v>0.0415890687587289</v>
      </c>
      <c r="H141" s="74" t="n">
        <f aca="false">H60</f>
        <v>0.0674727453935262</v>
      </c>
      <c r="I141" s="74" t="n">
        <f aca="false">I60</f>
        <v>0.0490500057666116</v>
      </c>
      <c r="J141" s="74" t="n">
        <f aca="false">J60</f>
        <v>0.0775762710819602</v>
      </c>
      <c r="K141" s="74" t="n">
        <f aca="false">K60</f>
        <v>0.0632006993836691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1.83066374045317</v>
      </c>
      <c r="C142" s="78" t="n">
        <f aca="false">C140/C141</f>
        <v>1.63957934302962</v>
      </c>
      <c r="D142" s="78" t="n">
        <f aca="false">D140/D141</f>
        <v>1.67070762349515</v>
      </c>
      <c r="E142" s="78" t="n">
        <f aca="false">E140/E141</f>
        <v>1.49805776906324</v>
      </c>
      <c r="F142" s="78" t="n">
        <f aca="false">F140/F141</f>
        <v>1.33707031841414</v>
      </c>
      <c r="G142" s="78" t="n">
        <f aca="false">G140/G141</f>
        <v>1.61652108019486</v>
      </c>
      <c r="H142" s="78" t="n">
        <f aca="false">H140/H141</f>
        <v>1.73912767131602</v>
      </c>
      <c r="I142" s="78" t="n">
        <f aca="false">I140/I141</f>
        <v>1.54390912125756</v>
      </c>
      <c r="J142" s="78" t="n">
        <f aca="false">J140/J141</f>
        <v>1.42494665550734</v>
      </c>
      <c r="K142" s="78" t="n">
        <f aca="false">K140/K141</f>
        <v>1.30996194091353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6411262</v>
      </c>
      <c r="C147" s="74" t="n">
        <f aca="false">C37</f>
        <v>6101597</v>
      </c>
      <c r="D147" s="74" t="n">
        <f aca="false">D37</f>
        <v>6085075</v>
      </c>
      <c r="E147" s="74" t="n">
        <f aca="false">E37</f>
        <v>6620037</v>
      </c>
      <c r="F147" s="74" t="n">
        <f aca="false">F37</f>
        <v>5184326</v>
      </c>
      <c r="G147" s="74" t="n">
        <f aca="false">G37</f>
        <v>5702050</v>
      </c>
      <c r="H147" s="74" t="n">
        <f aca="false">H37</f>
        <v>4516887</v>
      </c>
      <c r="I147" s="74" t="n">
        <f aca="false">I37</f>
        <v>4621818</v>
      </c>
      <c r="J147" s="74" t="n">
        <f aca="false">J37</f>
        <v>4580443</v>
      </c>
      <c r="K147" s="74" t="n">
        <f aca="false">K37</f>
        <v>4303296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5802278</v>
      </c>
      <c r="C148" s="74" t="n">
        <f aca="false">C39</f>
        <v>5352604</v>
      </c>
      <c r="D148" s="74" t="n">
        <f aca="false">D39</f>
        <v>5519465</v>
      </c>
      <c r="E148" s="74" t="n">
        <f aca="false">E39</f>
        <v>6090005</v>
      </c>
      <c r="F148" s="74" t="n">
        <f aca="false">F39</f>
        <v>4677448</v>
      </c>
      <c r="G148" s="74" t="n">
        <f aca="false">G39</f>
        <v>5652101</v>
      </c>
      <c r="H148" s="74" t="n">
        <f aca="false">H39</f>
        <v>3824654</v>
      </c>
      <c r="I148" s="74" t="n">
        <f aca="false">I39</f>
        <v>3412943</v>
      </c>
      <c r="J148" s="74" t="n">
        <f aca="false">J39</f>
        <v>3655213</v>
      </c>
      <c r="K148" s="74" t="n">
        <f aca="false">K39</f>
        <v>3780981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1.10495601899806</v>
      </c>
      <c r="C149" s="78" t="n">
        <f aca="false">C147/C148</f>
        <v>1.13993058331982</v>
      </c>
      <c r="D149" s="78" t="n">
        <f aca="false">D147/D148</f>
        <v>1.10247551166644</v>
      </c>
      <c r="E149" s="78" t="n">
        <f aca="false">E147/E148</f>
        <v>1.08703309767398</v>
      </c>
      <c r="F149" s="78" t="n">
        <f aca="false">F147/F148</f>
        <v>1.10836635703914</v>
      </c>
      <c r="G149" s="78" t="n">
        <f aca="false">G147/G148</f>
        <v>1.00883724476969</v>
      </c>
      <c r="H149" s="78" t="n">
        <f aca="false">H147/H148</f>
        <v>1.18099231982815</v>
      </c>
      <c r="I149" s="78" t="n">
        <f aca="false">I147/I148</f>
        <v>1.35420310271809</v>
      </c>
      <c r="J149" s="78" t="n">
        <f aca="false">J147/J148</f>
        <v>1.25312615160868</v>
      </c>
      <c r="K149" s="78" t="n">
        <f aca="false">K147/K148</f>
        <v>1.13814272010359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2380797</v>
      </c>
      <c r="C151" s="74" t="n">
        <f aca="false">C37-C35</f>
        <v>2881639</v>
      </c>
      <c r="D151" s="74" t="n">
        <f aca="false">D37-D35</f>
        <v>2680956</v>
      </c>
      <c r="E151" s="74" t="n">
        <f aca="false">E37-E35</f>
        <v>3101971</v>
      </c>
      <c r="F151" s="74" t="n">
        <f aca="false">F37-F35</f>
        <v>2498022</v>
      </c>
      <c r="G151" s="74" t="n">
        <f aca="false">G37-G35</f>
        <v>2748139</v>
      </c>
      <c r="H151" s="74" t="n">
        <f aca="false">H37-H35</f>
        <v>2078544</v>
      </c>
      <c r="I151" s="74" t="n">
        <f aca="false">I37-I35</f>
        <v>2104180</v>
      </c>
      <c r="J151" s="74" t="n">
        <f aca="false">J37-J35</f>
        <v>2153729</v>
      </c>
      <c r="K151" s="74" t="n">
        <f aca="false">K37-K35</f>
        <v>1907807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5802278</v>
      </c>
      <c r="C152" s="74" t="n">
        <f aca="false">C148</f>
        <v>5352604</v>
      </c>
      <c r="D152" s="74" t="n">
        <f aca="false">D148</f>
        <v>5519465</v>
      </c>
      <c r="E152" s="74" t="n">
        <f aca="false">E148</f>
        <v>6090005</v>
      </c>
      <c r="F152" s="74" t="n">
        <f aca="false">F148</f>
        <v>4677448</v>
      </c>
      <c r="G152" s="74" t="n">
        <f aca="false">G148</f>
        <v>5652101</v>
      </c>
      <c r="H152" s="74" t="n">
        <f aca="false">H148</f>
        <v>3824654</v>
      </c>
      <c r="I152" s="74" t="n">
        <f aca="false">I148</f>
        <v>3412943</v>
      </c>
      <c r="J152" s="74" t="n">
        <f aca="false">J148</f>
        <v>3655213</v>
      </c>
      <c r="K152" s="74" t="n">
        <f aca="false">K148</f>
        <v>3780981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0.410321084236226</v>
      </c>
      <c r="C153" s="78" t="n">
        <f aca="false">C151/C152</f>
        <v>0.538362075729869</v>
      </c>
      <c r="D153" s="78" t="n">
        <f aca="false">D151/D152</f>
        <v>0.485727511633827</v>
      </c>
      <c r="E153" s="78" t="n">
        <f aca="false">E151/E152</f>
        <v>0.509354425817384</v>
      </c>
      <c r="F153" s="78" t="n">
        <f aca="false">F151/F152</f>
        <v>0.534056605225756</v>
      </c>
      <c r="G153" s="78" t="n">
        <f aca="false">G151/G152</f>
        <v>0.486215479871998</v>
      </c>
      <c r="H153" s="78" t="n">
        <f aca="false">H151/H152</f>
        <v>0.543459356062013</v>
      </c>
      <c r="I153" s="78" t="n">
        <f aca="false">I151/I152</f>
        <v>0.616529487893586</v>
      </c>
      <c r="J153" s="78" t="n">
        <f aca="false">J151/J152</f>
        <v>0.589221202704193</v>
      </c>
      <c r="K153" s="78" t="n">
        <f aca="false">K151/K152</f>
        <v>0.504579896064011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5805695</v>
      </c>
      <c r="C155" s="74" t="n">
        <f aca="false">C48</f>
        <v>5656693</v>
      </c>
      <c r="D155" s="74" t="n">
        <f aca="false">D48</f>
        <v>5598523</v>
      </c>
      <c r="E155" s="74" t="n">
        <f aca="false">E48</f>
        <v>5469534</v>
      </c>
      <c r="F155" s="74" t="n">
        <f aca="false">F48</f>
        <v>5750122</v>
      </c>
      <c r="G155" s="74" t="n">
        <f aca="false">G48</f>
        <v>5550231</v>
      </c>
      <c r="H155" s="74" t="n">
        <f aca="false">H48</f>
        <v>5132809</v>
      </c>
      <c r="I155" s="74" t="n">
        <f aca="false">I48</f>
        <v>4504382</v>
      </c>
      <c r="J155" s="74" t="n">
        <f aca="false">J48</f>
        <v>4153441</v>
      </c>
      <c r="K155" s="74" t="n">
        <f aca="false">K48</f>
        <v>3619300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6962041</v>
      </c>
      <c r="C156" s="74" t="n">
        <f aca="false">C45+C20</f>
        <v>7881718</v>
      </c>
      <c r="D156" s="74" t="n">
        <f aca="false">D45+D20</f>
        <v>8850701</v>
      </c>
      <c r="E156" s="74" t="n">
        <f aca="false">E45+E20</f>
        <v>9041647</v>
      </c>
      <c r="F156" s="74" t="n">
        <f aca="false">F45+F20</f>
        <v>9484877</v>
      </c>
      <c r="G156" s="74" t="n">
        <f aca="false">G45+G20</f>
        <v>8373555</v>
      </c>
      <c r="H156" s="74" t="n">
        <f aca="false">H45+H20</f>
        <v>6044898</v>
      </c>
      <c r="I156" s="74" t="n">
        <f aca="false">I45+I20</f>
        <v>6279383</v>
      </c>
      <c r="J156" s="74" t="n">
        <f aca="false">J45+J20</f>
        <v>6690683</v>
      </c>
      <c r="K156" s="74" t="n">
        <f aca="false">K45+K20</f>
        <v>7218611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-1156346</v>
      </c>
      <c r="C157" s="78" t="n">
        <f aca="false">C155-C156</f>
        <v>-2225025</v>
      </c>
      <c r="D157" s="78" t="n">
        <f aca="false">D155-D156</f>
        <v>-3252178</v>
      </c>
      <c r="E157" s="78" t="n">
        <f aca="false">E155-E156</f>
        <v>-3572113</v>
      </c>
      <c r="F157" s="78" t="n">
        <f aca="false">F155-F156</f>
        <v>-3734755</v>
      </c>
      <c r="G157" s="78" t="n">
        <f aca="false">G155-G156</f>
        <v>-2823324</v>
      </c>
      <c r="H157" s="78" t="n">
        <f aca="false">H155-H156</f>
        <v>-912089</v>
      </c>
      <c r="I157" s="78" t="n">
        <f aca="false">I155-I156</f>
        <v>-1775001</v>
      </c>
      <c r="J157" s="78" t="n">
        <f aca="false">J155-J156</f>
        <v>-2537242</v>
      </c>
      <c r="K157" s="78" t="n">
        <f aca="false">K155-K156</f>
        <v>-3599311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5805695</v>
      </c>
      <c r="C159" s="74" t="n">
        <f aca="false">C155</f>
        <v>5656693</v>
      </c>
      <c r="D159" s="74" t="n">
        <f aca="false">D155</f>
        <v>5598523</v>
      </c>
      <c r="E159" s="74" t="n">
        <f aca="false">E155</f>
        <v>5469534</v>
      </c>
      <c r="F159" s="74" t="n">
        <f aca="false">F155</f>
        <v>5750122</v>
      </c>
      <c r="G159" s="74" t="n">
        <f aca="false">G155</f>
        <v>5550231</v>
      </c>
      <c r="H159" s="74" t="n">
        <f aca="false">H155</f>
        <v>5132809</v>
      </c>
      <c r="I159" s="74" t="n">
        <f aca="false">I155</f>
        <v>4504382</v>
      </c>
      <c r="J159" s="74" t="n">
        <f aca="false">J155</f>
        <v>4153441</v>
      </c>
      <c r="K159" s="74" t="n">
        <f aca="false">K155</f>
        <v>3619300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2561576</v>
      </c>
      <c r="C160" s="74" t="n">
        <f aca="false">C41+C22+C43</f>
        <v>3445729</v>
      </c>
      <c r="D160" s="74" t="n">
        <f aca="false">D41+D22+D43</f>
        <v>4317390</v>
      </c>
      <c r="E160" s="74" t="n">
        <f aca="false">E41+E22+E43</f>
        <v>4781783</v>
      </c>
      <c r="F160" s="74" t="n">
        <f aca="false">F41+F22+F43</f>
        <v>4208859</v>
      </c>
      <c r="G160" s="74" t="n">
        <f aca="false">G41+G22+G43</f>
        <v>2345694</v>
      </c>
      <c r="H160" s="74" t="n">
        <f aca="false">H41+H22+H43</f>
        <v>1929781</v>
      </c>
      <c r="I160" s="74" t="n">
        <f aca="false">I41+I22+I43</f>
        <v>2446428</v>
      </c>
      <c r="J160" s="74" t="n">
        <f aca="false">J41+J22+J43</f>
        <v>2958771</v>
      </c>
      <c r="K160" s="74" t="n">
        <f aca="false">K41+K22+K43</f>
        <v>3567216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6962041</v>
      </c>
      <c r="C161" s="74" t="n">
        <f aca="false">C156</f>
        <v>7881718</v>
      </c>
      <c r="D161" s="74" t="n">
        <f aca="false">D156</f>
        <v>8850701</v>
      </c>
      <c r="E161" s="74" t="n">
        <f aca="false">E156</f>
        <v>9041647</v>
      </c>
      <c r="F161" s="74" t="n">
        <f aca="false">F156</f>
        <v>9484877</v>
      </c>
      <c r="G161" s="74" t="n">
        <f aca="false">G156</f>
        <v>8373555</v>
      </c>
      <c r="H161" s="74" t="n">
        <f aca="false">H156</f>
        <v>6044898</v>
      </c>
      <c r="I161" s="74" t="n">
        <f aca="false">I156</f>
        <v>6279383</v>
      </c>
      <c r="J161" s="74" t="n">
        <f aca="false">J156</f>
        <v>6690683</v>
      </c>
      <c r="K161" s="74" t="n">
        <f aca="false">K156</f>
        <v>7218611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1405230</v>
      </c>
      <c r="C162" s="78" t="n">
        <f aca="false">C159+C160-C161</f>
        <v>1220704</v>
      </c>
      <c r="D162" s="78" t="n">
        <f aca="false">D159+D160-D161</f>
        <v>1065212</v>
      </c>
      <c r="E162" s="78" t="n">
        <f aca="false">E159+E160-E161</f>
        <v>1209670</v>
      </c>
      <c r="F162" s="78" t="n">
        <f aca="false">F159+F160-F161</f>
        <v>474104</v>
      </c>
      <c r="G162" s="78" t="n">
        <f aca="false">G159+G160-G161</f>
        <v>-477630</v>
      </c>
      <c r="H162" s="78" t="n">
        <f aca="false">H159+H160-H161</f>
        <v>1017692</v>
      </c>
      <c r="I162" s="78" t="n">
        <f aca="false">I159+I160-I161</f>
        <v>671427</v>
      </c>
      <c r="J162" s="78" t="n">
        <f aca="false">J159+J160-J161</f>
        <v>421529</v>
      </c>
      <c r="K162" s="78" t="n">
        <f aca="false">K159+K160-K161</f>
        <v>-32095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-1265346</v>
      </c>
      <c r="C167" s="74" t="n">
        <f aca="false">C16-C15</f>
        <v>-731343</v>
      </c>
      <c r="D167" s="74" t="n">
        <f aca="false">D16-D15</f>
        <v>384814</v>
      </c>
      <c r="E167" s="74" t="n">
        <f aca="false">E16-E15</f>
        <v>-422801</v>
      </c>
      <c r="F167" s="74" t="n">
        <f aca="false">F16-F15</f>
        <v>982686</v>
      </c>
      <c r="G167" s="74" t="n">
        <f aca="false">G16-G15</f>
        <v>2327880</v>
      </c>
      <c r="H167" s="74" t="n">
        <f aca="false">H16-H15</f>
        <v>-455256</v>
      </c>
      <c r="I167" s="74" t="n">
        <f aca="false">I16-I15</f>
        <v>-287570</v>
      </c>
      <c r="J167" s="74" t="n">
        <f aca="false">J16-J15</f>
        <v>-709113</v>
      </c>
      <c r="K167" s="74" t="n">
        <f aca="false">K16-K15</f>
        <v>8209866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9299163</v>
      </c>
      <c r="C168" s="74" t="n">
        <f aca="false">C15</f>
        <v>10030506</v>
      </c>
      <c r="D168" s="74" t="n">
        <f aca="false">D15</f>
        <v>9645692</v>
      </c>
      <c r="E168" s="74" t="n">
        <f aca="false">E15</f>
        <v>10068493</v>
      </c>
      <c r="F168" s="74" t="n">
        <f aca="false">F15</f>
        <v>9085807</v>
      </c>
      <c r="G168" s="74" t="n">
        <f aca="false">G15</f>
        <v>6757927</v>
      </c>
      <c r="H168" s="74" t="n">
        <f aca="false">H15</f>
        <v>7213183</v>
      </c>
      <c r="I168" s="74" t="n">
        <f aca="false">I15</f>
        <v>7500753</v>
      </c>
      <c r="J168" s="74" t="n">
        <f aca="false">J15</f>
        <v>8209866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-0.136070956063465</v>
      </c>
      <c r="C169" s="78" t="n">
        <f aca="false">C167/C168</f>
        <v>-0.0729118750340212</v>
      </c>
      <c r="D169" s="78" t="n">
        <f aca="false">D167/D168</f>
        <v>0.0398949085249664</v>
      </c>
      <c r="E169" s="78" t="n">
        <f aca="false">E167/E168</f>
        <v>-0.0419924809005677</v>
      </c>
      <c r="F169" s="78" t="n">
        <f aca="false">F167/F168</f>
        <v>0.108156160481947</v>
      </c>
      <c r="G169" s="78" t="n">
        <f aca="false">G167/G168</f>
        <v>0.344466579766251</v>
      </c>
      <c r="H169" s="78" t="n">
        <f aca="false">H167/H168</f>
        <v>-0.0631144392149762</v>
      </c>
      <c r="I169" s="78" t="n">
        <f aca="false">I167/I168</f>
        <v>-0.0383388174493948</v>
      </c>
      <c r="J169" s="78" t="n">
        <f aca="false">J167/J168</f>
        <v>-0.0863732733274818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149002</v>
      </c>
      <c r="C171" s="74" t="n">
        <f aca="false">C48-C47</f>
        <v>58170</v>
      </c>
      <c r="D171" s="74" t="n">
        <f aca="false">D48-D47</f>
        <v>128989</v>
      </c>
      <c r="E171" s="74" t="n">
        <f aca="false">E48-E47</f>
        <v>-280588</v>
      </c>
      <c r="F171" s="74" t="n">
        <f aca="false">F48-F47</f>
        <v>199891</v>
      </c>
      <c r="G171" s="74" t="n">
        <f aca="false">G48-G47</f>
        <v>417422</v>
      </c>
      <c r="H171" s="74" t="n">
        <f aca="false">H48-H47</f>
        <v>628427</v>
      </c>
      <c r="I171" s="74" t="n">
        <f aca="false">I48-I47</f>
        <v>350941</v>
      </c>
      <c r="J171" s="74" t="n">
        <f aca="false">J48-J47</f>
        <v>534141</v>
      </c>
      <c r="K171" s="74" t="n">
        <f aca="false">K48-K47</f>
        <v>3619300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5656693</v>
      </c>
      <c r="C172" s="74" t="n">
        <f aca="false">C47</f>
        <v>5598523</v>
      </c>
      <c r="D172" s="74" t="n">
        <f aca="false">D47</f>
        <v>5469534</v>
      </c>
      <c r="E172" s="74" t="n">
        <f aca="false">E47</f>
        <v>5750122</v>
      </c>
      <c r="F172" s="74" t="n">
        <f aca="false">F47</f>
        <v>5550231</v>
      </c>
      <c r="G172" s="74" t="n">
        <f aca="false">G47</f>
        <v>5132809</v>
      </c>
      <c r="H172" s="74" t="n">
        <f aca="false">H47</f>
        <v>4504382</v>
      </c>
      <c r="I172" s="74" t="n">
        <f aca="false">I47</f>
        <v>4153441</v>
      </c>
      <c r="J172" s="74" t="n">
        <f aca="false">J47</f>
        <v>3619300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0.0263408320020196</v>
      </c>
      <c r="C173" s="78" t="n">
        <f aca="false">C171/C172</f>
        <v>0.0103902404259123</v>
      </c>
      <c r="D173" s="78" t="n">
        <f aca="false">D171/D172</f>
        <v>0.023583179115442</v>
      </c>
      <c r="E173" s="78" t="n">
        <f aca="false">E171/E172</f>
        <v>-0.0487968777010296</v>
      </c>
      <c r="F173" s="78" t="n">
        <f aca="false">F171/F172</f>
        <v>0.0360148973979642</v>
      </c>
      <c r="G173" s="78" t="n">
        <f aca="false">G171/G172</f>
        <v>0.0813242807203619</v>
      </c>
      <c r="H173" s="78" t="n">
        <f aca="false">H171/H172</f>
        <v>0.139514588238742</v>
      </c>
      <c r="I173" s="78" t="n">
        <f aca="false">I171/I172</f>
        <v>0.0844940375943706</v>
      </c>
      <c r="J173" s="78" t="n">
        <f aca="false">J171/J172</f>
        <v>0.14758130025143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-1414348</v>
      </c>
      <c r="C175" s="74" t="n">
        <f aca="false">C167-C171</f>
        <v>-789513</v>
      </c>
      <c r="D175" s="74" t="n">
        <f aca="false">D167-D171</f>
        <v>255825</v>
      </c>
      <c r="E175" s="74" t="n">
        <f aca="false">E167-E171</f>
        <v>-142213</v>
      </c>
      <c r="F175" s="74" t="n">
        <f aca="false">F167-F171</f>
        <v>782795</v>
      </c>
      <c r="G175" s="74" t="n">
        <f aca="false">G167-G171</f>
        <v>1910458</v>
      </c>
      <c r="H175" s="74" t="n">
        <f aca="false">H167-H171</f>
        <v>-1083683</v>
      </c>
      <c r="I175" s="74" t="n">
        <f aca="false">I167-I171</f>
        <v>-638511</v>
      </c>
      <c r="J175" s="74" t="n">
        <f aca="false">J167-J171</f>
        <v>-1243254</v>
      </c>
      <c r="K175" s="74" t="n">
        <f aca="false">K167-K171</f>
        <v>4590566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-1414348</v>
      </c>
      <c r="C177" s="74" t="n">
        <f aca="false">C175</f>
        <v>-789513</v>
      </c>
      <c r="D177" s="74" t="n">
        <f aca="false">D175</f>
        <v>255825</v>
      </c>
      <c r="E177" s="74" t="n">
        <f aca="false">E175</f>
        <v>-142213</v>
      </c>
      <c r="F177" s="74" t="n">
        <f aca="false">F175</f>
        <v>782795</v>
      </c>
      <c r="G177" s="74" t="n">
        <f aca="false">G175</f>
        <v>1910458</v>
      </c>
      <c r="H177" s="74" t="n">
        <f aca="false">H175</f>
        <v>-1083683</v>
      </c>
      <c r="I177" s="74" t="n">
        <f aca="false">I175</f>
        <v>-638511</v>
      </c>
      <c r="J177" s="74" t="n">
        <f aca="false">J175</f>
        <v>-1243254</v>
      </c>
      <c r="K177" s="74" t="n">
        <f aca="false">K175</f>
        <v>4590566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149002</v>
      </c>
      <c r="C178" s="74" t="n">
        <f aca="false">C171</f>
        <v>58170</v>
      </c>
      <c r="D178" s="74" t="n">
        <f aca="false">D171</f>
        <v>128989</v>
      </c>
      <c r="E178" s="74" t="n">
        <f aca="false">E171</f>
        <v>-280588</v>
      </c>
      <c r="F178" s="74" t="n">
        <f aca="false">F171</f>
        <v>199891</v>
      </c>
      <c r="G178" s="74" t="n">
        <f aca="false">G171</f>
        <v>417422</v>
      </c>
      <c r="H178" s="74" t="n">
        <f aca="false">H171</f>
        <v>628427</v>
      </c>
      <c r="I178" s="74" t="n">
        <f aca="false">I171</f>
        <v>350941</v>
      </c>
      <c r="J178" s="74" t="n">
        <f aca="false">J171</f>
        <v>534141</v>
      </c>
      <c r="K178" s="74" t="n">
        <f aca="false">K171</f>
        <v>3619300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-9.49214104508664</v>
      </c>
      <c r="C179" s="78" t="n">
        <f aca="false">C177/C178</f>
        <v>-13.5725116039195</v>
      </c>
      <c r="D179" s="78" t="n">
        <f aca="false">D177/D178</f>
        <v>1.98330865422633</v>
      </c>
      <c r="E179" s="78" t="n">
        <f aca="false">E177/E178</f>
        <v>0.506839209089484</v>
      </c>
      <c r="F179" s="78" t="n">
        <f aca="false">F177/F178</f>
        <v>3.91610927955736</v>
      </c>
      <c r="G179" s="78" t="n">
        <f aca="false">G177/G178</f>
        <v>4.57680237265884</v>
      </c>
      <c r="H179" s="78" t="n">
        <f aca="false">H177/H178</f>
        <v>-1.72443736504001</v>
      </c>
      <c r="I179" s="78" t="n">
        <f aca="false">I177/I178</f>
        <v>-1.8194254874751</v>
      </c>
      <c r="J179" s="78" t="n">
        <f aca="false">J177/J178</f>
        <v>-2.3275764264492</v>
      </c>
      <c r="K179" s="78" t="n">
        <f aca="false">K177/K178</f>
        <v>1.26835741718012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-0.162411788065485</v>
      </c>
      <c r="C181" s="74" t="n">
        <f aca="false">C169-C173</f>
        <v>-0.0833021154599336</v>
      </c>
      <c r="D181" s="74" t="n">
        <f aca="false">D169-D173</f>
        <v>0.0163117294095244</v>
      </c>
      <c r="E181" s="74" t="n">
        <f aca="false">E169-E173</f>
        <v>0.0068043968004619</v>
      </c>
      <c r="F181" s="74" t="n">
        <f aca="false">F169-F173</f>
        <v>0.0721412630839831</v>
      </c>
      <c r="G181" s="74" t="n">
        <f aca="false">G169-G173</f>
        <v>0.263142299045889</v>
      </c>
      <c r="H181" s="74" t="n">
        <f aca="false">H169-H173</f>
        <v>-0.202629027453718</v>
      </c>
      <c r="I181" s="74" t="n">
        <f aca="false">I169-I173</f>
        <v>-0.122832855043765</v>
      </c>
      <c r="J181" s="74" t="n">
        <f aca="false">J169-J173</f>
        <v>-0.233954573578912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0.00120949652293415</v>
      </c>
      <c r="C185" s="74" t="n">
        <f aca="false">(C7-C8)/C8</f>
        <v>-0.0359152420146591</v>
      </c>
      <c r="D185" s="74" t="n">
        <f aca="false">(D7-D8)/D8</f>
        <v>0.113100171239023</v>
      </c>
      <c r="E185" s="74" t="n">
        <f aca="false">(E7-E8)/E8</f>
        <v>0.153152794349662</v>
      </c>
      <c r="F185" s="74" t="n">
        <f aca="false">(F7-F8)/F8</f>
        <v>-4.23243568474289E-005</v>
      </c>
      <c r="G185" s="74" t="n">
        <f aca="false">(G7-G8)/G8</f>
        <v>0.0540871949856331</v>
      </c>
      <c r="H185" s="74" t="n">
        <f aca="false">(H7-H8)/H8</f>
        <v>0.069576325726395</v>
      </c>
      <c r="I185" s="74" t="n">
        <f aca="false">(I7-I8)/I8</f>
        <v>0.0147491418378174</v>
      </c>
      <c r="J185" s="74" t="n">
        <f aca="false">(J7-J8)/J8</f>
        <v>0.0407997052799301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-66.0203485338621</v>
      </c>
      <c r="C186" s="74" t="n">
        <f aca="false">C167/(C7-C8)</f>
        <v>1.23888407044267</v>
      </c>
      <c r="D186" s="74" t="n">
        <f aca="false">D167/(D7-D8)</f>
        <v>0.230414713432126</v>
      </c>
      <c r="E186" s="74" t="n">
        <f aca="false">E167/(E7-E8)</f>
        <v>-0.215585994286067</v>
      </c>
      <c r="F186" s="74" t="n">
        <f aca="false">F167/(F7-F8)</f>
        <v>-1813.07380073801</v>
      </c>
      <c r="G186" s="74" t="n">
        <f aca="false">G167/(G7-G8)</f>
        <v>3.54269486967598</v>
      </c>
      <c r="H186" s="74" t="n">
        <f aca="false">H167/(H7-H8)</f>
        <v>-0.576067783398837</v>
      </c>
      <c r="I186" s="74" t="n">
        <f aca="false">I167/(I7-I8)</f>
        <v>-1.7418667054327</v>
      </c>
      <c r="J186" s="74" t="n">
        <f aca="false">J167/(J7-J8)</f>
        <v>-1.61608304750618</v>
      </c>
      <c r="K186" s="74" t="n">
        <f aca="false">K167/(K7-K8)</f>
        <v>0.76338095693271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1.70405261204691</v>
      </c>
      <c r="C187" s="74" t="n">
        <f aca="false">C8/C15</f>
        <v>1.6386598044007</v>
      </c>
      <c r="D187" s="74" t="n">
        <f aca="false">D8/D15</f>
        <v>1.53089005952087</v>
      </c>
      <c r="E187" s="74" t="n">
        <f aca="false">E8/E15</f>
        <v>1.27182121495243</v>
      </c>
      <c r="F187" s="74" t="n">
        <f aca="false">F8/F15</f>
        <v>1.40943616786049</v>
      </c>
      <c r="G187" s="74" t="n">
        <f aca="false">G8/G15</f>
        <v>1.79770690035569</v>
      </c>
      <c r="H187" s="74" t="n">
        <f aca="false">H8/H15</f>
        <v>1.57468485133401</v>
      </c>
      <c r="I187" s="74" t="n">
        <f aca="false">I8/I15</f>
        <v>1.49230310610148</v>
      </c>
      <c r="J187" s="74" t="n">
        <f aca="false">J8/J15</f>
        <v>1.30996194091353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-0.136070956063465</v>
      </c>
      <c r="C188" s="78" t="n">
        <f aca="false">C185*C186*C187</f>
        <v>-0.0729118750340212</v>
      </c>
      <c r="D188" s="78" t="n">
        <f aca="false">D185*D186*D187</f>
        <v>0.0398949085249664</v>
      </c>
      <c r="E188" s="78" t="n">
        <f aca="false">E185*E186*E187</f>
        <v>-0.0419924809005677</v>
      </c>
      <c r="F188" s="78" t="n">
        <f aca="false">F185*F186*F187</f>
        <v>0.108156160481947</v>
      </c>
      <c r="G188" s="78" t="n">
        <f aca="false">G185*G186*G187</f>
        <v>0.344466579766251</v>
      </c>
      <c r="H188" s="78" t="n">
        <f aca="false">H185*H186*H187</f>
        <v>-0.0631144392149762</v>
      </c>
      <c r="I188" s="78" t="n">
        <f aca="false">I185*I186*I187</f>
        <v>-0.0383388174493948</v>
      </c>
      <c r="J188" s="78" t="n">
        <f aca="false">J185*J186*J187</f>
        <v>-0.0863732733274818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-0.136070956063465</v>
      </c>
      <c r="C189" s="74" t="n">
        <f aca="false">C167/C168</f>
        <v>-0.0729118750340212</v>
      </c>
      <c r="D189" s="74" t="n">
        <f aca="false">D167/D168</f>
        <v>0.0398949085249664</v>
      </c>
      <c r="E189" s="74" t="n">
        <f aca="false">E167/E168</f>
        <v>-0.0419924809005677</v>
      </c>
      <c r="F189" s="74" t="n">
        <f aca="false">F167/F168</f>
        <v>0.108156160481947</v>
      </c>
      <c r="G189" s="74" t="n">
        <f aca="false">G167/G168</f>
        <v>0.344466579766251</v>
      </c>
      <c r="H189" s="74" t="n">
        <f aca="false">H167/H168</f>
        <v>-0.0631144392149762</v>
      </c>
      <c r="I189" s="74" t="n">
        <f aca="false">I167/I168</f>
        <v>-0.0383388174493948</v>
      </c>
      <c r="J189" s="74" t="n">
        <f aca="false">J167/J168</f>
        <v>-0.0863732733274818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0.0263403016568161</v>
      </c>
      <c r="C193" s="74" t="n">
        <f aca="false">C6/C47</f>
        <v>0.0103904190444515</v>
      </c>
      <c r="D193" s="74" t="n">
        <f aca="false">D6/D47</f>
        <v>0.0235828134535776</v>
      </c>
      <c r="E193" s="74" t="n">
        <f aca="false">E6/E47</f>
        <v>-0.0487970516103832</v>
      </c>
      <c r="F193" s="74" t="n">
        <f aca="false">F6/F47</f>
        <v>-0.138451714892587</v>
      </c>
      <c r="G193" s="74" t="n">
        <f aca="false">G6/G47</f>
        <v>0.0813240858952671</v>
      </c>
      <c r="H193" s="74" t="n">
        <f aca="false">H6/H47</f>
        <v>0.139514588238742</v>
      </c>
      <c r="I193" s="74" t="n">
        <f aca="false">I6/I47</f>
        <v>0.0844940375943706</v>
      </c>
      <c r="J193" s="74" t="n">
        <f aca="false">J6/J47</f>
        <v>0.14758130025143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-2.01343633178746E-005</v>
      </c>
      <c r="C194" s="74" t="n">
        <f aca="false">C49/C6</f>
        <v>1.7190696395111E-005</v>
      </c>
      <c r="D194" s="74" t="n">
        <f aca="false">D49/D6</f>
        <v>-1.55054385325653E-005</v>
      </c>
      <c r="E194" s="74" t="n">
        <f aca="false">E49/E6</f>
        <v>3.56393158676926E-006</v>
      </c>
      <c r="F194" s="74" t="n">
        <f aca="false">F49/F6</f>
        <v>-3.90401840614545E-006</v>
      </c>
      <c r="G194" s="74" t="n">
        <f aca="false">G49/G6</f>
        <v>-2.3956628919005E-006</v>
      </c>
      <c r="H194" s="74" t="n">
        <f aca="false">H49/H6</f>
        <v>0</v>
      </c>
      <c r="I194" s="74" t="n">
        <f aca="false">I49/I6</f>
        <v>0</v>
      </c>
      <c r="J194" s="74" t="n">
        <f aca="false">J49/J6</f>
        <v>0</v>
      </c>
      <c r="K194" s="74" t="n">
        <f aca="false">K49/K6</f>
        <v>-3.35134469527974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0.0263408320020196</v>
      </c>
      <c r="C195" s="74" t="n">
        <f aca="false">C193*(1-C194)</f>
        <v>0.0103902404259123</v>
      </c>
      <c r="D195" s="74" t="n">
        <f aca="false">D193*(1-D194)</f>
        <v>0.023583179115442</v>
      </c>
      <c r="E195" s="74" t="n">
        <f aca="false">E193*(1-E194)</f>
        <v>-0.0487968777010297</v>
      </c>
      <c r="F195" s="74" t="n">
        <f aca="false">F193*(1-F194)</f>
        <v>-0.138452255410631</v>
      </c>
      <c r="G195" s="74" t="n">
        <f aca="false">G193*(1-G194)</f>
        <v>0.0813242807203619</v>
      </c>
      <c r="H195" s="74" t="n">
        <f aca="false">H193*(1-H194)</f>
        <v>0.139514588238742</v>
      </c>
      <c r="I195" s="74" t="n">
        <f aca="false">I193*(1-I194)</f>
        <v>0.0844940375943706</v>
      </c>
      <c r="J195" s="74" t="n">
        <f aca="false">J193*(1-J194)</f>
        <v>0.14758130025143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0</v>
      </c>
      <c r="C196" s="74" t="n">
        <f aca="false">C50/C6</f>
        <v>0</v>
      </c>
      <c r="D196" s="74" t="n">
        <f aca="false">D50/D6</f>
        <v>0</v>
      </c>
      <c r="E196" s="74" t="n">
        <f aca="false">E50/E6</f>
        <v>-0</v>
      </c>
      <c r="F196" s="74" t="n">
        <f aca="false">F50/F6</f>
        <v>-0</v>
      </c>
      <c r="G196" s="74" t="n">
        <f aca="false">G50/G6</f>
        <v>0</v>
      </c>
      <c r="H196" s="74" t="n">
        <f aca="false">H50/H6</f>
        <v>0</v>
      </c>
      <c r="I196" s="74" t="n">
        <f aca="false">I50/I6</f>
        <v>0</v>
      </c>
      <c r="J196" s="74" t="n">
        <f aca="false">J50/J6</f>
        <v>0</v>
      </c>
      <c r="K196" s="74" t="n">
        <f aca="false">K50/K6</f>
        <v>0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0.0263408320020196</v>
      </c>
      <c r="C197" s="78" t="n">
        <f aca="false">C193*(1-C194+C196)</f>
        <v>0.0103902404259123</v>
      </c>
      <c r="D197" s="78" t="n">
        <f aca="false">D193*(1-D194+D196)</f>
        <v>0.023583179115442</v>
      </c>
      <c r="E197" s="78" t="n">
        <f aca="false">E193*(1-E194+E196)</f>
        <v>-0.0487968777010297</v>
      </c>
      <c r="F197" s="78" t="n">
        <f aca="false">F193*(1-F194+F196)</f>
        <v>-0.138452255410631</v>
      </c>
      <c r="G197" s="78" t="n">
        <f aca="false">G193*(1-G194+G196)</f>
        <v>0.0813242807203619</v>
      </c>
      <c r="H197" s="78" t="n">
        <f aca="false">H193*(1-H194+H196)</f>
        <v>0.139514588238742</v>
      </c>
      <c r="I197" s="78" t="n">
        <f aca="false">I193*(1-I194+I196)</f>
        <v>0.0844940375943706</v>
      </c>
      <c r="J197" s="78" t="n">
        <f aca="false">J193*(1-J194+J196)</f>
        <v>0.14758130025143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0.0263408320020196</v>
      </c>
      <c r="C198" s="74" t="n">
        <f aca="false">C173</f>
        <v>0.0103902404259123</v>
      </c>
      <c r="D198" s="74" t="n">
        <f aca="false">D173</f>
        <v>0.023583179115442</v>
      </c>
      <c r="E198" s="74" t="n">
        <f aca="false">E173</f>
        <v>-0.0487968777010296</v>
      </c>
      <c r="F198" s="74" t="n">
        <f aca="false">F173</f>
        <v>0.0360148973979642</v>
      </c>
      <c r="G198" s="74" t="n">
        <f aca="false">G173</f>
        <v>0.0813242807203619</v>
      </c>
      <c r="H198" s="74" t="n">
        <f aca="false">H173</f>
        <v>0.139514588238742</v>
      </c>
      <c r="I198" s="74" t="n">
        <f aca="false">I173</f>
        <v>0.0844940375943706</v>
      </c>
      <c r="J198" s="74" t="n">
        <f aca="false">J173</f>
        <v>0.14758130025143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</v>
      </c>
      <c r="C199" s="74" t="n">
        <f aca="false">C197-C198</f>
        <v>0</v>
      </c>
      <c r="D199" s="74" t="n">
        <f aca="false">D197-D198</f>
        <v>0</v>
      </c>
      <c r="E199" s="74" t="n">
        <f aca="false">E197-E198</f>
        <v>0</v>
      </c>
      <c r="F199" s="74" t="n">
        <f aca="false">F197-F198</f>
        <v>-0.174467152808595</v>
      </c>
      <c r="G199" s="74" t="n">
        <f aca="false">G197-G198</f>
        <v>0</v>
      </c>
      <c r="H199" s="74" t="n">
        <f aca="false">H197-H198</f>
        <v>0</v>
      </c>
      <c r="I199" s="74" t="n">
        <f aca="false">I197-I198</f>
        <v>0</v>
      </c>
      <c r="J199" s="74" t="n">
        <f aca="false">J197-J198</f>
        <v>0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3097038</v>
      </c>
      <c r="C202" s="74" t="n">
        <f aca="false">C24</f>
        <v>4201468.5</v>
      </c>
      <c r="D202" s="74" t="n">
        <f aca="false">D24</f>
        <v>4471172.5</v>
      </c>
      <c r="E202" s="74" t="n">
        <f aca="false">E24</f>
        <v>4414726.5</v>
      </c>
      <c r="F202" s="74" t="n">
        <f aca="false">F24</f>
        <v>4094500</v>
      </c>
      <c r="G202" s="74" t="n">
        <f aca="false">G24</f>
        <v>2747938</v>
      </c>
      <c r="H202" s="74" t="n">
        <f aca="false">H24</f>
        <v>2334550.5</v>
      </c>
      <c r="I202" s="74" t="n">
        <f aca="false">I24</f>
        <v>3195647.5</v>
      </c>
      <c r="J202" s="74" t="n">
        <f aca="false">J24</f>
        <v>3921609</v>
      </c>
      <c r="K202" s="74" t="n">
        <f aca="false">K24</f>
        <v>4328315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5805695</v>
      </c>
      <c r="C203" s="74" t="n">
        <f aca="false">C48</f>
        <v>5656693</v>
      </c>
      <c r="D203" s="74" t="n">
        <f aca="false">D48</f>
        <v>5598523</v>
      </c>
      <c r="E203" s="74" t="n">
        <f aca="false">E48</f>
        <v>5469534</v>
      </c>
      <c r="F203" s="74" t="n">
        <f aca="false">F48</f>
        <v>5750122</v>
      </c>
      <c r="G203" s="74" t="n">
        <f aca="false">G48</f>
        <v>5550231</v>
      </c>
      <c r="H203" s="74" t="n">
        <f aca="false">H48</f>
        <v>5132809</v>
      </c>
      <c r="I203" s="74" t="n">
        <f aca="false">I48</f>
        <v>4504382</v>
      </c>
      <c r="J203" s="74" t="n">
        <f aca="false">J48</f>
        <v>4153441</v>
      </c>
      <c r="K203" s="74" t="n">
        <f aca="false">K48</f>
        <v>3619300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0.533448277940884</v>
      </c>
      <c r="C204" s="78" t="n">
        <f aca="false">C202/C203</f>
        <v>0.742742888822144</v>
      </c>
      <c r="D204" s="78" t="n">
        <f aca="false">D202/D203</f>
        <v>0.798634300511045</v>
      </c>
      <c r="E204" s="78" t="n">
        <f aca="false">E202/E203</f>
        <v>0.807148561467942</v>
      </c>
      <c r="F204" s="78" t="n">
        <f aca="false">F202/F203</f>
        <v>0.712071848214699</v>
      </c>
      <c r="G204" s="78" t="n">
        <f aca="false">G202/G203</f>
        <v>0.495103356959377</v>
      </c>
      <c r="H204" s="78" t="n">
        <f aca="false">H202/H203</f>
        <v>0.454829022470932</v>
      </c>
      <c r="I204" s="78" t="n">
        <f aca="false">I202/I203</f>
        <v>0.709453039284856</v>
      </c>
      <c r="J204" s="78" t="n">
        <f aca="false">J202/J203</f>
        <v>0.944183148382269</v>
      </c>
      <c r="K204" s="78" t="n">
        <f aca="false">K202/K203</f>
        <v>1.19589837813942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-0.24361389980011</v>
      </c>
      <c r="C206" s="74" t="n">
        <f aca="false">C175/C48</f>
        <v>-0.139571477539969</v>
      </c>
      <c r="D206" s="74" t="n">
        <f aca="false">D175/D48</f>
        <v>0.0456950877936913</v>
      </c>
      <c r="E206" s="74" t="n">
        <f aca="false">E175/E48</f>
        <v>-0.0260009353630492</v>
      </c>
      <c r="F206" s="74" t="n">
        <f aca="false">F175/F48</f>
        <v>0.136135372432098</v>
      </c>
      <c r="G206" s="74" t="n">
        <f aca="false">G175/G48</f>
        <v>0.344212339990894</v>
      </c>
      <c r="H206" s="74" t="n">
        <f aca="false">H175/H48</f>
        <v>-0.21112864320492</v>
      </c>
      <c r="I206" s="74" t="n">
        <f aca="false">I175/I48</f>
        <v>-0.141753297122669</v>
      </c>
      <c r="J206" s="74" t="n">
        <f aca="false">J175/J48</f>
        <v>-0.299331084755989</v>
      </c>
      <c r="K206" s="74" t="n">
        <f aca="false">K175/K48</f>
        <v>1.26835741718012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-0.162411788065485</v>
      </c>
      <c r="C207" s="74" t="n">
        <f aca="false">C169-C173</f>
        <v>-0.0833021154599336</v>
      </c>
      <c r="D207" s="74" t="n">
        <f aca="false">D169-D173</f>
        <v>0.0163117294095244</v>
      </c>
      <c r="E207" s="74" t="n">
        <f aca="false">E169-E173</f>
        <v>0.0068043968004619</v>
      </c>
      <c r="F207" s="74" t="n">
        <f aca="false">F169-F173</f>
        <v>0.0721412630839831</v>
      </c>
      <c r="G207" s="74" t="n">
        <f aca="false">G169-G173</f>
        <v>0.263142299045889</v>
      </c>
      <c r="H207" s="74" t="n">
        <f aca="false">H169-H173</f>
        <v>-0.202629027453718</v>
      </c>
      <c r="I207" s="74" t="n">
        <f aca="false">I169-I173</f>
        <v>-0.122832855043765</v>
      </c>
      <c r="J207" s="74" t="n">
        <f aca="false">J169-J173</f>
        <v>-0.233954573578912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0</v>
      </c>
      <c r="C210" s="74" t="n">
        <f aca="false">RC!C94-RC!D94</f>
        <v>-5000</v>
      </c>
      <c r="D210" s="74" t="n">
        <f aca="false">RC!D94-RC!E94</f>
        <v>-720</v>
      </c>
      <c r="E210" s="74" t="n">
        <f aca="false">RC!E94-RC!F94</f>
        <v>0</v>
      </c>
      <c r="F210" s="74" t="n">
        <f aca="false">RC!F94-RC!G94</f>
        <v>-129</v>
      </c>
      <c r="G210" s="74" t="n">
        <f aca="false">RC!G94-RC!H94</f>
        <v>0</v>
      </c>
      <c r="H210" s="74" t="n">
        <f aca="false">RC!H94-RC!I94</f>
        <v>0</v>
      </c>
      <c r="I210" s="74" t="n">
        <f aca="false">RC!I94-RC!J94</f>
        <v>0</v>
      </c>
      <c r="J210" s="74" t="n">
        <f aca="false">RC!J94-RC!K94</f>
        <v>-81096</v>
      </c>
      <c r="K210" s="74" t="n">
        <f aca="false">RC!K94-RC!L94</f>
        <v>248687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161742</v>
      </c>
      <c r="C211" s="74" t="n">
        <f aca="false">RC!D94</f>
        <v>166742</v>
      </c>
      <c r="D211" s="74" t="n">
        <f aca="false">RC!E94</f>
        <v>167462</v>
      </c>
      <c r="E211" s="74" t="n">
        <f aca="false">RC!F94</f>
        <v>167462</v>
      </c>
      <c r="F211" s="74" t="n">
        <f aca="false">RC!G94</f>
        <v>167591</v>
      </c>
      <c r="G211" s="74" t="n">
        <f aca="false">RC!H94</f>
        <v>167591</v>
      </c>
      <c r="H211" s="74" t="n">
        <f aca="false">RC!I94</f>
        <v>167591</v>
      </c>
      <c r="I211" s="74" t="n">
        <f aca="false">RC!J94</f>
        <v>167591</v>
      </c>
      <c r="J211" s="74" t="n">
        <f aca="false">RC!K94</f>
        <v>248687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n">
        <f aca="false">(RC!B94-RC!C94)/RC!C94</f>
        <v>0</v>
      </c>
      <c r="C212" s="78" t="n">
        <f aca="false">(RC!C94-RC!D94)/RC!D94</f>
        <v>-0.0299864461263509</v>
      </c>
      <c r="D212" s="78" t="n">
        <f aca="false">(RC!D94-RC!E94)/RC!E94</f>
        <v>-0.00429948286775507</v>
      </c>
      <c r="E212" s="78" t="n">
        <f aca="false">(RC!E94-RC!F94)/RC!F94</f>
        <v>0</v>
      </c>
      <c r="F212" s="78" t="n">
        <f aca="false">(RC!F94-RC!G94)/RC!G94</f>
        <v>-0.000769731071477585</v>
      </c>
      <c r="G212" s="78" t="n">
        <f aca="false">(RC!G94-RC!H94)/RC!H94</f>
        <v>0</v>
      </c>
      <c r="H212" s="78" t="n">
        <f aca="false">(RC!H94-RC!I94)/RC!I94</f>
        <v>0</v>
      </c>
      <c r="I212" s="78" t="n">
        <f aca="false">(RC!I94-RC!J94)/RC!J94</f>
        <v>0</v>
      </c>
      <c r="J212" s="78" t="n">
        <f aca="false">(RC!J94-RC!K94)/RC!K94</f>
        <v>-0.326096659656516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288490</v>
      </c>
      <c r="C217" s="74" t="n">
        <f aca="false">C4</f>
        <v>208893</v>
      </c>
      <c r="D217" s="74" t="n">
        <f aca="false">D4</f>
        <v>188799</v>
      </c>
      <c r="E217" s="74" t="n">
        <f aca="false">E4</f>
        <v>-259260</v>
      </c>
      <c r="F217" s="74" t="n">
        <f aca="false">F4</f>
        <v>-763231</v>
      </c>
      <c r="G217" s="74" t="n">
        <f aca="false">G4</f>
        <v>532584</v>
      </c>
      <c r="H217" s="74" t="n">
        <f aca="false">H4</f>
        <v>819711</v>
      </c>
      <c r="I217" s="74" t="n">
        <f aca="false">I4</f>
        <v>557134</v>
      </c>
      <c r="J217" s="74" t="n">
        <f aca="false">J4</f>
        <v>868342</v>
      </c>
      <c r="K217" s="74" t="n">
        <f aca="false">K4</f>
        <v>679699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153139</v>
      </c>
      <c r="C218" s="74" t="n">
        <f aca="false">-C27</f>
        <v>152576</v>
      </c>
      <c r="D218" s="74" t="n">
        <f aca="false">-D27</f>
        <v>100916</v>
      </c>
      <c r="E218" s="74" t="n">
        <f aca="false">-E27</f>
        <v>71120</v>
      </c>
      <c r="F218" s="74" t="n">
        <f aca="false">-F27</f>
        <v>71239</v>
      </c>
      <c r="G218" s="74" t="n">
        <f aca="false">-G27</f>
        <v>52555</v>
      </c>
      <c r="H218" s="74" t="n">
        <f aca="false">-H27</f>
        <v>44139</v>
      </c>
      <c r="I218" s="74" t="n">
        <f aca="false">-I27</f>
        <v>79988</v>
      </c>
      <c r="J218" s="74" t="n">
        <f aca="false">-J27</f>
        <v>110173</v>
      </c>
      <c r="K218" s="74" t="n">
        <f aca="false">-K27</f>
        <v>277863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1.88384408935673</v>
      </c>
      <c r="C219" s="78" t="n">
        <f aca="false">C217/C218</f>
        <v>1.36910785444631</v>
      </c>
      <c r="D219" s="78" t="n">
        <f aca="false">D217/D218</f>
        <v>1.87085298664236</v>
      </c>
      <c r="E219" s="78" t="n">
        <f aca="false">E217/E218</f>
        <v>-3.64538807649044</v>
      </c>
      <c r="F219" s="78" t="n">
        <f aca="false">F217/F218</f>
        <v>-10.7136680750712</v>
      </c>
      <c r="G219" s="78" t="n">
        <f aca="false">G217/G218</f>
        <v>10.1338407382742</v>
      </c>
      <c r="H219" s="78" t="n">
        <f aca="false">H217/H218</f>
        <v>18.5711275742541</v>
      </c>
      <c r="I219" s="78" t="n">
        <f aca="false">I217/I218</f>
        <v>6.96521978296745</v>
      </c>
      <c r="J219" s="78" t="n">
        <f aca="false">J217/J218</f>
        <v>7.8816225390976</v>
      </c>
      <c r="K219" s="78" t="n">
        <f aca="false">K217/K218</f>
        <v>2.44616591629688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3097038</v>
      </c>
      <c r="C221" s="74" t="n">
        <f aca="false">C25</f>
        <v>4201468.5</v>
      </c>
      <c r="D221" s="74" t="n">
        <f aca="false">D25</f>
        <v>4471172.5</v>
      </c>
      <c r="E221" s="74" t="n">
        <f aca="false">E25</f>
        <v>4414726.5</v>
      </c>
      <c r="F221" s="74" t="n">
        <f aca="false">F25</f>
        <v>4094500</v>
      </c>
      <c r="G221" s="74" t="n">
        <f aca="false">G25</f>
        <v>2747938</v>
      </c>
      <c r="H221" s="74" t="n">
        <f aca="false">H25</f>
        <v>2334550.5</v>
      </c>
      <c r="I221" s="74" t="n">
        <f aca="false">I25</f>
        <v>3195647.5</v>
      </c>
      <c r="J221" s="74" t="n">
        <f aca="false">J25</f>
        <v>3921609</v>
      </c>
      <c r="K221" s="74" t="n">
        <f aca="false">K25</f>
        <v>4328315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1513987</v>
      </c>
      <c r="C222" s="74" t="n">
        <f aca="false">C5</f>
        <v>1309278</v>
      </c>
      <c r="D222" s="74" t="n">
        <f aca="false">D5</f>
        <v>1419301</v>
      </c>
      <c r="E222" s="74" t="n">
        <f aca="false">E5</f>
        <v>943109</v>
      </c>
      <c r="F222" s="74" t="n">
        <f aca="false">F5</f>
        <v>122961</v>
      </c>
      <c r="G222" s="74" t="n">
        <f aca="false">G5</f>
        <v>1297491</v>
      </c>
      <c r="H222" s="74" t="n">
        <f aca="false">H5</f>
        <v>1451633</v>
      </c>
      <c r="I222" s="74" t="n">
        <f aca="false">I5</f>
        <v>1216500</v>
      </c>
      <c r="J222" s="74" t="n">
        <f aca="false">J5</f>
        <v>1542234</v>
      </c>
      <c r="K222" s="74" t="n">
        <f aca="false">K5</f>
        <v>1122590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2.04561730054485</v>
      </c>
      <c r="C223" s="78" t="n">
        <f aca="false">C221/C222</f>
        <v>3.20899648508567</v>
      </c>
      <c r="D223" s="78" t="n">
        <f aca="false">D221/D222</f>
        <v>3.15026375659568</v>
      </c>
      <c r="E223" s="78" t="n">
        <f aca="false">E221/E222</f>
        <v>4.68103527800074</v>
      </c>
      <c r="F223" s="78" t="n">
        <f aca="false">F221/F222</f>
        <v>33.2991761615472</v>
      </c>
      <c r="G223" s="78" t="n">
        <f aca="false">G221/G222</f>
        <v>2.11788598148272</v>
      </c>
      <c r="H223" s="78" t="n">
        <f aca="false">H221/H222</f>
        <v>1.60822363503723</v>
      </c>
      <c r="I223" s="78" t="n">
        <f aca="false">I221/I222</f>
        <v>2.62691944101932</v>
      </c>
      <c r="J223" s="78" t="n">
        <f aca="false">J221/J222</f>
        <v>2.54281062406872</v>
      </c>
      <c r="K223" s="78" t="n">
        <f aca="false">K221/K222</f>
        <v>3.85565077187575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2026-01-23T13:37:15Z</dcterms:created>
  <dc:creator>openpyxl</dc:creator>
  <dc:description/>
  <dc:language>it-IT</dc:language>
  <cp:lastModifiedBy>Box, Alif Mahajan Fuhad</cp:lastModifiedBy>
  <dcterms:modified xsi:type="dcterms:W3CDTF">2026-01-23T13:37:15Z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