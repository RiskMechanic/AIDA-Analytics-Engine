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<sst xmlns="http://schemas.openxmlformats.org/spreadsheetml/2006/main" count="837" uniqueCount="611">
  <si>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</si>
  <si>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</si>
  <si>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</si>
  <si>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</si>
  <si>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</si>
  <si>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</si>
  <si>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</si>
  <si>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</si>
  <si>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</si>
  <si>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</si>
  <si>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</si>
  <si>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</si>
  <si>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</si>
  <si>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</si>
  <si>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</si>
  <si>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</si>
  <si>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</si>
  <si>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</si>
  <si>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</si>
  <si>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</si>
  <si>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</si>
  <si>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</si>
  <si>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</si>
  <si>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</si>
  <si>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</si>
  <si>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</si>
  <si>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</si>
  <si>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</si>
  <si>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</si>
  <si>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</si>
  <si>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</si>
  <si>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</si>
  <si>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</si>
  <si>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</si>
  <si>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</si>
  <si>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</si>
  <si>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</si>
  <si>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</si>
  <si>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</si>
  <si>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</si>
  <si>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</si>
  <si>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</si>
  <si>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</si>
  <si>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</si>
  <si>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</si>
  <si>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</si>
  <si>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</si>
  <si>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</si>
  <si>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</si>
  <si>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</si>
  <si>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</si>
  <si>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</si>
  <si>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</si>
  <si>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</si>
  <si>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</si>
  <si>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</si>
  <si>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</si>
  <si>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</si>
  <si>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</si>
  <si>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</si>
  <si>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</si>
  <si>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</si>
  <si>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</si>
  <si>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</si>
  <si>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</si>
  <si>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</si>
  <si>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</si>
  <si>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</si>
  <si>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</si>
  <si>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</si>
  <si>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</si>
  <si>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</si>
  <si>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</si>
  <si>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</si>
  <si>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</si>
  <si>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</si>
  <si>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</si>
  <si>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</si>
  <si>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</si>
  <si>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</si>
  <si>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</si>
  <si>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</si>
  <si>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</si>
  <si>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</si>
  <si>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</si>
  <si>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</si>
  <si>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</si>
  <si>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</si>
  <si>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</si>
  <si>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</si>
  <si>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</si>
  <si>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</si>
  <si>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</si>
  <si>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</si>
  <si>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</si>
  <si>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</si>
  <si>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</si>
  <si>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</si>
  <si>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</si>
  <si>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</si>
  <si>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</si>
  <si>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</si>
  <si>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</si>
  <si>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</si>
  <si>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</si>
  <si>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</si>
  <si>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</si>
  <si>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</si>
  <si>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</si>
  <si>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</si>
  <si>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</si>
  <si>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</si>
  <si>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</si>
  <si>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</si>
  <si>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</si>
  <si>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</si>
  <si>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</si>
  <si>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</si>
  <si>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</si>
  <si>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</si>
  <si>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</si>
  <si>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</si>
  <si>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</si>
  <si>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</si>
  <si>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</si>
  <si>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</si>
  <si>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</si>
  <si>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</si>
  <si>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</si>
  <si>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</si>
  <si>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</si>
  <si>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</si>
  <si>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</si>
  <si>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</si>
  <si>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</si>
  <si>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</si>
  <si>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</si>
  <si>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</si>
  <si>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</si>
  <si>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</si>
  <si>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</si>
  <si>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</si>
  <si>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</si>
  <si>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</si>
  <si>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</si>
  <si>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</si>
  <si>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</si>
  <si>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</si>
  <si>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</si>
  <si>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</si>
  <si>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</si>
  <si>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</si>
  <si>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</si>
  <si>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</si>
  <si>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</si>
  <si>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</si>
  <si>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</si>
  <si>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</si>
  <si>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</si>
  <si>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</si>
  <si>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</si>
  <si>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</si>
  <si>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</si>
  <si>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</si>
  <si>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</si>
  <si>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</si>
  <si>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</si>
  <si>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</si>
  <si>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</si>
  <si>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</si>
  <si>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</si>
  <si>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</si>
  <si>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</si>
  <si>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</si>
  <si>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</si>
  <si>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</si>
  <si>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</si>
  <si>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</si>
  <si>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</si>
  <si>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</si>
  <si>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</si>
  <si>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</si>
  <si>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</si>
  <si>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</si>
  <si>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</si>
  <si>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</si>
  <si>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</si>
  <si>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</si>
  <si>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</si>
  <si>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</si>
  <si>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</si>
  <si>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</si>
  <si>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</si>
  <si>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</si>
  <si>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</si>
  <si>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</si>
  <si>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</si>
  <si>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</si>
  <si>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</si>
  <si>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</si>
  <si>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</si>
  <si>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</si>
  <si>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</si>
  <si>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</si>
  <si>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</si>
  <si>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</si>
  <si>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</si>
  <si>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</si>
  <si>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</si>
  <si>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</si>
  <si>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</si>
  <si>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</si>
  <si>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</si>
  <si>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</si>
  <si>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</si>
  <si>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</si>
  <si>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</si>
  <si>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</si>
  <si>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</si>
  <si>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</si>
  <si>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</si>
  <si>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</si>
  <si>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</si>
  <si>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</si>
  <si>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</si>
  <si>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</si>
  <si>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</si>
  <si>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</si>
  <si>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</si>
  <si>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</si>
  <si>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</si>
  <si>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</si>
  <si>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</si>
  <si>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</si>
  <si>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</si>
  <si>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</si>
  <si>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</si>
  <si>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</si>
  <si>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</si>
  <si>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</si>
  <si>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TROCKNER SEBASTIAN S.R.L.</t>
  </si>
  <si>
    <t xml:space="preserve">02495580215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</si>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</sst>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0.0193652886503508</c:v>
                </c:pt>
                <c:pt idx="1">
                  <c:v>0.0149700288062055</c:v>
                </c:pt>
                <c:pt idx="2">
                  <c:v>0.0241979044099335</c:v>
                </c:pt>
                <c:pt idx="3">
                  <c:v>0.0196500631671005</c:v>
                </c:pt>
                <c:pt idx="4">
                  <c:v>0.0107914300420383</c:v>
                </c:pt>
                <c:pt idx="5">
                  <c:v>0.012110663399821</c:v>
                </c:pt>
                <c:pt idx="6">
                  <c:v>0.0166977540236495</c:v>
                </c:pt>
                <c:pt idx="7">
                  <c:v>0.0120345751781938</c:v>
                </c:pt>
                <c:pt idx="8">
                  <c:v>0.0228748473117781</c:v>
                </c:pt>
                <c:pt idx="9">
                  <c:v>0.0814859365539193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936670"/>
        <c:axId val="42692014"/>
      </c:lineChart>
      <c:catAx>
        <c:axId val="399366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2692014"/>
        <c:crosses val="autoZero"/>
        <c:auto val="1"/>
        <c:lblAlgn val="ctr"/>
        <c:lblOffset val="100"/>
        <c:noMultiLvlLbl val="0"/>
      </c:catAx>
      <c:valAx>
        <c:axId val="426920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99366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0.0424761074946845</c:v>
                </c:pt>
                <c:pt idx="1">
                  <c:v>0.0316402479716061</c:v>
                </c:pt>
                <c:pt idx="2">
                  <c:v>0.0511299707357346</c:v>
                </c:pt>
                <c:pt idx="3">
                  <c:v>0.0337522162503858</c:v>
                </c:pt>
                <c:pt idx="4">
                  <c:v>0.0188835730842062</c:v>
                </c:pt>
                <c:pt idx="5">
                  <c:v>0.0286799616103021</c:v>
                </c:pt>
                <c:pt idx="6">
                  <c:v>0.0370911255669774</c:v>
                </c:pt>
                <c:pt idx="7">
                  <c:v>0.0314022053252227</c:v>
                </c:pt>
                <c:pt idx="8">
                  <c:v>0.0593556134589438</c:v>
                </c:pt>
                <c:pt idx="9">
                  <c:v>0.175641781983227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548243"/>
        <c:axId val="89826080"/>
      </c:lineChart>
      <c:catAx>
        <c:axId val="565482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9826080"/>
        <c:crosses val="autoZero"/>
        <c:auto val="1"/>
        <c:lblAlgn val="ctr"/>
        <c:lblOffset val="100"/>
        <c:noMultiLvlLbl val="0"/>
      </c:catAx>
      <c:valAx>
        <c:axId val="898260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65482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0.0628316612449864</c:v>
                </c:pt>
                <c:pt idx="1">
                  <c:v>0.0570459624260255</c:v>
                </c:pt>
                <c:pt idx="2">
                  <c:v>0.0212735121640184</c:v>
                </c:pt>
                <c:pt idx="3">
                  <c:v>0.0166904650670223</c:v>
                </c:pt>
                <c:pt idx="4">
                  <c:v>0.0183302388717758</c:v>
                </c:pt>
                <c:pt idx="5">
                  <c:v>0.0182904776135469</c:v>
                </c:pt>
                <c:pt idx="6">
                  <c:v>0.0170677649023341</c:v>
                </c:pt>
                <c:pt idx="7">
                  <c:v>0.0217334157762101</c:v>
                </c:pt>
                <c:pt idx="8">
                  <c:v>0.0277367324927618</c:v>
                </c:pt>
                <c:pt idx="9">
                  <c:v>0.0276721134113722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603503"/>
        <c:axId val="60123619"/>
      </c:lineChart>
      <c:catAx>
        <c:axId val="23603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123619"/>
        <c:crosses val="autoZero"/>
        <c:auto val="1"/>
        <c:lblAlgn val="ctr"/>
        <c:lblOffset val="100"/>
        <c:noMultiLvlLbl val="0"/>
      </c:catAx>
      <c:valAx>
        <c:axId val="601236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36035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0.0104033072284225</c:v>
                </c:pt>
                <c:pt idx="1">
                  <c:v>0.0206773274071211</c:v>
                </c:pt>
                <c:pt idx="2">
                  <c:v>0.0117516081147947</c:v>
                </c:pt>
                <c:pt idx="3">
                  <c:v>0.0130600752777503</c:v>
                </c:pt>
                <c:pt idx="4">
                  <c:v>0.015519769067291</c:v>
                </c:pt>
                <c:pt idx="5">
                  <c:v>0.0972786303168851</c:v>
                </c:pt>
                <c:pt idx="6">
                  <c:v>0.0296164888142571</c:v>
                </c:pt>
                <c:pt idx="7">
                  <c:v>0.0536387171667849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445375"/>
        <c:axId val="69890194"/>
      </c:lineChart>
      <c:catAx>
        <c:axId val="89445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9890194"/>
        <c:crosses val="autoZero"/>
        <c:auto val="1"/>
        <c:lblAlgn val="ctr"/>
        <c:lblOffset val="100"/>
        <c:noMultiLvlLbl val="0"/>
      </c:catAx>
      <c:valAx>
        <c:axId val="698901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94453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17064"/>
        <c:axId val="41798541"/>
      </c:lineChart>
      <c:catAx>
        <c:axId val="3117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1798541"/>
        <c:crosses val="autoZero"/>
        <c:auto val="1"/>
        <c:lblAlgn val="ctr"/>
        <c:lblOffset val="100"/>
        <c:noMultiLvlLbl val="0"/>
      </c:catAx>
      <c:valAx>
        <c:axId val="417985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1170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0.0142334410680642</c:v>
                </c:pt>
                <c:pt idx="1">
                  <c:v>0.00706339549589005</c:v>
                </c:pt>
                <c:pt idx="2">
                  <c:v>0.0424000261739935</c:v>
                </c:pt>
                <c:pt idx="3">
                  <c:v>0.0289534315036566</c:v>
                </c:pt>
                <c:pt idx="4">
                  <c:v>0.0125701371769444</c:v>
                </c:pt>
                <c:pt idx="5">
                  <c:v>0.0344451403896648</c:v>
                </c:pt>
                <c:pt idx="6">
                  <c:v>0.054373565505718</c:v>
                </c:pt>
                <c:pt idx="7">
                  <c:v>0.0272577296488568</c:v>
                </c:pt>
                <c:pt idx="8">
                  <c:v>0.0692068738734812</c:v>
                </c:pt>
                <c:pt idx="9">
                  <c:v>0.33107397762109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0.0296739856586018</c:v>
                </c:pt>
                <c:pt idx="1">
                  <c:v>0.0173142070384549</c:v>
                </c:pt>
                <c:pt idx="2">
                  <c:v>0.0629542912062601</c:v>
                </c:pt>
                <c:pt idx="3">
                  <c:v>0.0416631642225975</c:v>
                </c:pt>
                <c:pt idx="4">
                  <c:v>0.0188482634952525</c:v>
                </c:pt>
                <c:pt idx="5">
                  <c:v>0.0511940069437819</c:v>
                </c:pt>
                <c:pt idx="6">
                  <c:v>0.0782419895931694</c:v>
                </c:pt>
                <c:pt idx="7">
                  <c:v>0.0384923954819206</c:v>
                </c:pt>
                <c:pt idx="8">
                  <c:v>0.101690417932569</c:v>
                </c:pt>
                <c:pt idx="9">
                  <c:v>0.492220192455879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866677"/>
        <c:axId val="28949646"/>
      </c:lineChart>
      <c:catAx>
        <c:axId val="738666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949646"/>
        <c:crosses val="autoZero"/>
        <c:auto val="1"/>
        <c:lblAlgn val="ctr"/>
        <c:lblOffset val="100"/>
        <c:noMultiLvlLbl val="0"/>
      </c:catAx>
      <c:valAx>
        <c:axId val="289496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38666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37.8709530434571</c:v>
                </c:pt>
                <c:pt idx="1">
                  <c:v>37.7810827349705</c:v>
                </c:pt>
                <c:pt idx="2">
                  <c:v>36.1083338887425</c:v>
                </c:pt>
                <c:pt idx="3">
                  <c:v>32.2548615949851</c:v>
                </c:pt>
                <c:pt idx="4">
                  <c:v>36.3348558780243</c:v>
                </c:pt>
                <c:pt idx="5">
                  <c:v>37.1184009131323</c:v>
                </c:pt>
                <c:pt idx="6">
                  <c:v>35.2640233027491</c:v>
                </c:pt>
                <c:pt idx="7">
                  <c:v>31.4609986009668</c:v>
                </c:pt>
                <c:pt idx="8">
                  <c:v>30.9081501710402</c:v>
                </c:pt>
                <c:pt idx="9">
                  <c:v>34.4843997624208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599218"/>
        <c:axId val="98314802"/>
      </c:lineChart>
      <c:catAx>
        <c:axId val="345992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8314802"/>
        <c:crosses val="autoZero"/>
        <c:auto val="1"/>
        <c:lblAlgn val="ctr"/>
        <c:lblOffset val="100"/>
        <c:noMultiLvlLbl val="0"/>
      </c:catAx>
      <c:valAx>
        <c:axId val="983148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45992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33.2621403770022</c:v>
                </c:pt>
                <c:pt idx="1">
                  <c:v>34.9023526871879</c:v>
                </c:pt>
                <c:pt idx="2">
                  <c:v>32.5261259388433</c:v>
                </c:pt>
                <c:pt idx="3">
                  <c:v>29.5386784987978</c:v>
                </c:pt>
                <c:pt idx="4">
                  <c:v>26.1130102615528</c:v>
                </c:pt>
                <c:pt idx="5">
                  <c:v>25.3238158418025</c:v>
                </c:pt>
                <c:pt idx="6">
                  <c:v>28.2232975806208</c:v>
                </c:pt>
                <c:pt idx="7">
                  <c:v>28.6196183312753</c:v>
                </c:pt>
                <c:pt idx="8">
                  <c:v>28.3225489677256</c:v>
                </c:pt>
                <c:pt idx="9">
                  <c:v>33.2721055817926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805457"/>
        <c:axId val="75752635"/>
      </c:lineChart>
      <c:catAx>
        <c:axId val="838054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5752635"/>
        <c:crosses val="autoZero"/>
        <c:auto val="1"/>
        <c:lblAlgn val="ctr"/>
        <c:lblOffset val="100"/>
        <c:noMultiLvlLbl val="0"/>
      </c:catAx>
      <c:valAx>
        <c:axId val="757526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38054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45.0388348509416</c:v>
                </c:pt>
                <c:pt idx="1">
                  <c:v>50.0930609840698</c:v>
                </c:pt>
                <c:pt idx="2">
                  <c:v>45.4972314161663</c:v>
                </c:pt>
                <c:pt idx="3">
                  <c:v>45.2849058710211</c:v>
                </c:pt>
                <c:pt idx="4">
                  <c:v>48.7874638508091</c:v>
                </c:pt>
                <c:pt idx="5">
                  <c:v>50.1205442973097</c:v>
                </c:pt>
                <c:pt idx="6">
                  <c:v>52.3650838990275</c:v>
                </c:pt>
                <c:pt idx="7">
                  <c:v>25.3922312161515</c:v>
                </c:pt>
                <c:pt idx="8">
                  <c:v>27.4653142938187</c:v>
                </c:pt>
                <c:pt idx="9">
                  <c:v>58.9547426386223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213386"/>
        <c:axId val="15889731"/>
      </c:lineChart>
      <c:catAx>
        <c:axId val="722133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5889731"/>
        <c:crosses val="autoZero"/>
        <c:auto val="1"/>
        <c:lblAlgn val="ctr"/>
        <c:lblOffset val="100"/>
        <c:noMultiLvlLbl val="0"/>
      </c:catAx>
      <c:valAx>
        <c:axId val="158897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22133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8.57468853846194</c:v>
                </c:pt>
                <c:pt idx="1">
                  <c:v>7.92455254738621</c:v>
                </c:pt>
                <c:pt idx="2">
                  <c:v>9.30711622761707</c:v>
                </c:pt>
                <c:pt idx="3">
                  <c:v>8.91184517292245</c:v>
                </c:pt>
                <c:pt idx="4">
                  <c:v>7.32916269863034</c:v>
                </c:pt>
                <c:pt idx="5">
                  <c:v>7.97765182109068</c:v>
                </c:pt>
                <c:pt idx="6">
                  <c:v>7.36510904673813</c:v>
                </c:pt>
                <c:pt idx="7">
                  <c:v>15.4061649717877</c:v>
                </c:pt>
                <c:pt idx="8">
                  <c:v>15.0470404760288</c:v>
                </c:pt>
                <c:pt idx="9">
                  <c:v>6.99393209171581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613349"/>
        <c:axId val="55410271"/>
      </c:lineChart>
      <c:catAx>
        <c:axId val="926133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410271"/>
        <c:crosses val="autoZero"/>
        <c:auto val="1"/>
        <c:lblAlgn val="ctr"/>
        <c:lblOffset val="100"/>
        <c:noMultiLvlLbl val="0"/>
      </c:catAx>
      <c:valAx>
        <c:axId val="554102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26133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2.16154146253058</c:v>
                </c:pt>
                <c:pt idx="1">
                  <c:v>2.10817518633529</c:v>
                </c:pt>
                <c:pt idx="2">
                  <c:v>2.09647319053253</c:v>
                </c:pt>
                <c:pt idx="3">
                  <c:v>1.69983316952984</c:v>
                </c:pt>
                <c:pt idx="4">
                  <c:v>1.73925928169651</c:v>
                </c:pt>
                <c:pt idx="5">
                  <c:v>2.37065866796599</c:v>
                </c:pt>
                <c:pt idx="6">
                  <c:v>2.24289756524854</c:v>
                </c:pt>
                <c:pt idx="7">
                  <c:v>2.65824770983024</c:v>
                </c:pt>
                <c:pt idx="8">
                  <c:v>2.61208781987943</c:v>
                </c:pt>
                <c:pt idx="9">
                  <c:v>2.14411966360532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489042"/>
        <c:axId val="82392941"/>
      </c:lineChart>
      <c:catAx>
        <c:axId val="26489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2392941"/>
        <c:crosses val="autoZero"/>
        <c:auto val="1"/>
        <c:lblAlgn val="ctr"/>
        <c:lblOffset val="100"/>
        <c:noMultiLvlLbl val="0"/>
      </c:catAx>
      <c:valAx>
        <c:axId val="823929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64890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2.19341463283147</c:v>
                </c:pt>
                <c:pt idx="1">
                  <c:v>2.11357295174278</c:v>
                </c:pt>
                <c:pt idx="2">
                  <c:v>2.11299168182288</c:v>
                </c:pt>
                <c:pt idx="3">
                  <c:v>1.71766451656482</c:v>
                </c:pt>
                <c:pt idx="4">
                  <c:v>1.74986753476089</c:v>
                </c:pt>
                <c:pt idx="5">
                  <c:v>2.36815776836188</c:v>
                </c:pt>
                <c:pt idx="6">
                  <c:v>2.2213242280635</c:v>
                </c:pt>
                <c:pt idx="7">
                  <c:v>2.60933226642868</c:v>
                </c:pt>
                <c:pt idx="8">
                  <c:v>2.59479823624361</c:v>
                </c:pt>
                <c:pt idx="9">
                  <c:v>2.1554858348717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596145"/>
        <c:axId val="217795"/>
      </c:lineChart>
      <c:catAx>
        <c:axId val="645961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17795"/>
        <c:crosses val="autoZero"/>
        <c:auto val="1"/>
        <c:lblAlgn val="ctr"/>
        <c:lblOffset val="100"/>
        <c:noMultiLvlLbl val="0"/>
      </c:catAx>
      <c:valAx>
        <c:axId val="2177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5961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1.24772065842359</c:v>
                </c:pt>
                <c:pt idx="1">
                  <c:v>1.33455100196798</c:v>
                </c:pt>
                <c:pt idx="2">
                  <c:v>1.63217795553025</c:v>
                </c:pt>
                <c:pt idx="3">
                  <c:v>1.48007445489687</c:v>
                </c:pt>
                <c:pt idx="4">
                  <c:v>1.47184493755899</c:v>
                </c:pt>
                <c:pt idx="5">
                  <c:v>0.950261374962676</c:v>
                </c:pt>
                <c:pt idx="6">
                  <c:v>0.995292374278834</c:v>
                </c:pt>
                <c:pt idx="7">
                  <c:v>1.02057258712694</c:v>
                </c:pt>
                <c:pt idx="8">
                  <c:v>0.501762791392804</c:v>
                </c:pt>
                <c:pt idx="9">
                  <c:v>1.26375478715454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069740"/>
        <c:axId val="71064022"/>
      </c:lineChart>
      <c:catAx>
        <c:axId val="250697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1064022"/>
        <c:crosses val="autoZero"/>
        <c:auto val="1"/>
        <c:lblAlgn val="ctr"/>
        <c:lblOffset val="100"/>
        <c:noMultiLvlLbl val="0"/>
      </c:catAx>
      <c:valAx>
        <c:axId val="710640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50697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0.682761487017294</c:v>
                </c:pt>
                <c:pt idx="1">
                  <c:v>0.718841572911346</c:v>
                </c:pt>
                <c:pt idx="2">
                  <c:v>0.855192263302233</c:v>
                </c:pt>
                <c:pt idx="3">
                  <c:v>0.889855373852477</c:v>
                </c:pt>
                <c:pt idx="4">
                  <c:v>0.653148265230014</c:v>
                </c:pt>
                <c:pt idx="5">
                  <c:v>0.531020560936324</c:v>
                </c:pt>
                <c:pt idx="6">
                  <c:v>0.49754453495254</c:v>
                </c:pt>
                <c:pt idx="7">
                  <c:v>0.525754208220993</c:v>
                </c:pt>
                <c:pt idx="8">
                  <c:v>0.501762791392804</c:v>
                </c:pt>
                <c:pt idx="9">
                  <c:v>0.643995849981348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62320"/>
        <c:axId val="39141931"/>
      </c:lineChart>
      <c:catAx>
        <c:axId val="5662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9141931"/>
        <c:crosses val="autoZero"/>
        <c:auto val="1"/>
        <c:lblAlgn val="ctr"/>
        <c:lblOffset val="100"/>
        <c:noMultiLvlLbl val="0"/>
      </c:catAx>
      <c:valAx>
        <c:axId val="391419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662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1.89351494980457</c:v>
                </c:pt>
                <c:pt idx="1">
                  <c:v>1.5474311023622</c:v>
                </c:pt>
                <c:pt idx="2">
                  <c:v>6.82918046953766</c:v>
                </c:pt>
                <c:pt idx="3">
                  <c:v>4.82406873311272</c:v>
                </c:pt>
                <c:pt idx="4">
                  <c:v>1.88829369330762</c:v>
                </c:pt>
                <c:pt idx="5">
                  <c:v>2.32150953765829</c:v>
                </c:pt>
                <c:pt idx="6">
                  <c:v>3.14819332959231</c:v>
                </c:pt>
                <c:pt idx="7">
                  <c:v>1.75312108678329</c:v>
                </c:pt>
                <c:pt idx="8">
                  <c:v>2.60512026015462</c:v>
                </c:pt>
                <c:pt idx="9">
                  <c:v>9.22333377066387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680420"/>
        <c:axId val="14803396"/>
      </c:lineChart>
      <c:catAx>
        <c:axId val="626804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4803396"/>
        <c:crosses val="autoZero"/>
        <c:auto val="1"/>
        <c:lblAlgn val="ctr"/>
        <c:lblOffset val="100"/>
        <c:noMultiLvlLbl val="0"/>
      </c:catAx>
      <c:valAx>
        <c:axId val="148033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26804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3.77873397142226</c:v>
                </c:pt>
                <c:pt idx="1">
                  <c:v>3.50915085044651</c:v>
                </c:pt>
                <c:pt idx="2">
                  <c:v>2.78042474262493</c:v>
                </c:pt>
                <c:pt idx="3">
                  <c:v>3.29469342513788</c:v>
                </c:pt>
                <c:pt idx="4">
                  <c:v>6.40110873172586</c:v>
                </c:pt>
                <c:pt idx="5">
                  <c:v>5.9819641705354</c:v>
                </c:pt>
                <c:pt idx="6">
                  <c:v>5.49686967159301</c:v>
                </c:pt>
                <c:pt idx="7">
                  <c:v>6.67358089050774</c:v>
                </c:pt>
                <c:pt idx="8">
                  <c:v>5.60120918638486</c:v>
                </c:pt>
                <c:pt idx="9">
                  <c:v>2.78161912011422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48675"/>
        <c:axId val="76251694"/>
      </c:lineChart>
      <c:catAx>
        <c:axId val="800486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251694"/>
        <c:crosses val="autoZero"/>
        <c:auto val="1"/>
        <c:lblAlgn val="ctr"/>
        <c:lblOffset val="100"/>
        <c:noMultiLvlLbl val="0"/>
      </c:catAx>
      <c:valAx>
        <c:axId val="762516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00486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480554</c:v>
                </c:pt>
                <c:pt idx="1">
                  <c:v>706084</c:v>
                </c:pt>
                <c:pt idx="2">
                  <c:v>954457</c:v>
                </c:pt>
                <c:pt idx="3">
                  <c:v>908059</c:v>
                </c:pt>
                <c:pt idx="4">
                  <c:v>926134</c:v>
                </c:pt>
                <c:pt idx="5">
                  <c:v>-128861</c:v>
                </c:pt>
                <c:pt idx="6">
                  <c:v>23012</c:v>
                </c:pt>
                <c:pt idx="7">
                  <c:v>72955</c:v>
                </c:pt>
                <c:pt idx="8">
                  <c:v>159268</c:v>
                </c:pt>
                <c:pt idx="9">
                  <c:v>189733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538835"/>
        <c:axId val="97491808"/>
      </c:lineChart>
      <c:catAx>
        <c:axId val="505388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7491808"/>
        <c:auto val="1"/>
        <c:lblAlgn val="ctr"/>
        <c:lblOffset val="100"/>
        <c:noMultiLvlLbl val="0"/>
      </c:catAx>
      <c:valAx>
        <c:axId val="974918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5388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-281351</c:v>
                </c:pt>
                <c:pt idx="1">
                  <c:v>-453801</c:v>
                </c:pt>
                <c:pt idx="2">
                  <c:v>-276980</c:v>
                </c:pt>
                <c:pt idx="3">
                  <c:v>-497383</c:v>
                </c:pt>
                <c:pt idx="4">
                  <c:v>-834468</c:v>
                </c:pt>
                <c:pt idx="5">
                  <c:v>-916603</c:v>
                </c:pt>
                <c:pt idx="6">
                  <c:v>-977815</c:v>
                </c:pt>
                <c:pt idx="7">
                  <c:v>-1102520</c:v>
                </c:pt>
                <c:pt idx="8">
                  <c:v>-1220428</c:v>
                </c:pt>
                <c:pt idx="9">
                  <c:v>-1127027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63760"/>
        <c:axId val="26820402"/>
      </c:lineChart>
      <c:dateAx>
        <c:axId val="136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6820402"/>
        <c:auto val="1"/>
        <c:lblOffset val="100"/>
        <c:baseTimeUnit val="days"/>
        <c:noMultiLvlLbl val="0"/>
      </c:dateAx>
      <c:valAx>
        <c:axId val="268204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3637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3738553</v>
      </c>
      <c r="C4" s="0" t="n">
        <v>3878514</v>
      </c>
      <c r="D4" s="0" t="n">
        <v>3703601</v>
      </c>
      <c r="E4" s="0" t="n">
        <v>3856913</v>
      </c>
      <c r="F4" s="0" t="n">
        <v>4103066</v>
      </c>
      <c r="G4" s="0" t="n">
        <v>2316758</v>
      </c>
      <c r="H4" s="0" t="n">
        <v>2364636</v>
      </c>
      <c r="I4" s="0" t="n">
        <v>2327351</v>
      </c>
      <c r="J4" s="0" t="n">
        <v>2514852</v>
      </c>
      <c r="K4" s="0" t="n">
        <v>2145754</v>
      </c>
    </row>
    <row r="5" customFormat="false" ht="15.75" hidden="false" customHeight="true" outlineLevel="0" collapsed="false">
      <c r="A5" s="0" t="s">
        <v>4</v>
      </c>
      <c r="B5" s="0" t="n">
        <v>1282</v>
      </c>
      <c r="C5" s="0" t="n">
        <v>1712</v>
      </c>
      <c r="D5" s="0" t="n">
        <v>2744</v>
      </c>
      <c r="E5" s="0" t="n">
        <v>3344</v>
      </c>
      <c r="F5" s="0" t="n">
        <v>11317</v>
      </c>
      <c r="G5" s="0" t="n">
        <v>23177</v>
      </c>
      <c r="H5" s="0" t="n">
        <v>36257</v>
      </c>
      <c r="I5" s="0" t="n">
        <v>49156</v>
      </c>
      <c r="J5" s="0" t="n">
        <v>62552</v>
      </c>
      <c r="K5" s="0" t="n">
        <v>34512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661</v>
      </c>
      <c r="C8" s="0" t="n">
        <v>1049</v>
      </c>
      <c r="D8" s="0" t="n">
        <v>2040</v>
      </c>
      <c r="E8" s="0" t="n">
        <v>3157</v>
      </c>
      <c r="F8" s="0" t="n">
        <v>10942</v>
      </c>
      <c r="G8" s="0" t="n">
        <v>17523</v>
      </c>
      <c r="H8" s="0" t="n">
        <v>25323</v>
      </c>
      <c r="I8" s="0" t="n">
        <v>33879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621</v>
      </c>
      <c r="C9" s="0" t="n">
        <v>663</v>
      </c>
      <c r="D9" s="0" t="n">
        <v>704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  <c r="E13" s="0" t="n">
        <v>187</v>
      </c>
      <c r="F13" s="0" t="n">
        <v>375</v>
      </c>
      <c r="G13" s="0" t="n">
        <v>5654</v>
      </c>
      <c r="H13" s="0" t="n">
        <v>10934</v>
      </c>
      <c r="I13" s="0" t="n">
        <v>15277</v>
      </c>
      <c r="J13" s="0" t="n">
        <v>0</v>
      </c>
      <c r="K13" s="0" t="n">
        <v>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118560</v>
      </c>
      <c r="E14" s="0" t="n">
        <v>117215</v>
      </c>
      <c r="F14" s="0" t="n">
        <v>107873</v>
      </c>
      <c r="G14" s="0" t="n">
        <v>93505</v>
      </c>
      <c r="H14" s="0" t="n">
        <v>79347</v>
      </c>
      <c r="I14" s="0" t="n">
        <v>64882</v>
      </c>
      <c r="J14" s="0" t="n">
        <v>50731</v>
      </c>
      <c r="K14" s="0" t="n">
        <v>42394</v>
      </c>
    </row>
    <row r="15" customFormat="false" ht="15.75" hidden="false" customHeight="true" outlineLevel="0" collapsed="false">
      <c r="A15" s="0" t="s">
        <v>14</v>
      </c>
      <c r="B15" s="0" t="n">
        <v>3603771</v>
      </c>
      <c r="C15" s="0" t="n">
        <v>3742802</v>
      </c>
      <c r="D15" s="0" t="n">
        <v>3566385</v>
      </c>
      <c r="E15" s="0" t="n">
        <v>3648169</v>
      </c>
      <c r="F15" s="0" t="n">
        <v>3886349</v>
      </c>
      <c r="G15" s="0" t="n">
        <v>2087581</v>
      </c>
      <c r="H15" s="0" t="n">
        <v>2124193</v>
      </c>
      <c r="I15" s="0" t="n">
        <v>2173291</v>
      </c>
      <c r="J15" s="0" t="n">
        <v>2247633</v>
      </c>
      <c r="K15" s="0" t="n">
        <v>2109242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2893415</v>
      </c>
      <c r="C17" s="0" t="n">
        <v>2953285</v>
      </c>
      <c r="D17" s="0" t="n">
        <v>2984293</v>
      </c>
      <c r="E17" s="0" t="n">
        <v>3092147</v>
      </c>
      <c r="F17" s="0" t="n">
        <v>3200001</v>
      </c>
      <c r="G17" s="0" t="n">
        <v>1359175</v>
      </c>
      <c r="H17" s="0" t="n">
        <v>1417257</v>
      </c>
      <c r="I17" s="0" t="n">
        <v>1475508</v>
      </c>
      <c r="J17" s="0" t="n">
        <v>0</v>
      </c>
      <c r="K17" s="0" t="n">
        <v>0</v>
      </c>
    </row>
    <row r="18" customFormat="false" ht="15.75" hidden="false" customHeight="true" outlineLevel="0" collapsed="false">
      <c r="A18" s="0" t="s">
        <v>17</v>
      </c>
      <c r="B18" s="0" t="n">
        <v>474391</v>
      </c>
      <c r="C18" s="0" t="n">
        <v>508101</v>
      </c>
      <c r="D18" s="0" t="n">
        <v>317950</v>
      </c>
      <c r="E18" s="0" t="n">
        <v>381250</v>
      </c>
      <c r="F18" s="0" t="n">
        <v>461837</v>
      </c>
      <c r="G18" s="0" t="n">
        <v>482335</v>
      </c>
      <c r="H18" s="0" t="n">
        <v>488838</v>
      </c>
      <c r="I18" s="0" t="n">
        <v>570161</v>
      </c>
      <c r="J18" s="0" t="n">
        <v>0</v>
      </c>
      <c r="K18" s="0" t="n">
        <v>0</v>
      </c>
    </row>
    <row r="19" customFormat="false" ht="15.75" hidden="false" customHeight="true" outlineLevel="0" collapsed="false">
      <c r="A19" s="0" t="s">
        <v>18</v>
      </c>
      <c r="B19" s="0" t="n">
        <v>398</v>
      </c>
      <c r="C19" s="0" t="n">
        <v>498</v>
      </c>
      <c r="D19" s="0" t="n">
        <v>697</v>
      </c>
      <c r="E19" s="0" t="n">
        <v>1552</v>
      </c>
      <c r="F19" s="0" t="n">
        <v>2030</v>
      </c>
      <c r="G19" s="0" t="n">
        <v>3465</v>
      </c>
      <c r="H19" s="0" t="n">
        <v>4900</v>
      </c>
      <c r="I19" s="0" t="n">
        <v>6335</v>
      </c>
      <c r="J19" s="0" t="n">
        <v>0</v>
      </c>
      <c r="K19" s="0" t="n">
        <v>0</v>
      </c>
    </row>
    <row r="20" customFormat="false" ht="15.75" hidden="false" customHeight="true" outlineLevel="0" collapsed="false">
      <c r="A20" s="0" t="s">
        <v>19</v>
      </c>
      <c r="B20" s="0" t="n">
        <v>216674</v>
      </c>
      <c r="C20" s="0" t="n">
        <v>262025</v>
      </c>
      <c r="D20" s="0" t="n">
        <v>247367</v>
      </c>
      <c r="E20" s="0" t="n">
        <v>152641</v>
      </c>
      <c r="F20" s="0" t="n">
        <v>211902</v>
      </c>
      <c r="G20" s="0" t="n">
        <v>207968</v>
      </c>
      <c r="H20" s="0" t="n">
        <v>205564</v>
      </c>
      <c r="I20" s="0" t="n">
        <v>114236</v>
      </c>
      <c r="J20" s="0" t="n">
        <v>0</v>
      </c>
      <c r="K20" s="0" t="n">
        <v>0</v>
      </c>
    </row>
    <row r="21" customFormat="false" ht="15.75" hidden="false" customHeight="true" outlineLevel="0" collapsed="false">
      <c r="A21" s="0" t="s">
        <v>20</v>
      </c>
      <c r="B21" s="0" t="n">
        <v>18893</v>
      </c>
      <c r="C21" s="0" t="n">
        <v>18893</v>
      </c>
      <c r="D21" s="0" t="n">
        <v>16078</v>
      </c>
      <c r="E21" s="0" t="n">
        <v>20579</v>
      </c>
      <c r="F21" s="0" t="n">
        <v>10579</v>
      </c>
      <c r="G21" s="0" t="n">
        <v>34638</v>
      </c>
      <c r="H21" s="0" t="n">
        <v>7634</v>
      </c>
      <c r="I21" s="0" t="n">
        <v>7051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1987737</v>
      </c>
      <c r="E22" s="0" t="n">
        <v>1727444</v>
      </c>
      <c r="F22" s="0" t="n">
        <v>1533329</v>
      </c>
      <c r="G22" s="0" t="n">
        <v>2413573</v>
      </c>
      <c r="H22" s="0" t="n">
        <v>2278310</v>
      </c>
      <c r="I22" s="0" t="n">
        <v>2040155</v>
      </c>
      <c r="J22" s="0" t="n">
        <v>1850002</v>
      </c>
      <c r="K22" s="0" t="n">
        <v>1639566</v>
      </c>
    </row>
    <row r="23" customFormat="false" ht="15.75" hidden="false" customHeight="true" outlineLevel="0" collapsed="false">
      <c r="A23" s="0" t="s">
        <v>22</v>
      </c>
      <c r="B23" s="0" t="n">
        <v>133500</v>
      </c>
      <c r="C23" s="0" t="n">
        <v>134000</v>
      </c>
      <c r="D23" s="0" t="n">
        <v>134472</v>
      </c>
      <c r="E23" s="0" t="n">
        <v>205400</v>
      </c>
      <c r="F23" s="0" t="n">
        <v>205400</v>
      </c>
      <c r="G23" s="0" t="n">
        <v>206000</v>
      </c>
      <c r="H23" s="0" t="n">
        <v>204186</v>
      </c>
      <c r="I23" s="0" t="n">
        <v>104904</v>
      </c>
      <c r="J23" s="0" t="n">
        <v>204667</v>
      </c>
      <c r="K23" s="0" t="n">
        <v>2000</v>
      </c>
    </row>
    <row r="24" customFormat="false" ht="15.75" hidden="false" customHeight="true" outlineLevel="0" collapsed="false">
      <c r="A24" s="0" t="s">
        <v>23</v>
      </c>
      <c r="B24" s="0" t="n">
        <v>1500</v>
      </c>
      <c r="C24" s="0" t="n">
        <v>77000</v>
      </c>
      <c r="D24" s="0" t="n">
        <v>102472</v>
      </c>
      <c r="E24" s="0" t="n">
        <v>173400</v>
      </c>
      <c r="F24" s="0" t="n">
        <v>173400</v>
      </c>
      <c r="G24" s="0" t="n">
        <v>174000</v>
      </c>
      <c r="H24" s="0" t="n">
        <v>202186</v>
      </c>
      <c r="I24" s="0" t="n">
        <v>102904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72000</v>
      </c>
      <c r="C25" s="0" t="n">
        <v>57000</v>
      </c>
      <c r="D25" s="0" t="n">
        <v>32000</v>
      </c>
      <c r="E25" s="0" t="n">
        <v>32000</v>
      </c>
      <c r="F25" s="0" t="n">
        <v>32000</v>
      </c>
      <c r="G25" s="0" t="n">
        <v>32000</v>
      </c>
      <c r="H25" s="0" t="n">
        <v>2000</v>
      </c>
      <c r="I25" s="0" t="n">
        <v>2000</v>
      </c>
      <c r="J25" s="0" t="n">
        <v>2000</v>
      </c>
      <c r="K25" s="0" t="n">
        <v>2000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72000</v>
      </c>
      <c r="C30" s="0" t="n">
        <v>57000</v>
      </c>
      <c r="D30" s="0" t="n">
        <v>32000</v>
      </c>
      <c r="E30" s="0" t="n">
        <v>32000</v>
      </c>
      <c r="F30" s="0" t="n">
        <v>32000</v>
      </c>
      <c r="G30" s="0" t="n">
        <v>32000</v>
      </c>
      <c r="H30" s="0" t="n">
        <v>2000</v>
      </c>
      <c r="I30" s="0" t="n">
        <v>2000</v>
      </c>
      <c r="J30" s="0" t="n">
        <v>2000</v>
      </c>
      <c r="K30" s="0" t="n">
        <v>2000</v>
      </c>
    </row>
    <row r="31" customFormat="false" ht="15.75" hidden="false" customHeight="true" outlineLevel="0" collapsed="false">
      <c r="A31" s="0" t="s">
        <v>30</v>
      </c>
      <c r="B31" s="0" t="n">
        <v>61500</v>
      </c>
      <c r="C31" s="0" t="n">
        <v>77000</v>
      </c>
      <c r="D31" s="0" t="n">
        <v>102472</v>
      </c>
      <c r="E31" s="0" t="n">
        <v>173400</v>
      </c>
      <c r="F31" s="0" t="n">
        <v>173400</v>
      </c>
      <c r="G31" s="0" t="n">
        <v>174000</v>
      </c>
      <c r="H31" s="0" t="n">
        <v>202186</v>
      </c>
      <c r="I31" s="0" t="n">
        <v>102904</v>
      </c>
      <c r="J31" s="0" t="n">
        <v>202667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1500</v>
      </c>
      <c r="C40" s="0" t="n">
        <v>77000</v>
      </c>
      <c r="D40" s="0" t="n">
        <v>102472</v>
      </c>
      <c r="E40" s="0" t="n">
        <v>173400</v>
      </c>
      <c r="F40" s="0" t="n">
        <v>173400</v>
      </c>
      <c r="G40" s="0" t="n">
        <v>174000</v>
      </c>
      <c r="H40" s="0" t="n">
        <v>202186</v>
      </c>
      <c r="I40" s="0" t="n">
        <v>102904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60000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202667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1500</v>
      </c>
      <c r="C42" s="0" t="n">
        <v>77000</v>
      </c>
      <c r="D42" s="0" t="n">
        <v>102472</v>
      </c>
      <c r="E42" s="0" t="n">
        <v>173400</v>
      </c>
      <c r="F42" s="0" t="n">
        <v>173400</v>
      </c>
      <c r="G42" s="0" t="n">
        <v>174000</v>
      </c>
      <c r="H42" s="0" t="n">
        <v>202186</v>
      </c>
      <c r="I42" s="0" t="n">
        <v>102904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60000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202667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2694229</v>
      </c>
      <c r="C48" s="0" t="n">
        <v>3010412</v>
      </c>
      <c r="D48" s="0" t="n">
        <v>2777633</v>
      </c>
      <c r="E48" s="0" t="n">
        <v>2337885</v>
      </c>
      <c r="F48" s="0" t="n">
        <v>2169494</v>
      </c>
      <c r="G48" s="0" t="n">
        <v>2261242</v>
      </c>
      <c r="H48" s="0" t="n">
        <v>2193432</v>
      </c>
      <c r="I48" s="0" t="n">
        <v>2112044</v>
      </c>
      <c r="J48" s="0" t="n">
        <v>1939816</v>
      </c>
      <c r="K48" s="0" t="n">
        <v>1959243</v>
      </c>
    </row>
    <row r="49" customFormat="false" ht="15.75" hidden="false" customHeight="true" outlineLevel="0" collapsed="false">
      <c r="A49" s="0" t="s">
        <v>48</v>
      </c>
      <c r="B49" s="0" t="n">
        <v>1163582</v>
      </c>
      <c r="C49" s="0" t="n">
        <v>1351255</v>
      </c>
      <c r="D49" s="0" t="n">
        <v>1299305</v>
      </c>
      <c r="E49" s="0" t="n">
        <v>806408</v>
      </c>
      <c r="F49" s="0" t="n">
        <v>1008735</v>
      </c>
      <c r="G49" s="0" t="n">
        <v>996875</v>
      </c>
      <c r="H49" s="0" t="n">
        <v>1101730</v>
      </c>
      <c r="I49" s="0" t="n">
        <v>996728</v>
      </c>
      <c r="J49" s="0" t="n">
        <v>1025975</v>
      </c>
      <c r="K49" s="0" t="n">
        <v>986831</v>
      </c>
    </row>
    <row r="50" customFormat="false" ht="15.75" hidden="false" customHeight="true" outlineLevel="0" collapsed="false">
      <c r="A50" s="0" t="s">
        <v>49</v>
      </c>
      <c r="B50" s="0" t="n">
        <v>72963</v>
      </c>
      <c r="C50" s="0" t="n">
        <v>120598</v>
      </c>
      <c r="D50" s="0" t="n">
        <v>187585</v>
      </c>
      <c r="E50" s="0" t="n">
        <v>156107</v>
      </c>
      <c r="F50" s="0" t="n">
        <v>172408</v>
      </c>
      <c r="G50" s="0" t="n">
        <v>208447</v>
      </c>
      <c r="H50" s="0" t="n">
        <v>177942</v>
      </c>
      <c r="I50" s="0" t="n">
        <v>183419</v>
      </c>
      <c r="J50" s="0" t="n">
        <v>0</v>
      </c>
      <c r="K50" s="0" t="n">
        <v>132708</v>
      </c>
    </row>
    <row r="51" customFormat="false" ht="15.75" hidden="false" customHeight="true" outlineLevel="0" collapsed="false">
      <c r="A51" s="0" t="s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1090619</v>
      </c>
      <c r="C53" s="0" t="n">
        <v>1230657</v>
      </c>
      <c r="D53" s="0" t="n">
        <v>1111720</v>
      </c>
      <c r="E53" s="0" t="n">
        <v>649931</v>
      </c>
      <c r="F53" s="0" t="n">
        <v>836327</v>
      </c>
      <c r="G53" s="0" t="n">
        <v>788428</v>
      </c>
      <c r="H53" s="0" t="n">
        <v>923788</v>
      </c>
      <c r="I53" s="0" t="n">
        <v>813309</v>
      </c>
      <c r="J53" s="0" t="n">
        <v>0</v>
      </c>
      <c r="K53" s="0" t="n">
        <v>854123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370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1359755</v>
      </c>
      <c r="C56" s="0" t="n">
        <v>1536873</v>
      </c>
      <c r="D56" s="0" t="n">
        <v>1393622</v>
      </c>
      <c r="E56" s="0" t="n">
        <v>1179647</v>
      </c>
      <c r="F56" s="0" t="n">
        <v>763895</v>
      </c>
      <c r="G56" s="0" t="n">
        <v>1221276</v>
      </c>
      <c r="H56" s="0" t="n">
        <v>1052555</v>
      </c>
      <c r="I56" s="0" t="n">
        <v>1006775</v>
      </c>
      <c r="J56" s="0" t="n">
        <v>873383</v>
      </c>
      <c r="K56" s="0" t="n">
        <v>954150</v>
      </c>
    </row>
    <row r="57" customFormat="false" ht="15.75" hidden="false" customHeight="true" outlineLevel="0" collapsed="false">
      <c r="A57" s="0" t="s">
        <v>56</v>
      </c>
      <c r="B57" s="0" t="n">
        <v>1351939</v>
      </c>
      <c r="C57" s="0" t="n">
        <v>1377676</v>
      </c>
      <c r="D57" s="0" t="n">
        <v>1274814</v>
      </c>
      <c r="E57" s="0" t="n">
        <v>1090084</v>
      </c>
      <c r="F57" s="0" t="n">
        <v>653537</v>
      </c>
      <c r="G57" s="0" t="n">
        <v>1131681</v>
      </c>
      <c r="H57" s="0" t="n">
        <v>945441</v>
      </c>
      <c r="I57" s="0" t="n">
        <v>876265</v>
      </c>
      <c r="J57" s="0" t="n">
        <v>738505</v>
      </c>
      <c r="K57" s="0" t="n">
        <v>795525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3863</v>
      </c>
      <c r="C67" s="0" t="n">
        <v>151880</v>
      </c>
      <c r="D67" s="0" t="n">
        <v>118808</v>
      </c>
      <c r="E67" s="0" t="n">
        <v>86212</v>
      </c>
      <c r="F67" s="0" t="n">
        <v>100957</v>
      </c>
      <c r="G67" s="0" t="n">
        <v>88699</v>
      </c>
      <c r="H67" s="0" t="n">
        <v>103085</v>
      </c>
      <c r="I67" s="0" t="n">
        <v>127020</v>
      </c>
      <c r="J67" s="0" t="n">
        <v>133161</v>
      </c>
      <c r="K67" s="0" t="n">
        <v>55816</v>
      </c>
    </row>
    <row r="68" customFormat="false" ht="15.75" hidden="false" customHeight="true" outlineLevel="0" collapsed="false">
      <c r="A68" s="0" t="s">
        <v>67</v>
      </c>
      <c r="B68" s="0" t="n">
        <v>0</v>
      </c>
      <c r="C68" s="0" t="n">
        <v>0</v>
      </c>
      <c r="D68" s="0" t="n">
        <v>0</v>
      </c>
      <c r="E68" s="0" t="n">
        <v>3351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6737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3953</v>
      </c>
      <c r="C71" s="0" t="n">
        <v>7317</v>
      </c>
      <c r="D71" s="0" t="n">
        <v>0</v>
      </c>
      <c r="E71" s="0" t="n">
        <v>0</v>
      </c>
      <c r="F71" s="0" t="n">
        <v>2664</v>
      </c>
      <c r="G71" s="0" t="n">
        <v>896</v>
      </c>
      <c r="H71" s="0" t="n">
        <v>4029</v>
      </c>
      <c r="I71" s="0" t="n">
        <v>3427</v>
      </c>
      <c r="J71" s="0" t="n">
        <v>1717</v>
      </c>
      <c r="K71" s="0" t="n">
        <v>102809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63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1359755</v>
      </c>
      <c r="C73" s="0" t="n">
        <v>1536873</v>
      </c>
      <c r="D73" s="0" t="n">
        <v>1393622</v>
      </c>
      <c r="E73" s="0" t="n">
        <v>1176296</v>
      </c>
      <c r="F73" s="0" t="n">
        <v>763895</v>
      </c>
      <c r="G73" s="0" t="n">
        <v>1221276</v>
      </c>
      <c r="H73" s="0" t="n">
        <v>1052555</v>
      </c>
      <c r="I73" s="0" t="n">
        <v>1006712</v>
      </c>
      <c r="J73" s="0" t="n">
        <v>873383</v>
      </c>
      <c r="K73" s="0" t="n">
        <v>954150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0</v>
      </c>
      <c r="C75" s="0" t="n">
        <v>0</v>
      </c>
      <c r="D75" s="0" t="n">
        <v>0</v>
      </c>
      <c r="E75" s="0" t="n">
        <v>3351</v>
      </c>
      <c r="F75" s="0" t="n">
        <v>0</v>
      </c>
      <c r="G75" s="0" t="n">
        <v>0</v>
      </c>
      <c r="H75" s="0" t="n">
        <v>0</v>
      </c>
      <c r="I75" s="0" t="n">
        <v>63</v>
      </c>
      <c r="J75" s="0" t="n">
        <v>0</v>
      </c>
      <c r="K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170892</v>
      </c>
      <c r="C87" s="0" t="n">
        <v>122284</v>
      </c>
      <c r="D87" s="0" t="n">
        <v>84706</v>
      </c>
      <c r="E87" s="0" t="n">
        <v>351830</v>
      </c>
      <c r="F87" s="0" t="n">
        <v>396864</v>
      </c>
      <c r="G87" s="0" t="n">
        <v>43091</v>
      </c>
      <c r="H87" s="0" t="n">
        <v>39147</v>
      </c>
      <c r="I87" s="0" t="n">
        <v>108541</v>
      </c>
      <c r="J87" s="0" t="n">
        <v>40458</v>
      </c>
      <c r="K87" s="0" t="n">
        <v>18262</v>
      </c>
    </row>
    <row r="88" customFormat="false" ht="15.75" hidden="false" customHeight="true" outlineLevel="0" collapsed="false">
      <c r="A88" s="0" t="s">
        <v>86</v>
      </c>
      <c r="B88" s="0" t="n">
        <v>167409</v>
      </c>
      <c r="C88" s="0" t="n">
        <v>108944</v>
      </c>
      <c r="D88" s="0" t="n">
        <v>72765</v>
      </c>
      <c r="E88" s="0" t="n">
        <v>343595</v>
      </c>
      <c r="F88" s="0" t="n">
        <v>379984</v>
      </c>
      <c r="G88" s="0" t="n">
        <v>29839</v>
      </c>
      <c r="H88" s="0" t="n">
        <v>24599</v>
      </c>
      <c r="I88" s="0" t="n">
        <v>90063</v>
      </c>
      <c r="J88" s="0" t="n">
        <v>0</v>
      </c>
      <c r="K88" s="0" t="n">
        <v>0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3483</v>
      </c>
      <c r="C90" s="0" t="n">
        <v>13340</v>
      </c>
      <c r="D90" s="0" t="n">
        <v>11941</v>
      </c>
      <c r="E90" s="0" t="n">
        <v>8235</v>
      </c>
      <c r="F90" s="0" t="n">
        <v>16880</v>
      </c>
      <c r="G90" s="0" t="n">
        <v>13252</v>
      </c>
      <c r="H90" s="0" t="n">
        <v>14548</v>
      </c>
      <c r="I90" s="0" t="n">
        <v>18478</v>
      </c>
      <c r="J90" s="0" t="n">
        <v>0</v>
      </c>
      <c r="K90" s="0" t="n">
        <v>0</v>
      </c>
    </row>
    <row r="91" customFormat="false" ht="15.75" hidden="false" customHeight="true" outlineLevel="0" collapsed="false">
      <c r="A91" s="0" t="s">
        <v>89</v>
      </c>
      <c r="B91" s="0" t="n">
        <v>46451</v>
      </c>
      <c r="C91" s="0" t="n">
        <v>40719</v>
      </c>
      <c r="D91" s="0" t="n">
        <v>36463</v>
      </c>
      <c r="E91" s="0" t="n">
        <v>35222</v>
      </c>
      <c r="F91" s="0" t="n">
        <v>47601</v>
      </c>
      <c r="G91" s="0" t="n">
        <v>41390</v>
      </c>
      <c r="H91" s="0" t="n">
        <v>48725</v>
      </c>
      <c r="I91" s="0" t="n">
        <v>52268</v>
      </c>
      <c r="J91" s="0" t="n">
        <v>59955</v>
      </c>
      <c r="K91" s="0" t="n">
        <v>71273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6479233</v>
      </c>
      <c r="C93" s="0" t="n">
        <v>6929645</v>
      </c>
      <c r="D93" s="0" t="n">
        <v>6517697</v>
      </c>
      <c r="E93" s="0" t="n">
        <v>6230020</v>
      </c>
      <c r="F93" s="0" t="n">
        <v>6320161</v>
      </c>
      <c r="G93" s="0" t="n">
        <v>4619390</v>
      </c>
      <c r="H93" s="0" t="n">
        <v>4606793</v>
      </c>
      <c r="I93" s="0" t="n">
        <v>4491663</v>
      </c>
      <c r="J93" s="0" t="n">
        <v>4514623</v>
      </c>
      <c r="K93" s="0" t="n">
        <v>4176270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3395702</v>
      </c>
      <c r="C96" s="0" t="n">
        <v>3347713</v>
      </c>
      <c r="D96" s="0" t="n">
        <v>3324149</v>
      </c>
      <c r="E96" s="0" t="n">
        <v>3186130</v>
      </c>
      <c r="F96" s="0" t="n">
        <v>3095198</v>
      </c>
      <c r="G96" s="0" t="n">
        <v>1226155</v>
      </c>
      <c r="H96" s="0" t="n">
        <v>1184635</v>
      </c>
      <c r="I96" s="0" t="n">
        <v>1121927</v>
      </c>
      <c r="J96" s="0" t="n">
        <v>1091757</v>
      </c>
      <c r="K96" s="0" t="n">
        <v>1018727</v>
      </c>
    </row>
    <row r="97" customFormat="false" ht="15.75" hidden="false" customHeight="true" outlineLevel="0" collapsed="false">
      <c r="A97" s="0" t="s">
        <v>95</v>
      </c>
      <c r="B97" s="0" t="n">
        <v>110000</v>
      </c>
      <c r="C97" s="0" t="n">
        <v>110000</v>
      </c>
      <c r="D97" s="0" t="n">
        <v>110000</v>
      </c>
      <c r="E97" s="0" t="n">
        <v>110000</v>
      </c>
      <c r="F97" s="0" t="n">
        <v>110000</v>
      </c>
      <c r="G97" s="0" t="n">
        <v>110000</v>
      </c>
      <c r="H97" s="0" t="n">
        <v>110000</v>
      </c>
      <c r="I97" s="0" t="n">
        <v>110000</v>
      </c>
      <c r="J97" s="0" t="n">
        <v>110000</v>
      </c>
      <c r="K97" s="0" t="n">
        <v>110000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1841883</v>
      </c>
      <c r="C103" s="0" t="n">
        <v>1841883</v>
      </c>
      <c r="D103" s="0" t="n">
        <v>1841883</v>
      </c>
      <c r="E103" s="0" t="n">
        <v>1841883</v>
      </c>
      <c r="F103" s="0" t="n">
        <v>1841883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22000</v>
      </c>
      <c r="C104" s="0" t="n">
        <v>22000</v>
      </c>
      <c r="D104" s="0" t="n">
        <v>22000</v>
      </c>
      <c r="E104" s="0" t="n">
        <v>22000</v>
      </c>
      <c r="F104" s="0" t="n">
        <v>22000</v>
      </c>
      <c r="G104" s="0" t="n">
        <v>22000</v>
      </c>
      <c r="H104" s="0" t="n">
        <v>22000</v>
      </c>
      <c r="I104" s="0" t="n">
        <v>22000</v>
      </c>
      <c r="J104" s="0" t="n">
        <v>22000</v>
      </c>
      <c r="K104" s="0" t="n">
        <v>22000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240239</v>
      </c>
      <c r="C107" s="0" t="n">
        <v>191213</v>
      </c>
      <c r="D107" s="0" t="n">
        <v>204749</v>
      </c>
      <c r="E107" s="0" t="n">
        <v>204748</v>
      </c>
      <c r="F107" s="0" t="n">
        <v>223037</v>
      </c>
      <c r="G107" s="0" t="n">
        <v>161812</v>
      </c>
      <c r="H107" s="0" t="n">
        <v>161812</v>
      </c>
      <c r="I107" s="0" t="n">
        <v>161812</v>
      </c>
      <c r="J107" s="0" t="n">
        <v>161812</v>
      </c>
      <c r="K107" s="0" t="n">
        <v>161812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1133589</v>
      </c>
      <c r="C110" s="0" t="n">
        <v>1159054</v>
      </c>
      <c r="D110" s="0" t="n">
        <v>1007499</v>
      </c>
      <c r="E110" s="0" t="n">
        <v>916566</v>
      </c>
      <c r="F110" s="0" t="n">
        <v>871118</v>
      </c>
      <c r="G110" s="0" t="n">
        <v>890823</v>
      </c>
      <c r="H110" s="0" t="n">
        <v>828115</v>
      </c>
      <c r="I110" s="0" t="n">
        <v>797945</v>
      </c>
      <c r="J110" s="0" t="n">
        <v>724915</v>
      </c>
      <c r="K110" s="0" t="n">
        <v>387641</v>
      </c>
    </row>
    <row r="111" customFormat="false" ht="15.75" hidden="false" customHeight="true" outlineLevel="0" collapsed="false">
      <c r="A111" s="0" t="s">
        <v>109</v>
      </c>
      <c r="B111" s="0" t="n">
        <v>47991</v>
      </c>
      <c r="C111" s="0" t="n">
        <v>23563</v>
      </c>
      <c r="D111" s="0" t="n">
        <v>138018</v>
      </c>
      <c r="E111" s="0" t="n">
        <v>90933</v>
      </c>
      <c r="F111" s="0" t="n">
        <v>27160</v>
      </c>
      <c r="G111" s="0" t="n">
        <v>41520</v>
      </c>
      <c r="H111" s="0" t="n">
        <v>62708</v>
      </c>
      <c r="I111" s="0" t="n">
        <v>30170</v>
      </c>
      <c r="J111" s="0" t="n">
        <v>73030</v>
      </c>
      <c r="K111" s="0" t="n">
        <v>337274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6615</v>
      </c>
      <c r="C120" s="0" t="n">
        <v>8026</v>
      </c>
      <c r="D120" s="0" t="n">
        <v>11456</v>
      </c>
      <c r="E120" s="0" t="n">
        <v>11456</v>
      </c>
      <c r="F120" s="0" t="n">
        <v>16310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6615</v>
      </c>
      <c r="C122" s="0" t="n">
        <v>8026</v>
      </c>
      <c r="D122" s="0" t="n">
        <v>11456</v>
      </c>
      <c r="E122" s="0" t="n">
        <v>11456</v>
      </c>
      <c r="F122" s="0" t="n">
        <v>16310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254425</v>
      </c>
      <c r="C126" s="0" t="n">
        <v>218390</v>
      </c>
      <c r="D126" s="0" t="n">
        <v>277417</v>
      </c>
      <c r="E126" s="0" t="n">
        <v>260333</v>
      </c>
      <c r="F126" s="0" t="n">
        <v>214928</v>
      </c>
      <c r="G126" s="0" t="n">
        <v>226683</v>
      </c>
      <c r="H126" s="0" t="n">
        <v>206901</v>
      </c>
      <c r="I126" s="0" t="n">
        <v>178930</v>
      </c>
      <c r="J126" s="0" t="n">
        <v>182052</v>
      </c>
      <c r="K126" s="0" t="n">
        <v>155271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2784779</v>
      </c>
      <c r="C128" s="0" t="n">
        <v>3320300</v>
      </c>
      <c r="D128" s="0" t="n">
        <v>2893107</v>
      </c>
      <c r="E128" s="0" t="n">
        <v>2763325</v>
      </c>
      <c r="F128" s="0" t="n">
        <v>2983247</v>
      </c>
      <c r="G128" s="0" t="n">
        <v>3166487</v>
      </c>
      <c r="H128" s="0" t="n">
        <v>3214928</v>
      </c>
      <c r="I128" s="0" t="n">
        <v>3190806</v>
      </c>
      <c r="J128" s="0" t="n">
        <v>3240814</v>
      </c>
      <c r="K128" s="0" t="n">
        <v>2991573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760422</v>
      </c>
      <c r="C135" s="0" t="n">
        <v>827770</v>
      </c>
      <c r="D135" s="0" t="n">
        <v>342948</v>
      </c>
      <c r="E135" s="0" t="n">
        <v>283856</v>
      </c>
      <c r="F135" s="0" t="n">
        <v>497144</v>
      </c>
      <c r="G135" s="0" t="n">
        <v>1537431</v>
      </c>
      <c r="H135" s="0" t="n">
        <v>1449053</v>
      </c>
      <c r="I135" s="0" t="n">
        <v>1177500</v>
      </c>
      <c r="J135" s="0" t="n">
        <v>1117556</v>
      </c>
      <c r="K135" s="0" t="n">
        <v>886758</v>
      </c>
    </row>
    <row r="136" customFormat="false" ht="15.75" hidden="false" customHeight="true" outlineLevel="0" collapsed="false">
      <c r="A136" s="0" t="s">
        <v>134</v>
      </c>
      <c r="B136" s="0" t="n">
        <v>761905</v>
      </c>
      <c r="C136" s="0" t="n">
        <v>1159885</v>
      </c>
      <c r="D136" s="0" t="n">
        <v>1231437</v>
      </c>
      <c r="E136" s="0" t="n">
        <v>1405442</v>
      </c>
      <c r="F136" s="0" t="n">
        <v>1760602</v>
      </c>
      <c r="G136" s="0" t="n">
        <v>787742</v>
      </c>
      <c r="H136" s="0" t="n">
        <v>1000827</v>
      </c>
      <c r="I136" s="0" t="n">
        <v>1175475</v>
      </c>
      <c r="J136" s="0" t="n">
        <v>1379696</v>
      </c>
      <c r="K136" s="0" t="n">
        <v>1316760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1220</v>
      </c>
      <c r="C139" s="0" t="n">
        <v>1473</v>
      </c>
      <c r="D139" s="0" t="n">
        <v>448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962516</v>
      </c>
      <c r="C141" s="0" t="n">
        <v>976831</v>
      </c>
      <c r="D141" s="0" t="n">
        <v>1073141</v>
      </c>
      <c r="E141" s="0" t="n">
        <v>795129</v>
      </c>
      <c r="F141" s="0" t="n">
        <v>430632</v>
      </c>
      <c r="G141" s="0" t="n">
        <v>618053</v>
      </c>
      <c r="H141" s="0" t="n">
        <v>558934</v>
      </c>
      <c r="I141" s="0" t="n">
        <v>671844</v>
      </c>
      <c r="J141" s="0" t="n">
        <v>578800</v>
      </c>
      <c r="K141" s="0" t="n">
        <v>622035</v>
      </c>
    </row>
    <row r="142" customFormat="false" ht="15.75" hidden="false" customHeight="true" outlineLevel="0" collapsed="false">
      <c r="A142" s="0" t="s">
        <v>140</v>
      </c>
      <c r="B142" s="0" t="n">
        <v>38909</v>
      </c>
      <c r="C142" s="0" t="n">
        <v>45889</v>
      </c>
      <c r="D142" s="0" t="n">
        <v>0</v>
      </c>
      <c r="E142" s="0" t="n">
        <v>23997</v>
      </c>
      <c r="F142" s="0" t="n">
        <v>30198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84835</v>
      </c>
      <c r="C153" s="0" t="n">
        <v>94350</v>
      </c>
      <c r="D153" s="0" t="n">
        <v>78902</v>
      </c>
      <c r="E153" s="0" t="n">
        <v>84796</v>
      </c>
      <c r="F153" s="0" t="n">
        <v>98110</v>
      </c>
      <c r="G153" s="0" t="n">
        <v>50857</v>
      </c>
      <c r="H153" s="0" t="n">
        <v>44900</v>
      </c>
      <c r="I153" s="0" t="n">
        <v>36156</v>
      </c>
      <c r="J153" s="0" t="n">
        <v>44741</v>
      </c>
      <c r="K153" s="0" t="n">
        <v>37551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51441</v>
      </c>
      <c r="C155" s="0" t="n">
        <v>55443</v>
      </c>
      <c r="D155" s="0" t="n">
        <v>47956</v>
      </c>
      <c r="E155" s="0" t="n">
        <v>46872</v>
      </c>
      <c r="F155" s="0" t="n">
        <v>38484</v>
      </c>
      <c r="G155" s="0" t="n">
        <v>43868</v>
      </c>
      <c r="H155" s="0" t="n">
        <v>44701</v>
      </c>
      <c r="I155" s="0" t="n">
        <v>37425</v>
      </c>
      <c r="J155" s="0" t="n">
        <v>33568</v>
      </c>
      <c r="K155" s="0" t="n">
        <v>35239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122531</v>
      </c>
      <c r="C157" s="0" t="n">
        <v>157659</v>
      </c>
      <c r="D157" s="0" t="n">
        <v>117275</v>
      </c>
      <c r="E157" s="0" t="n">
        <v>122233</v>
      </c>
      <c r="F157" s="0" t="n">
        <v>127077</v>
      </c>
      <c r="G157" s="0" t="n">
        <v>127536</v>
      </c>
      <c r="H157" s="0" t="n">
        <v>115513</v>
      </c>
      <c r="I157" s="0" t="n">
        <v>91406</v>
      </c>
      <c r="J157" s="0" t="n">
        <v>85453</v>
      </c>
      <c r="K157" s="0" t="n">
        <v>0</v>
      </c>
    </row>
    <row r="158" customFormat="false" ht="15.75" hidden="false" customHeight="true" outlineLevel="0" collapsed="false">
      <c r="A158" s="0" t="s">
        <v>156</v>
      </c>
      <c r="B158" s="0" t="n">
        <v>1000</v>
      </c>
      <c r="C158" s="0" t="n">
        <v>1000</v>
      </c>
      <c r="D158" s="0" t="n">
        <v>1000</v>
      </c>
      <c r="E158" s="0" t="n">
        <v>1000</v>
      </c>
      <c r="F158" s="0" t="n">
        <v>1000</v>
      </c>
      <c r="G158" s="0" t="n">
        <v>1000</v>
      </c>
      <c r="H158" s="0" t="n">
        <v>1000</v>
      </c>
      <c r="I158" s="0" t="n">
        <v>1000</v>
      </c>
      <c r="J158" s="0" t="n">
        <v>1000</v>
      </c>
      <c r="K158" s="0" t="n">
        <v>93230</v>
      </c>
    </row>
    <row r="159" customFormat="false" ht="15.75" hidden="false" customHeight="true" outlineLevel="0" collapsed="false">
      <c r="A159" s="0" t="s">
        <v>157</v>
      </c>
      <c r="B159" s="0" t="n">
        <v>1982965</v>
      </c>
      <c r="C159" s="0" t="n">
        <v>2113526</v>
      </c>
      <c r="D159" s="0" t="n">
        <v>1660670</v>
      </c>
      <c r="E159" s="0" t="n">
        <v>1332886</v>
      </c>
      <c r="F159" s="0" t="n">
        <v>1191447</v>
      </c>
      <c r="G159" s="0" t="n">
        <v>2377745</v>
      </c>
      <c r="H159" s="0" t="n">
        <v>2213101</v>
      </c>
      <c r="I159" s="0" t="n">
        <v>2014331</v>
      </c>
      <c r="J159" s="0" t="n">
        <v>1860118</v>
      </c>
      <c r="K159" s="0" t="n">
        <v>1581583</v>
      </c>
    </row>
    <row r="160" customFormat="false" ht="15.75" hidden="false" customHeight="true" outlineLevel="0" collapsed="false">
      <c r="A160" s="0" t="s">
        <v>158</v>
      </c>
      <c r="B160" s="0" t="n">
        <v>801814</v>
      </c>
      <c r="C160" s="0" t="n">
        <v>1206774</v>
      </c>
      <c r="D160" s="0" t="n">
        <v>1232437</v>
      </c>
      <c r="E160" s="0" t="n">
        <v>1430439</v>
      </c>
      <c r="F160" s="0" t="n">
        <v>1791800</v>
      </c>
      <c r="G160" s="0" t="n">
        <v>788742</v>
      </c>
      <c r="H160" s="0" t="n">
        <v>1001827</v>
      </c>
      <c r="I160" s="0" t="n">
        <v>1176475</v>
      </c>
      <c r="J160" s="0" t="n">
        <v>1380696</v>
      </c>
      <c r="K160" s="0" t="n">
        <v>1409990</v>
      </c>
    </row>
    <row r="161" customFormat="false" ht="15.75" hidden="false" customHeight="true" outlineLevel="0" collapsed="false">
      <c r="A161" s="0" t="s">
        <v>159</v>
      </c>
      <c r="B161" s="0" t="n">
        <v>1982965</v>
      </c>
      <c r="C161" s="0" t="n">
        <v>2113526</v>
      </c>
      <c r="D161" s="0" t="n">
        <v>1660670</v>
      </c>
      <c r="E161" s="0" t="n">
        <v>1332886</v>
      </c>
      <c r="F161" s="0" t="n">
        <v>1191447</v>
      </c>
      <c r="G161" s="0" t="n">
        <v>2377745</v>
      </c>
      <c r="H161" s="0" t="n">
        <v>2213101</v>
      </c>
      <c r="I161" s="0" t="n">
        <v>2014331</v>
      </c>
      <c r="J161" s="0" t="n">
        <v>1860118</v>
      </c>
      <c r="K161" s="0" t="n">
        <v>1581583</v>
      </c>
    </row>
    <row r="162" customFormat="false" ht="15.75" hidden="false" customHeight="true" outlineLevel="0" collapsed="false">
      <c r="A162" s="0" t="s">
        <v>160</v>
      </c>
      <c r="B162" s="0" t="n">
        <v>801814</v>
      </c>
      <c r="C162" s="0" t="n">
        <v>1206774</v>
      </c>
      <c r="D162" s="0" t="n">
        <v>1232437</v>
      </c>
      <c r="E162" s="0" t="n">
        <v>1430439</v>
      </c>
      <c r="F162" s="0" t="n">
        <v>1791800</v>
      </c>
      <c r="G162" s="0" t="n">
        <v>788742</v>
      </c>
      <c r="H162" s="0" t="n">
        <v>1001827</v>
      </c>
      <c r="I162" s="0" t="n">
        <v>1176475</v>
      </c>
      <c r="J162" s="0" t="n">
        <v>1380696</v>
      </c>
      <c r="K162" s="0" t="n">
        <v>1409990</v>
      </c>
    </row>
    <row r="163" customFormat="false" ht="15.75" hidden="false" customHeight="true" outlineLevel="0" collapsed="false">
      <c r="A163" s="0" t="s">
        <v>161</v>
      </c>
      <c r="B163" s="0" t="n">
        <v>37712</v>
      </c>
      <c r="C163" s="0" t="n">
        <v>35216</v>
      </c>
      <c r="D163" s="0" t="n">
        <v>11568</v>
      </c>
      <c r="E163" s="0" t="n">
        <v>8776</v>
      </c>
      <c r="F163" s="0" t="n">
        <v>10478</v>
      </c>
      <c r="G163" s="0" t="n">
        <v>65</v>
      </c>
      <c r="H163" s="0" t="n">
        <v>329</v>
      </c>
      <c r="I163" s="0" t="n">
        <v>0</v>
      </c>
      <c r="J163" s="0" t="n">
        <v>0</v>
      </c>
      <c r="K163" s="0" t="n">
        <v>10699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6479233</v>
      </c>
      <c r="C165" s="0" t="n">
        <v>6929645</v>
      </c>
      <c r="D165" s="0" t="n">
        <v>6517697</v>
      </c>
      <c r="E165" s="0" t="n">
        <v>6230020</v>
      </c>
      <c r="F165" s="0" t="n">
        <v>6320161</v>
      </c>
      <c r="G165" s="0" t="n">
        <v>4619390</v>
      </c>
      <c r="H165" s="0" t="n">
        <v>4606793</v>
      </c>
      <c r="I165" s="0" t="n">
        <v>4491663</v>
      </c>
      <c r="J165" s="0" t="n">
        <v>4514623</v>
      </c>
      <c r="K165" s="0" t="n">
        <v>4176270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10717935</v>
      </c>
      <c r="C168" s="0" t="n">
        <v>10487862</v>
      </c>
      <c r="D168" s="0" t="n">
        <v>10236022</v>
      </c>
      <c r="E168" s="0" t="n">
        <v>7860203</v>
      </c>
      <c r="F168" s="0" t="n">
        <v>7465080</v>
      </c>
      <c r="G168" s="0" t="n">
        <v>8218588</v>
      </c>
      <c r="H168" s="0" t="n">
        <v>7827812</v>
      </c>
      <c r="I168" s="0" t="n">
        <v>7629760</v>
      </c>
      <c r="J168" s="0" t="n">
        <v>7425024</v>
      </c>
      <c r="K168" s="0" t="n">
        <v>7064459</v>
      </c>
    </row>
    <row r="169" customFormat="false" ht="15.75" hidden="false" customHeight="true" outlineLevel="0" collapsed="false">
      <c r="A169" s="0" t="s">
        <v>167</v>
      </c>
      <c r="B169" s="0" t="n">
        <v>10748162</v>
      </c>
      <c r="C169" s="0" t="n">
        <v>10444688</v>
      </c>
      <c r="D169" s="0" t="n">
        <v>9771059</v>
      </c>
      <c r="E169" s="0" t="n">
        <v>8043227</v>
      </c>
      <c r="F169" s="0" t="n">
        <v>7320518</v>
      </c>
      <c r="G169" s="0" t="n">
        <v>8324962</v>
      </c>
      <c r="H169" s="0" t="n">
        <v>7689620</v>
      </c>
      <c r="I169" s="0" t="n">
        <v>7598634</v>
      </c>
      <c r="J169" s="0" t="n">
        <v>7383103</v>
      </c>
      <c r="K169" s="0" t="n">
        <v>6865060</v>
      </c>
    </row>
    <row r="170" customFormat="false" ht="15.75" hidden="false" customHeight="true" outlineLevel="0" collapsed="false">
      <c r="A170" s="0" t="s">
        <v>168</v>
      </c>
      <c r="B170" s="0" t="n">
        <v>-64037</v>
      </c>
      <c r="C170" s="0" t="n">
        <v>-33861</v>
      </c>
      <c r="D170" s="0" t="n">
        <v>390341</v>
      </c>
      <c r="E170" s="0" t="n">
        <v>-226939</v>
      </c>
      <c r="F170" s="0" t="n">
        <v>114306</v>
      </c>
      <c r="G170" s="0" t="n">
        <v>-152382</v>
      </c>
      <c r="H170" s="0" t="n">
        <v>100126</v>
      </c>
      <c r="I170" s="0" t="n">
        <v>-48118</v>
      </c>
      <c r="J170" s="0" t="n">
        <v>581</v>
      </c>
      <c r="K170" s="0" t="n">
        <v>162630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-64037</v>
      </c>
      <c r="C172" s="0" t="n">
        <v>-33861</v>
      </c>
      <c r="D172" s="0" t="n">
        <v>390341</v>
      </c>
      <c r="E172" s="0" t="n">
        <v>-226939</v>
      </c>
      <c r="F172" s="0" t="n">
        <v>114306</v>
      </c>
      <c r="G172" s="0" t="n">
        <v>-152382</v>
      </c>
      <c r="H172" s="0" t="n">
        <v>100126</v>
      </c>
      <c r="I172" s="0" t="n">
        <v>-48118</v>
      </c>
      <c r="J172" s="0" t="n">
        <v>581</v>
      </c>
      <c r="K172" s="0" t="n">
        <v>162630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33810</v>
      </c>
      <c r="C174" s="0" t="n">
        <v>77035</v>
      </c>
      <c r="D174" s="0" t="n">
        <v>74622</v>
      </c>
      <c r="E174" s="0" t="n">
        <v>43915</v>
      </c>
      <c r="F174" s="0" t="n">
        <v>30256</v>
      </c>
      <c r="G174" s="0" t="n">
        <v>46008</v>
      </c>
      <c r="H174" s="0" t="n">
        <v>38066</v>
      </c>
      <c r="I174" s="0" t="n">
        <v>79244</v>
      </c>
      <c r="J174" s="0" t="n">
        <v>41340</v>
      </c>
      <c r="K174" s="0" t="n">
        <v>36769</v>
      </c>
    </row>
    <row r="175" customFormat="false" ht="15.75" hidden="false" customHeight="true" outlineLevel="0" collapsed="false">
      <c r="A175" s="0" t="s">
        <v>173</v>
      </c>
      <c r="B175" s="0" t="n">
        <v>0</v>
      </c>
      <c r="C175" s="0" t="n">
        <v>19472</v>
      </c>
      <c r="D175" s="0" t="n">
        <v>48345</v>
      </c>
      <c r="E175" s="0" t="n">
        <v>654</v>
      </c>
      <c r="F175" s="0" t="n">
        <v>1053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</row>
    <row r="176" customFormat="false" ht="15.75" hidden="false" customHeight="true" outlineLevel="0" collapsed="false">
      <c r="A176" s="0" t="s">
        <v>174</v>
      </c>
      <c r="B176" s="0" t="n">
        <v>10509139</v>
      </c>
      <c r="C176" s="0" t="n">
        <v>10330643</v>
      </c>
      <c r="D176" s="0" t="n">
        <v>9998947</v>
      </c>
      <c r="E176" s="0" t="n">
        <v>7701303</v>
      </c>
      <c r="F176" s="0" t="n">
        <v>7385766</v>
      </c>
      <c r="G176" s="0" t="n">
        <v>8117210</v>
      </c>
      <c r="H176" s="0" t="n">
        <v>7698777</v>
      </c>
      <c r="I176" s="0" t="n">
        <v>7537360</v>
      </c>
      <c r="J176" s="0" t="n">
        <v>7255191</v>
      </c>
      <c r="K176" s="0" t="n">
        <v>6502057</v>
      </c>
    </row>
    <row r="177" customFormat="false" ht="15.75" hidden="false" customHeight="true" outlineLevel="0" collapsed="false">
      <c r="A177" s="0" t="s">
        <v>175</v>
      </c>
      <c r="B177" s="0" t="n">
        <v>8042729</v>
      </c>
      <c r="C177" s="0" t="n">
        <v>7909736</v>
      </c>
      <c r="D177" s="0" t="n">
        <v>7635079</v>
      </c>
      <c r="E177" s="0" t="n">
        <v>5561813</v>
      </c>
      <c r="F177" s="0" t="n">
        <v>5319152</v>
      </c>
      <c r="G177" s="0" t="n">
        <v>6064470</v>
      </c>
      <c r="H177" s="0" t="n">
        <v>5643875</v>
      </c>
      <c r="I177" s="0" t="n">
        <v>5648984</v>
      </c>
      <c r="J177" s="0" t="n">
        <v>5503638</v>
      </c>
      <c r="K177" s="0" t="n">
        <v>4946714</v>
      </c>
    </row>
    <row r="178" customFormat="false" ht="15.75" hidden="false" customHeight="true" outlineLevel="0" collapsed="false">
      <c r="A178" s="0" t="s">
        <v>176</v>
      </c>
      <c r="B178" s="0" t="n">
        <v>1042479</v>
      </c>
      <c r="C178" s="0" t="n">
        <v>1055045</v>
      </c>
      <c r="D178" s="0" t="n">
        <v>1049603</v>
      </c>
      <c r="E178" s="0" t="n">
        <v>888400</v>
      </c>
      <c r="F178" s="0" t="n">
        <v>790856</v>
      </c>
      <c r="G178" s="0" t="n">
        <v>817799</v>
      </c>
      <c r="H178" s="0" t="n">
        <v>794983</v>
      </c>
      <c r="I178" s="0" t="n">
        <v>788067</v>
      </c>
      <c r="J178" s="0" t="n">
        <v>755578</v>
      </c>
      <c r="K178" s="0" t="n">
        <v>611124</v>
      </c>
    </row>
    <row r="179" customFormat="false" ht="15.75" hidden="false" customHeight="true" outlineLevel="0" collapsed="false">
      <c r="A179" s="0" t="s">
        <v>177</v>
      </c>
      <c r="B179" s="0" t="n">
        <v>18000</v>
      </c>
      <c r="C179" s="0" t="n">
        <v>18000</v>
      </c>
      <c r="D179" s="0" t="n">
        <v>18000</v>
      </c>
      <c r="E179" s="0" t="n">
        <v>31757</v>
      </c>
      <c r="F179" s="0" t="n">
        <v>70447</v>
      </c>
      <c r="G179" s="0" t="n">
        <v>70304</v>
      </c>
      <c r="H179" s="0" t="n">
        <v>84557</v>
      </c>
      <c r="I179" s="0" t="n">
        <v>99865</v>
      </c>
      <c r="J179" s="0" t="n">
        <v>83190</v>
      </c>
      <c r="K179" s="0" t="n">
        <v>35455</v>
      </c>
    </row>
    <row r="180" customFormat="false" ht="15.75" hidden="false" customHeight="true" outlineLevel="0" collapsed="false">
      <c r="A180" s="0" t="s">
        <v>178</v>
      </c>
      <c r="B180" s="0" t="n">
        <v>1065444</v>
      </c>
      <c r="C180" s="0" t="n">
        <v>1093378</v>
      </c>
      <c r="D180" s="0" t="n">
        <v>1079519</v>
      </c>
      <c r="E180" s="0" t="n">
        <v>916442</v>
      </c>
      <c r="F180" s="0" t="n">
        <v>857513</v>
      </c>
      <c r="G180" s="0" t="n">
        <v>921295</v>
      </c>
      <c r="H180" s="0" t="n">
        <v>885834</v>
      </c>
      <c r="I180" s="0" t="n">
        <v>756458</v>
      </c>
      <c r="J180" s="0" t="n">
        <v>701560</v>
      </c>
      <c r="K180" s="0" t="n">
        <v>761587</v>
      </c>
    </row>
    <row r="181" customFormat="false" ht="15.75" hidden="false" customHeight="true" outlineLevel="0" collapsed="false">
      <c r="A181" s="0" t="s">
        <v>179</v>
      </c>
      <c r="B181" s="0" t="n">
        <v>756833</v>
      </c>
      <c r="C181" s="0" t="n">
        <v>776772</v>
      </c>
      <c r="D181" s="0" t="n">
        <v>764943</v>
      </c>
      <c r="E181" s="0" t="n">
        <v>649234</v>
      </c>
      <c r="F181" s="0" t="n">
        <v>609487</v>
      </c>
      <c r="G181" s="0" t="n">
        <v>659851</v>
      </c>
      <c r="H181" s="0" t="n">
        <v>632910</v>
      </c>
      <c r="I181" s="0" t="n">
        <v>541524</v>
      </c>
      <c r="J181" s="0" t="n">
        <v>502282</v>
      </c>
      <c r="K181" s="0" t="n">
        <v>551417</v>
      </c>
    </row>
    <row r="182" customFormat="false" ht="15.75" hidden="false" customHeight="true" outlineLevel="0" collapsed="false">
      <c r="A182" s="0" t="s">
        <v>180</v>
      </c>
      <c r="B182" s="0" t="n">
        <v>248897</v>
      </c>
      <c r="C182" s="0" t="n">
        <v>253368</v>
      </c>
      <c r="D182" s="0" t="n">
        <v>233553</v>
      </c>
      <c r="E182" s="0" t="n">
        <v>204139</v>
      </c>
      <c r="F182" s="0" t="n">
        <v>191099</v>
      </c>
      <c r="G182" s="0" t="n">
        <v>208518</v>
      </c>
      <c r="H182" s="0" t="n">
        <v>199901</v>
      </c>
      <c r="I182" s="0" t="n">
        <v>170298</v>
      </c>
      <c r="J182" s="0" t="n">
        <v>159221</v>
      </c>
      <c r="K182" s="0" t="n">
        <v>169104</v>
      </c>
    </row>
    <row r="183" customFormat="false" ht="15.75" hidden="false" customHeight="true" outlineLevel="0" collapsed="false">
      <c r="A183" s="0" t="s">
        <v>181</v>
      </c>
      <c r="B183" s="0" t="n">
        <v>58591</v>
      </c>
      <c r="C183" s="0" t="n">
        <v>60214</v>
      </c>
      <c r="D183" s="0" t="n">
        <v>77535</v>
      </c>
      <c r="E183" s="0" t="n">
        <v>59827</v>
      </c>
      <c r="F183" s="0" t="n">
        <v>52011</v>
      </c>
      <c r="G183" s="0" t="n">
        <v>51507</v>
      </c>
      <c r="H183" s="0" t="n">
        <v>47810</v>
      </c>
      <c r="I183" s="0" t="n">
        <v>42947</v>
      </c>
      <c r="J183" s="0" t="n">
        <v>39484</v>
      </c>
      <c r="K183" s="0" t="n">
        <v>41066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1123</v>
      </c>
      <c r="C185" s="0" t="n">
        <v>3024</v>
      </c>
      <c r="D185" s="0" t="n">
        <v>3488</v>
      </c>
      <c r="E185" s="0" t="n">
        <v>3242</v>
      </c>
      <c r="F185" s="0" t="n">
        <v>4916</v>
      </c>
      <c r="G185" s="0" t="n">
        <v>1419</v>
      </c>
      <c r="H185" s="0" t="n">
        <v>5213</v>
      </c>
      <c r="I185" s="0" t="n">
        <v>1689</v>
      </c>
      <c r="J185" s="0" t="n">
        <v>573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59714</v>
      </c>
      <c r="C186" s="0" t="n">
        <v>63238</v>
      </c>
      <c r="D186" s="0" t="n">
        <v>81023</v>
      </c>
      <c r="E186" s="0" t="n">
        <v>63069</v>
      </c>
      <c r="F186" s="0" t="n">
        <v>56927</v>
      </c>
      <c r="G186" s="0" t="n">
        <v>52926</v>
      </c>
      <c r="H186" s="0" t="n">
        <v>53023</v>
      </c>
      <c r="I186" s="0" t="n">
        <v>44636</v>
      </c>
      <c r="J186" s="0" t="n">
        <v>40057</v>
      </c>
      <c r="K186" s="0" t="n">
        <v>41066</v>
      </c>
    </row>
    <row r="187" customFormat="false" ht="15.75" hidden="false" customHeight="true" outlineLevel="0" collapsed="false">
      <c r="A187" s="0" t="s">
        <v>185</v>
      </c>
      <c r="B187" s="0" t="n">
        <v>181712</v>
      </c>
      <c r="C187" s="0" t="n">
        <v>266884</v>
      </c>
      <c r="D187" s="0" t="n">
        <v>290700</v>
      </c>
      <c r="E187" s="0" t="n">
        <v>296927</v>
      </c>
      <c r="F187" s="0" t="n">
        <v>210400</v>
      </c>
      <c r="G187" s="0" t="n">
        <v>255902</v>
      </c>
      <c r="H187" s="0" t="n">
        <v>259701</v>
      </c>
      <c r="I187" s="0" t="n">
        <v>241735</v>
      </c>
      <c r="J187" s="0" t="n">
        <v>222408</v>
      </c>
      <c r="K187" s="0" t="n">
        <v>194276</v>
      </c>
    </row>
    <row r="188" customFormat="false" ht="15.75" hidden="false" customHeight="true" outlineLevel="0" collapsed="false">
      <c r="A188" s="0" t="s">
        <v>186</v>
      </c>
      <c r="B188" s="0" t="n">
        <v>429</v>
      </c>
      <c r="C188" s="0" t="n">
        <v>1032</v>
      </c>
      <c r="D188" s="0" t="n">
        <v>1346</v>
      </c>
      <c r="E188" s="0" t="n">
        <v>9341</v>
      </c>
      <c r="F188" s="0" t="n">
        <v>14368</v>
      </c>
      <c r="G188" s="0" t="n">
        <v>14158</v>
      </c>
      <c r="H188" s="0" t="n">
        <v>14465</v>
      </c>
      <c r="I188" s="0" t="n">
        <v>14151</v>
      </c>
      <c r="J188" s="0" t="n">
        <v>8338</v>
      </c>
      <c r="K188" s="0" t="n">
        <v>3054</v>
      </c>
    </row>
    <row r="189" customFormat="false" ht="15.75" hidden="false" customHeight="true" outlineLevel="0" collapsed="false">
      <c r="A189" s="0" t="s">
        <v>187</v>
      </c>
      <c r="B189" s="0" t="n">
        <v>177783</v>
      </c>
      <c r="C189" s="0" t="n">
        <v>261852</v>
      </c>
      <c r="D189" s="0" t="n">
        <v>283333</v>
      </c>
      <c r="E189" s="0" t="n">
        <v>282086</v>
      </c>
      <c r="F189" s="0" t="n">
        <v>192732</v>
      </c>
      <c r="G189" s="0" t="n">
        <v>236061</v>
      </c>
      <c r="H189" s="0" t="n">
        <v>240517</v>
      </c>
      <c r="I189" s="0" t="n">
        <v>223250</v>
      </c>
      <c r="J189" s="0" t="n">
        <v>210438</v>
      </c>
      <c r="K189" s="0" t="n">
        <v>187331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178212</v>
      </c>
      <c r="C191" s="0" t="n">
        <v>262884</v>
      </c>
      <c r="D191" s="0" t="n">
        <v>284679</v>
      </c>
      <c r="E191" s="0" t="n">
        <v>291427</v>
      </c>
      <c r="F191" s="0" t="n">
        <v>207100</v>
      </c>
      <c r="G191" s="0" t="n">
        <v>250219</v>
      </c>
      <c r="H191" s="0" t="n">
        <v>254982</v>
      </c>
      <c r="I191" s="0" t="n">
        <v>237401</v>
      </c>
      <c r="J191" s="0" t="n">
        <v>218776</v>
      </c>
      <c r="K191" s="0" t="n">
        <v>190385</v>
      </c>
    </row>
    <row r="192" customFormat="false" ht="15.75" hidden="false" customHeight="true" outlineLevel="0" collapsed="false">
      <c r="A192" s="0" t="s">
        <v>190</v>
      </c>
      <c r="B192" s="0" t="n">
        <v>3500</v>
      </c>
      <c r="C192" s="0" t="n">
        <v>4000</v>
      </c>
      <c r="D192" s="0" t="n">
        <v>6021</v>
      </c>
      <c r="E192" s="0" t="n">
        <v>5500</v>
      </c>
      <c r="F192" s="0" t="n">
        <v>3300</v>
      </c>
      <c r="G192" s="0" t="n">
        <v>5683</v>
      </c>
      <c r="H192" s="0" t="n">
        <v>4719</v>
      </c>
      <c r="I192" s="0" t="n">
        <v>4334</v>
      </c>
      <c r="J192" s="0" t="n">
        <v>3632</v>
      </c>
      <c r="K192" s="0" t="n">
        <v>3891</v>
      </c>
    </row>
    <row r="193" customFormat="false" ht="15.75" hidden="false" customHeight="true" outlineLevel="0" collapsed="false">
      <c r="A193" s="0" t="s">
        <v>191</v>
      </c>
      <c r="B193" s="0" t="n">
        <v>123637</v>
      </c>
      <c r="C193" s="0" t="n">
        <v>-85812</v>
      </c>
      <c r="D193" s="0" t="n">
        <v>-102926</v>
      </c>
      <c r="E193" s="0" t="n">
        <v>-24242</v>
      </c>
      <c r="F193" s="0" t="n">
        <v>102446</v>
      </c>
      <c r="G193" s="0" t="n">
        <v>-47527</v>
      </c>
      <c r="H193" s="0" t="n">
        <v>-4875</v>
      </c>
      <c r="I193" s="0" t="n">
        <v>-18872</v>
      </c>
      <c r="J193" s="0" t="n">
        <v>-38563</v>
      </c>
      <c r="K193" s="0" t="n">
        <v>-82592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35138</v>
      </c>
      <c r="C196" s="0" t="n">
        <v>73412</v>
      </c>
      <c r="D196" s="0" t="n">
        <v>28972</v>
      </c>
      <c r="E196" s="0" t="n">
        <v>30206</v>
      </c>
      <c r="F196" s="0" t="n">
        <v>34952</v>
      </c>
      <c r="G196" s="0" t="n">
        <v>34967</v>
      </c>
      <c r="H196" s="0" t="n">
        <v>34702</v>
      </c>
      <c r="I196" s="0" t="n">
        <v>21123</v>
      </c>
      <c r="J196" s="0" t="n">
        <v>27380</v>
      </c>
      <c r="K196" s="0" t="n">
        <v>35493</v>
      </c>
    </row>
    <row r="197" customFormat="false" ht="15.75" hidden="false" customHeight="true" outlineLevel="0" collapsed="false">
      <c r="A197" s="0" t="s">
        <v>195</v>
      </c>
      <c r="B197" s="0" t="n">
        <v>208796</v>
      </c>
      <c r="C197" s="0" t="n">
        <v>157219</v>
      </c>
      <c r="D197" s="0" t="n">
        <v>237075</v>
      </c>
      <c r="E197" s="0" t="n">
        <v>158900</v>
      </c>
      <c r="F197" s="0" t="n">
        <v>79314</v>
      </c>
      <c r="G197" s="0" t="n">
        <v>101378</v>
      </c>
      <c r="H197" s="0" t="n">
        <v>129035</v>
      </c>
      <c r="I197" s="0" t="n">
        <v>92400</v>
      </c>
      <c r="J197" s="0" t="n">
        <v>169833</v>
      </c>
      <c r="K197" s="0" t="n">
        <v>562402</v>
      </c>
    </row>
    <row r="198" customFormat="false" ht="15.75" hidden="false" customHeight="true" outlineLevel="0" collapsed="false">
      <c r="A198" s="0" t="s">
        <v>196</v>
      </c>
      <c r="B198" s="0" t="n">
        <v>1455952</v>
      </c>
      <c r="C198" s="0" t="n">
        <v>1517481</v>
      </c>
      <c r="D198" s="0" t="n">
        <v>1607294</v>
      </c>
      <c r="E198" s="0" t="n">
        <v>1372269</v>
      </c>
      <c r="F198" s="0" t="n">
        <v>1147227</v>
      </c>
      <c r="G198" s="0" t="n">
        <v>1278575</v>
      </c>
      <c r="H198" s="0" t="n">
        <v>1274570</v>
      </c>
      <c r="I198" s="0" t="n">
        <v>1090593</v>
      </c>
      <c r="J198" s="0" t="n">
        <v>1093801</v>
      </c>
      <c r="K198" s="0" t="n">
        <v>1518265</v>
      </c>
    </row>
    <row r="199" customFormat="false" ht="15.75" hidden="false" customHeight="true" outlineLevel="0" collapsed="false">
      <c r="A199" s="0" t="s">
        <v>197</v>
      </c>
      <c r="B199" s="0" t="n">
        <v>-108744</v>
      </c>
      <c r="C199" s="0" t="n">
        <v>-99460</v>
      </c>
      <c r="D199" s="0" t="n">
        <v>-32150</v>
      </c>
      <c r="E199" s="0" t="n">
        <v>-28050</v>
      </c>
      <c r="F199" s="0" t="n">
        <v>-38589</v>
      </c>
      <c r="G199" s="0" t="n">
        <v>-39669</v>
      </c>
      <c r="H199" s="0" t="n">
        <v>-38800</v>
      </c>
      <c r="I199" s="0" t="n">
        <v>-49795</v>
      </c>
      <c r="J199" s="0" t="n">
        <v>-62525</v>
      </c>
      <c r="K199" s="0" t="n">
        <v>-60964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1525</v>
      </c>
      <c r="C204" s="0" t="n">
        <v>2140</v>
      </c>
      <c r="D204" s="0" t="n">
        <v>2565</v>
      </c>
      <c r="E204" s="0" t="n">
        <v>4889</v>
      </c>
      <c r="F204" s="0" t="n">
        <v>3414</v>
      </c>
      <c r="G204" s="0" t="n">
        <v>4000</v>
      </c>
      <c r="H204" s="0" t="n">
        <v>2187</v>
      </c>
      <c r="I204" s="0" t="n">
        <v>2911</v>
      </c>
      <c r="J204" s="0" t="n">
        <v>2667</v>
      </c>
      <c r="K204" s="0" t="n">
        <v>12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2000</v>
      </c>
      <c r="D205" s="0" t="n">
        <v>2472</v>
      </c>
      <c r="E205" s="0" t="n">
        <v>3400</v>
      </c>
      <c r="F205" s="0" t="n">
        <v>3400</v>
      </c>
      <c r="G205" s="0" t="n">
        <v>4000</v>
      </c>
      <c r="H205" s="0" t="n">
        <v>2186</v>
      </c>
      <c r="I205" s="0" t="n">
        <v>2904</v>
      </c>
      <c r="J205" s="0" t="n">
        <v>2667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1525</v>
      </c>
      <c r="C211" s="0" t="n">
        <v>140</v>
      </c>
      <c r="D211" s="0" t="n">
        <v>93</v>
      </c>
      <c r="E211" s="0" t="n">
        <v>1489</v>
      </c>
      <c r="F211" s="0" t="n">
        <v>14</v>
      </c>
      <c r="G211" s="0" t="n">
        <v>0</v>
      </c>
      <c r="H211" s="0" t="n">
        <v>1</v>
      </c>
      <c r="I211" s="0" t="n">
        <v>7</v>
      </c>
      <c r="J211" s="0" t="n">
        <v>0</v>
      </c>
      <c r="K211" s="0" t="n">
        <v>12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110269</v>
      </c>
      <c r="C214" s="0" t="n">
        <v>101600</v>
      </c>
      <c r="D214" s="0" t="n">
        <v>34715</v>
      </c>
      <c r="E214" s="0" t="n">
        <v>32939</v>
      </c>
      <c r="F214" s="0" t="n">
        <v>42003</v>
      </c>
      <c r="G214" s="0" t="n">
        <v>43669</v>
      </c>
      <c r="H214" s="0" t="n">
        <v>40987</v>
      </c>
      <c r="I214" s="0" t="n">
        <v>52706</v>
      </c>
      <c r="J214" s="0" t="n">
        <v>65192</v>
      </c>
      <c r="K214" s="0" t="n">
        <v>60976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100052</v>
      </c>
      <c r="C237" s="0" t="n">
        <v>57759</v>
      </c>
      <c r="D237" s="0" t="n">
        <v>204925</v>
      </c>
      <c r="E237" s="0" t="n">
        <v>130850</v>
      </c>
      <c r="F237" s="0" t="n">
        <v>40725</v>
      </c>
      <c r="G237" s="0" t="n">
        <v>61709</v>
      </c>
      <c r="H237" s="0" t="n">
        <v>90235</v>
      </c>
      <c r="I237" s="0" t="n">
        <v>42605</v>
      </c>
      <c r="J237" s="0" t="n">
        <v>107308</v>
      </c>
      <c r="K237" s="0" t="n">
        <v>501438</v>
      </c>
    </row>
    <row r="238" customFormat="false" ht="15.75" hidden="false" customHeight="true" outlineLevel="0" collapsed="false">
      <c r="A238" s="0" t="s">
        <v>231</v>
      </c>
      <c r="B238" s="0" t="n">
        <v>52061</v>
      </c>
      <c r="C238" s="0" t="n">
        <v>34196</v>
      </c>
      <c r="D238" s="0" t="n">
        <v>66907</v>
      </c>
      <c r="E238" s="0" t="n">
        <v>39917</v>
      </c>
      <c r="F238" s="0" t="n">
        <v>13565</v>
      </c>
      <c r="G238" s="0" t="n">
        <v>20189</v>
      </c>
      <c r="H238" s="0" t="n">
        <v>27527</v>
      </c>
      <c r="I238" s="0" t="n">
        <v>12435</v>
      </c>
      <c r="J238" s="0" t="n">
        <v>34278</v>
      </c>
      <c r="K238" s="0" t="n">
        <v>164164</v>
      </c>
    </row>
    <row r="239" customFormat="false" ht="15.75" hidden="false" customHeight="true" outlineLevel="0" collapsed="false">
      <c r="A239" s="0" t="s">
        <v>232</v>
      </c>
      <c r="B239" s="0" t="n">
        <v>53472</v>
      </c>
      <c r="C239" s="0" t="n">
        <v>35907</v>
      </c>
      <c r="D239" s="0" t="n">
        <v>64746</v>
      </c>
      <c r="E239" s="0" t="n">
        <v>37019</v>
      </c>
      <c r="F239" s="0" t="n">
        <v>5175</v>
      </c>
      <c r="G239" s="0" t="n">
        <v>20802</v>
      </c>
      <c r="H239" s="0" t="n">
        <v>27527</v>
      </c>
      <c r="I239" s="0" t="n">
        <v>12435</v>
      </c>
      <c r="J239" s="0" t="n">
        <v>34278</v>
      </c>
      <c r="K239" s="0" t="n">
        <v>164164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1719</v>
      </c>
      <c r="D240" s="0" t="n">
        <v>2161</v>
      </c>
      <c r="E240" s="0" t="n">
        <v>1015</v>
      </c>
      <c r="F240" s="0" t="n">
        <v>-1183</v>
      </c>
      <c r="G240" s="0" t="n">
        <v>-613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-1411</v>
      </c>
      <c r="C241" s="0" t="n">
        <v>-3430</v>
      </c>
      <c r="D241" s="0" t="n">
        <v>0</v>
      </c>
      <c r="E241" s="0" t="n">
        <v>1883</v>
      </c>
      <c r="F241" s="0" t="n">
        <v>9573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47991</v>
      </c>
      <c r="C245" s="0" t="n">
        <v>23563</v>
      </c>
      <c r="D245" s="0" t="n">
        <v>138018</v>
      </c>
      <c r="E245" s="0" t="n">
        <v>90933</v>
      </c>
      <c r="F245" s="0" t="n">
        <v>27160</v>
      </c>
      <c r="G245" s="0" t="n">
        <v>41520</v>
      </c>
      <c r="H245" s="0" t="n">
        <v>62708</v>
      </c>
      <c r="I245" s="0" t="n">
        <v>30170</v>
      </c>
      <c r="J245" s="0" t="n">
        <v>73030</v>
      </c>
      <c r="K245" s="0" t="n">
        <v>337274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3738553</v>
      </c>
      <c r="C5" s="10" t="n">
        <f aca="false">$M5*input!C4</f>
        <v>3878514</v>
      </c>
      <c r="D5" s="10" t="n">
        <f aca="false">$M5*input!D4</f>
        <v>3703601</v>
      </c>
      <c r="E5" s="10" t="n">
        <f aca="false">$M5*input!E4</f>
        <v>3856913</v>
      </c>
      <c r="F5" s="10" t="n">
        <f aca="false">$M5*input!F4</f>
        <v>4103066</v>
      </c>
      <c r="G5" s="10" t="n">
        <f aca="false">$M5*input!G4</f>
        <v>2316758</v>
      </c>
      <c r="H5" s="10" t="n">
        <f aca="false">$M5*input!H4</f>
        <v>2364636</v>
      </c>
      <c r="I5" s="10" t="n">
        <f aca="false">$M5*input!I4</f>
        <v>2327351</v>
      </c>
      <c r="J5" s="10" t="n">
        <f aca="false">$M5*input!J4</f>
        <v>2514852</v>
      </c>
      <c r="K5" s="10" t="n">
        <f aca="false">$M5*input!K4</f>
        <v>2145754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1282</v>
      </c>
      <c r="C6" s="2" t="n">
        <f aca="false">$M6*input!C5</f>
        <v>1712</v>
      </c>
      <c r="D6" s="2" t="n">
        <f aca="false">$M6*input!D5</f>
        <v>2744</v>
      </c>
      <c r="E6" s="2" t="n">
        <f aca="false">$M6*input!E5</f>
        <v>3344</v>
      </c>
      <c r="F6" s="2" t="n">
        <f aca="false">$M6*input!F5</f>
        <v>11317</v>
      </c>
      <c r="G6" s="2" t="n">
        <f aca="false">$M6*input!G5</f>
        <v>23177</v>
      </c>
      <c r="H6" s="2" t="n">
        <f aca="false">$M6*input!H5</f>
        <v>36257</v>
      </c>
      <c r="I6" s="2" t="n">
        <f aca="false">$M6*input!I5</f>
        <v>49156</v>
      </c>
      <c r="J6" s="2" t="n">
        <f aca="false">$M6*input!J5</f>
        <v>62552</v>
      </c>
      <c r="K6" s="2" t="n">
        <f aca="false">$M6*input!K5</f>
        <v>34512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661</v>
      </c>
      <c r="C9" s="2" t="n">
        <f aca="false">$M9*input!C8</f>
        <v>1049</v>
      </c>
      <c r="D9" s="2" t="n">
        <f aca="false">$M9*input!D8</f>
        <v>2040</v>
      </c>
      <c r="E9" s="2" t="n">
        <f aca="false">$M9*input!E8</f>
        <v>3157</v>
      </c>
      <c r="F9" s="2" t="n">
        <f aca="false">$M9*input!F8</f>
        <v>10942</v>
      </c>
      <c r="G9" s="2" t="n">
        <f aca="false">$M9*input!G8</f>
        <v>17523</v>
      </c>
      <c r="H9" s="2" t="n">
        <f aca="false">$M9*input!H8</f>
        <v>25323</v>
      </c>
      <c r="I9" s="2" t="n">
        <f aca="false">$M9*input!I8</f>
        <v>33879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621</v>
      </c>
      <c r="C10" s="2" t="n">
        <f aca="false">$M10*input!C9</f>
        <v>663</v>
      </c>
      <c r="D10" s="2" t="n">
        <f aca="false">$M10*input!D9</f>
        <v>704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187</v>
      </c>
      <c r="F14" s="2" t="n">
        <f aca="false">$M14*input!F13</f>
        <v>375</v>
      </c>
      <c r="G14" s="2" t="n">
        <f aca="false">$M14*input!G13</f>
        <v>5654</v>
      </c>
      <c r="H14" s="2" t="n">
        <f aca="false">$M14*input!H13</f>
        <v>10934</v>
      </c>
      <c r="I14" s="2" t="n">
        <f aca="false">$M14*input!I13</f>
        <v>15277</v>
      </c>
      <c r="J14" s="2" t="n">
        <f aca="false">$M14*input!J13</f>
        <v>0</v>
      </c>
      <c r="K14" s="2" t="n">
        <f aca="false">$M14*input!K13</f>
        <v>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118560</v>
      </c>
      <c r="E15" s="2" t="n">
        <f aca="false">$M15*input!E14</f>
        <v>117215</v>
      </c>
      <c r="F15" s="2" t="n">
        <f aca="false">$M15*input!F14</f>
        <v>107873</v>
      </c>
      <c r="G15" s="2" t="n">
        <f aca="false">$M15*input!G14</f>
        <v>93505</v>
      </c>
      <c r="H15" s="2" t="n">
        <f aca="false">$M15*input!H14</f>
        <v>79347</v>
      </c>
      <c r="I15" s="2" t="n">
        <f aca="false">$M15*input!I14</f>
        <v>64882</v>
      </c>
      <c r="J15" s="2" t="n">
        <f aca="false">$M15*input!J14</f>
        <v>50731</v>
      </c>
      <c r="K15" s="2" t="n">
        <f aca="false">$M15*input!K14</f>
        <v>42394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3603771</v>
      </c>
      <c r="C16" s="2" t="n">
        <f aca="false">$M16*input!C15</f>
        <v>3742802</v>
      </c>
      <c r="D16" s="2" t="n">
        <f aca="false">$M16*input!D15</f>
        <v>3566385</v>
      </c>
      <c r="E16" s="2" t="n">
        <f aca="false">$M16*input!E15</f>
        <v>3648169</v>
      </c>
      <c r="F16" s="2" t="n">
        <f aca="false">$M16*input!F15</f>
        <v>3886349</v>
      </c>
      <c r="G16" s="2" t="n">
        <f aca="false">$M16*input!G15</f>
        <v>2087581</v>
      </c>
      <c r="H16" s="2" t="n">
        <f aca="false">$M16*input!H15</f>
        <v>2124193</v>
      </c>
      <c r="I16" s="2" t="n">
        <f aca="false">$M16*input!I15</f>
        <v>2173291</v>
      </c>
      <c r="J16" s="2" t="n">
        <f aca="false">$M16*input!J15</f>
        <v>2247633</v>
      </c>
      <c r="K16" s="2" t="n">
        <f aca="false">$M16*input!K15</f>
        <v>2109242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2893415</v>
      </c>
      <c r="C18" s="2" t="n">
        <f aca="false">$M18*input!C17</f>
        <v>2953285</v>
      </c>
      <c r="D18" s="2" t="n">
        <f aca="false">$M18*input!D17</f>
        <v>2984293</v>
      </c>
      <c r="E18" s="2" t="n">
        <f aca="false">$M18*input!E17</f>
        <v>3092147</v>
      </c>
      <c r="F18" s="2" t="n">
        <f aca="false">$M18*input!F17</f>
        <v>3200001</v>
      </c>
      <c r="G18" s="2" t="n">
        <f aca="false">$M18*input!G17</f>
        <v>1359175</v>
      </c>
      <c r="H18" s="2" t="n">
        <f aca="false">$M18*input!H17</f>
        <v>1417257</v>
      </c>
      <c r="I18" s="2" t="n">
        <f aca="false">$M18*input!I17</f>
        <v>1475508</v>
      </c>
      <c r="J18" s="2" t="n">
        <f aca="false">$M18*input!J17</f>
        <v>0</v>
      </c>
      <c r="K18" s="2" t="n">
        <f aca="false">$M18*input!K17</f>
        <v>0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474391</v>
      </c>
      <c r="C19" s="2" t="n">
        <f aca="false">$M19*input!C18</f>
        <v>508101</v>
      </c>
      <c r="D19" s="2" t="n">
        <f aca="false">$M19*input!D18</f>
        <v>317950</v>
      </c>
      <c r="E19" s="2" t="n">
        <f aca="false">$M19*input!E18</f>
        <v>381250</v>
      </c>
      <c r="F19" s="2" t="n">
        <f aca="false">$M19*input!F18</f>
        <v>461837</v>
      </c>
      <c r="G19" s="2" t="n">
        <f aca="false">$M19*input!G18</f>
        <v>482335</v>
      </c>
      <c r="H19" s="2" t="n">
        <f aca="false">$M19*input!H18</f>
        <v>488838</v>
      </c>
      <c r="I19" s="2" t="n">
        <f aca="false">$M19*input!I18</f>
        <v>570161</v>
      </c>
      <c r="J19" s="2" t="n">
        <f aca="false">$M19*input!J18</f>
        <v>0</v>
      </c>
      <c r="K19" s="2" t="n">
        <f aca="false">$M19*input!K18</f>
        <v>0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398</v>
      </c>
      <c r="C20" s="2" t="n">
        <f aca="false">$M20*input!C19</f>
        <v>498</v>
      </c>
      <c r="D20" s="2" t="n">
        <f aca="false">$M20*input!D19</f>
        <v>697</v>
      </c>
      <c r="E20" s="2" t="n">
        <f aca="false">$M20*input!E19</f>
        <v>1552</v>
      </c>
      <c r="F20" s="2" t="n">
        <f aca="false">$M20*input!F19</f>
        <v>2030</v>
      </c>
      <c r="G20" s="2" t="n">
        <f aca="false">$M20*input!G19</f>
        <v>3465</v>
      </c>
      <c r="H20" s="2" t="n">
        <f aca="false">$M20*input!H19</f>
        <v>4900</v>
      </c>
      <c r="I20" s="2" t="n">
        <f aca="false">$M20*input!I19</f>
        <v>6335</v>
      </c>
      <c r="J20" s="2" t="n">
        <f aca="false">$M20*input!J19</f>
        <v>0</v>
      </c>
      <c r="K20" s="2" t="n">
        <f aca="false">$M20*input!K19</f>
        <v>0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216674</v>
      </c>
      <c r="C21" s="2" t="n">
        <f aca="false">$M21*input!C20</f>
        <v>262025</v>
      </c>
      <c r="D21" s="2" t="n">
        <f aca="false">$M21*input!D20</f>
        <v>247367</v>
      </c>
      <c r="E21" s="2" t="n">
        <f aca="false">$M21*input!E20</f>
        <v>152641</v>
      </c>
      <c r="F21" s="2" t="n">
        <f aca="false">$M21*input!F20</f>
        <v>211902</v>
      </c>
      <c r="G21" s="2" t="n">
        <f aca="false">$M21*input!G20</f>
        <v>207968</v>
      </c>
      <c r="H21" s="2" t="n">
        <f aca="false">$M21*input!H20</f>
        <v>205564</v>
      </c>
      <c r="I21" s="2" t="n">
        <f aca="false">$M21*input!I20</f>
        <v>114236</v>
      </c>
      <c r="J21" s="2" t="n">
        <f aca="false">$M21*input!J20</f>
        <v>0</v>
      </c>
      <c r="K21" s="2" t="n">
        <f aca="false">$M21*input!K20</f>
        <v>0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18893</v>
      </c>
      <c r="C22" s="2" t="n">
        <f aca="false">$M22*input!C21</f>
        <v>18893</v>
      </c>
      <c r="D22" s="2" t="n">
        <f aca="false">$M22*input!D21</f>
        <v>16078</v>
      </c>
      <c r="E22" s="2" t="n">
        <f aca="false">$M22*input!E21</f>
        <v>20579</v>
      </c>
      <c r="F22" s="2" t="n">
        <f aca="false">$M22*input!F21</f>
        <v>10579</v>
      </c>
      <c r="G22" s="2" t="n">
        <f aca="false">$M22*input!G21</f>
        <v>34638</v>
      </c>
      <c r="H22" s="2" t="n">
        <f aca="false">$M22*input!H21</f>
        <v>7634</v>
      </c>
      <c r="I22" s="2" t="n">
        <f aca="false">$M22*input!I21</f>
        <v>7051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1987737</v>
      </c>
      <c r="E23" s="2" t="n">
        <f aca="false">$M23*input!E22</f>
        <v>1727444</v>
      </c>
      <c r="F23" s="2" t="n">
        <f aca="false">$M23*input!F22</f>
        <v>1533329</v>
      </c>
      <c r="G23" s="2" t="n">
        <f aca="false">$M23*input!G22</f>
        <v>2413573</v>
      </c>
      <c r="H23" s="2" t="n">
        <f aca="false">$M23*input!H22</f>
        <v>2278310</v>
      </c>
      <c r="I23" s="2" t="n">
        <f aca="false">$M23*input!I22</f>
        <v>2040155</v>
      </c>
      <c r="J23" s="2" t="n">
        <f aca="false">$M23*input!J22</f>
        <v>1850002</v>
      </c>
      <c r="K23" s="2" t="n">
        <f aca="false">$M23*input!K22</f>
        <v>1639566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133500</v>
      </c>
      <c r="C24" s="2" t="n">
        <f aca="false">$M24*input!C23</f>
        <v>134000</v>
      </c>
      <c r="D24" s="2" t="n">
        <f aca="false">$M24*input!D23</f>
        <v>134472</v>
      </c>
      <c r="E24" s="2" t="n">
        <f aca="false">$M24*input!E23</f>
        <v>205400</v>
      </c>
      <c r="F24" s="2" t="n">
        <f aca="false">$M24*input!F23</f>
        <v>205400</v>
      </c>
      <c r="G24" s="2" t="n">
        <f aca="false">$M24*input!G23</f>
        <v>206000</v>
      </c>
      <c r="H24" s="2" t="n">
        <f aca="false">$M24*input!H23</f>
        <v>204186</v>
      </c>
      <c r="I24" s="2" t="n">
        <f aca="false">$M24*input!I23</f>
        <v>104904</v>
      </c>
      <c r="J24" s="2" t="n">
        <f aca="false">$M24*input!J23</f>
        <v>204667</v>
      </c>
      <c r="K24" s="2" t="n">
        <f aca="false">$M24*input!K23</f>
        <v>2000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1500</v>
      </c>
      <c r="C25" s="2" t="n">
        <f aca="false">$M25*input!C24</f>
        <v>77000</v>
      </c>
      <c r="D25" s="2" t="n">
        <f aca="false">$M25*input!D24</f>
        <v>102472</v>
      </c>
      <c r="E25" s="2" t="n">
        <f aca="false">$M25*input!E24</f>
        <v>173400</v>
      </c>
      <c r="F25" s="2" t="n">
        <f aca="false">$M25*input!F24</f>
        <v>173400</v>
      </c>
      <c r="G25" s="2" t="n">
        <f aca="false">$M25*input!G24</f>
        <v>174000</v>
      </c>
      <c r="H25" s="2" t="n">
        <f aca="false">$M25*input!H24</f>
        <v>202186</v>
      </c>
      <c r="I25" s="2" t="n">
        <f aca="false">$M25*input!I24</f>
        <v>102904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72000</v>
      </c>
      <c r="C26" s="2" t="n">
        <f aca="false">$M26*input!C25</f>
        <v>57000</v>
      </c>
      <c r="D26" s="2" t="n">
        <f aca="false">$M26*input!D25</f>
        <v>32000</v>
      </c>
      <c r="E26" s="2" t="n">
        <f aca="false">$M26*input!E25</f>
        <v>32000</v>
      </c>
      <c r="F26" s="2" t="n">
        <f aca="false">$M26*input!F25</f>
        <v>32000</v>
      </c>
      <c r="G26" s="2" t="n">
        <f aca="false">$M26*input!G25</f>
        <v>32000</v>
      </c>
      <c r="H26" s="2" t="n">
        <f aca="false">$M26*input!H25</f>
        <v>2000</v>
      </c>
      <c r="I26" s="2" t="n">
        <f aca="false">$M26*input!I25</f>
        <v>2000</v>
      </c>
      <c r="J26" s="2" t="n">
        <f aca="false">$M26*input!J25</f>
        <v>2000</v>
      </c>
      <c r="K26" s="2" t="n">
        <f aca="false">$M26*input!K25</f>
        <v>2000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72000</v>
      </c>
      <c r="C31" s="2" t="n">
        <f aca="false">$M31*input!C30</f>
        <v>57000</v>
      </c>
      <c r="D31" s="2" t="n">
        <f aca="false">$M31*input!D30</f>
        <v>32000</v>
      </c>
      <c r="E31" s="2" t="n">
        <f aca="false">$M31*input!E30</f>
        <v>32000</v>
      </c>
      <c r="F31" s="2" t="n">
        <f aca="false">$M31*input!F30</f>
        <v>32000</v>
      </c>
      <c r="G31" s="2" t="n">
        <f aca="false">$M31*input!G30</f>
        <v>32000</v>
      </c>
      <c r="H31" s="2" t="n">
        <f aca="false">$M31*input!H30</f>
        <v>2000</v>
      </c>
      <c r="I31" s="2" t="n">
        <f aca="false">$M31*input!I30</f>
        <v>2000</v>
      </c>
      <c r="J31" s="2" t="n">
        <f aca="false">$M31*input!J30</f>
        <v>2000</v>
      </c>
      <c r="K31" s="2" t="n">
        <f aca="false">$M31*input!K30</f>
        <v>2000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61500</v>
      </c>
      <c r="C32" s="2" t="n">
        <f aca="false">$M32*input!C31</f>
        <v>77000</v>
      </c>
      <c r="D32" s="2" t="n">
        <f aca="false">$M32*input!D31</f>
        <v>102472</v>
      </c>
      <c r="E32" s="2" t="n">
        <f aca="false">$M32*input!E31</f>
        <v>173400</v>
      </c>
      <c r="F32" s="2" t="n">
        <f aca="false">$M32*input!F31</f>
        <v>173400</v>
      </c>
      <c r="G32" s="2" t="n">
        <f aca="false">$M32*input!G31</f>
        <v>174000</v>
      </c>
      <c r="H32" s="2" t="n">
        <f aca="false">$M32*input!H31</f>
        <v>202186</v>
      </c>
      <c r="I32" s="2" t="n">
        <f aca="false">$M32*input!I31</f>
        <v>102904</v>
      </c>
      <c r="J32" s="2" t="n">
        <f aca="false">$M32*input!J31</f>
        <v>202667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1500</v>
      </c>
      <c r="C41" s="2" t="n">
        <f aca="false">$M41*input!C40</f>
        <v>77000</v>
      </c>
      <c r="D41" s="2" t="n">
        <f aca="false">$M41*input!D40</f>
        <v>102472</v>
      </c>
      <c r="E41" s="2" t="n">
        <f aca="false">$M41*input!E40</f>
        <v>173400</v>
      </c>
      <c r="F41" s="2" t="n">
        <f aca="false">$M41*input!F40</f>
        <v>173400</v>
      </c>
      <c r="G41" s="2" t="n">
        <f aca="false">$M41*input!G40</f>
        <v>174000</v>
      </c>
      <c r="H41" s="2" t="n">
        <f aca="false">$M41*input!H40</f>
        <v>202186</v>
      </c>
      <c r="I41" s="2" t="n">
        <f aca="false">$M41*input!I40</f>
        <v>102904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60000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202667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1500</v>
      </c>
      <c r="C43" s="2" t="n">
        <f aca="false">$M43*input!C42</f>
        <v>77000</v>
      </c>
      <c r="D43" s="2" t="n">
        <f aca="false">$M43*input!D42</f>
        <v>102472</v>
      </c>
      <c r="E43" s="2" t="n">
        <f aca="false">$M43*input!E42</f>
        <v>173400</v>
      </c>
      <c r="F43" s="2" t="n">
        <f aca="false">$M43*input!F42</f>
        <v>173400</v>
      </c>
      <c r="G43" s="2" t="n">
        <f aca="false">$M43*input!G42</f>
        <v>174000</v>
      </c>
      <c r="H43" s="2" t="n">
        <f aca="false">$M43*input!H42</f>
        <v>202186</v>
      </c>
      <c r="I43" s="2" t="n">
        <f aca="false">$M43*input!I42</f>
        <v>102904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60000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202667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2694229</v>
      </c>
      <c r="C50" s="10" t="n">
        <f aca="false">$M50*input!C48</f>
        <v>3010412</v>
      </c>
      <c r="D50" s="10" t="n">
        <f aca="false">$M50*input!D48</f>
        <v>2777633</v>
      </c>
      <c r="E50" s="10" t="n">
        <f aca="false">$M50*input!E48</f>
        <v>2337885</v>
      </c>
      <c r="F50" s="10" t="n">
        <f aca="false">$M50*input!F48</f>
        <v>2169494</v>
      </c>
      <c r="G50" s="10" t="n">
        <f aca="false">$M50*input!G48</f>
        <v>2261242</v>
      </c>
      <c r="H50" s="10" t="n">
        <f aca="false">$M50*input!H48</f>
        <v>2193432</v>
      </c>
      <c r="I50" s="10" t="n">
        <f aca="false">$M50*input!I48</f>
        <v>2112044</v>
      </c>
      <c r="J50" s="10" t="n">
        <f aca="false">$M50*input!J48</f>
        <v>1939816</v>
      </c>
      <c r="K50" s="10" t="n">
        <f aca="false">$M50*input!K48</f>
        <v>1959243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1163582</v>
      </c>
      <c r="C51" s="2" t="n">
        <f aca="false">$M51*input!C49</f>
        <v>1351255</v>
      </c>
      <c r="D51" s="2" t="n">
        <f aca="false">$M51*input!D49</f>
        <v>1299305</v>
      </c>
      <c r="E51" s="2" t="n">
        <f aca="false">$M51*input!E49</f>
        <v>806408</v>
      </c>
      <c r="F51" s="2" t="n">
        <f aca="false">$M51*input!F49</f>
        <v>1008735</v>
      </c>
      <c r="G51" s="2" t="n">
        <f aca="false">$M51*input!G49</f>
        <v>996875</v>
      </c>
      <c r="H51" s="2" t="n">
        <f aca="false">$M51*input!H49</f>
        <v>1101730</v>
      </c>
      <c r="I51" s="2" t="n">
        <f aca="false">$M51*input!I49</f>
        <v>996728</v>
      </c>
      <c r="J51" s="2" t="n">
        <f aca="false">$M51*input!J49</f>
        <v>1025975</v>
      </c>
      <c r="K51" s="2" t="n">
        <f aca="false">$M51*input!K49</f>
        <v>986831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72963</v>
      </c>
      <c r="C52" s="2" t="n">
        <f aca="false">$M52*input!C50</f>
        <v>120598</v>
      </c>
      <c r="D52" s="2" t="n">
        <f aca="false">$M52*input!D50</f>
        <v>187585</v>
      </c>
      <c r="E52" s="2" t="n">
        <f aca="false">$M52*input!E50</f>
        <v>156107</v>
      </c>
      <c r="F52" s="2" t="n">
        <f aca="false">$M52*input!F50</f>
        <v>172408</v>
      </c>
      <c r="G52" s="2" t="n">
        <f aca="false">$M52*input!G50</f>
        <v>208447</v>
      </c>
      <c r="H52" s="2" t="n">
        <f aca="false">$M52*input!H50</f>
        <v>177942</v>
      </c>
      <c r="I52" s="2" t="n">
        <f aca="false">$M52*input!I50</f>
        <v>183419</v>
      </c>
      <c r="J52" s="2" t="n">
        <f aca="false">$M52*input!J50</f>
        <v>0</v>
      </c>
      <c r="K52" s="2" t="n">
        <f aca="false">$M52*input!K50</f>
        <v>132708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0</v>
      </c>
      <c r="C53" s="2" t="n">
        <f aca="false">$M53*input!C51</f>
        <v>0</v>
      </c>
      <c r="D53" s="2" t="n">
        <f aca="false">$M53*input!D51</f>
        <v>0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0</v>
      </c>
      <c r="I53" s="2" t="n">
        <f aca="false">$M53*input!I51</f>
        <v>0</v>
      </c>
      <c r="J53" s="2" t="n">
        <f aca="false">$M53*input!J51</f>
        <v>0</v>
      </c>
      <c r="K53" s="2" t="n">
        <f aca="false">$M53*input!K51</f>
        <v>0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1090619</v>
      </c>
      <c r="C55" s="2" t="n">
        <f aca="false">$M55*input!C53</f>
        <v>1230657</v>
      </c>
      <c r="D55" s="2" t="n">
        <f aca="false">$M55*input!D53</f>
        <v>1111720</v>
      </c>
      <c r="E55" s="2" t="n">
        <f aca="false">$M55*input!E53</f>
        <v>649931</v>
      </c>
      <c r="F55" s="2" t="n">
        <f aca="false">$M55*input!F53</f>
        <v>836327</v>
      </c>
      <c r="G55" s="2" t="n">
        <f aca="false">$M55*input!G53</f>
        <v>788428</v>
      </c>
      <c r="H55" s="2" t="n">
        <f aca="false">$M55*input!H53</f>
        <v>923788</v>
      </c>
      <c r="I55" s="2" t="n">
        <f aca="false">$M55*input!I53</f>
        <v>813309</v>
      </c>
      <c r="J55" s="2" t="n">
        <f aca="false">$M55*input!J53</f>
        <v>0</v>
      </c>
      <c r="K55" s="2" t="n">
        <f aca="false">$M55*input!K53</f>
        <v>854123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370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1359755</v>
      </c>
      <c r="C58" s="2" t="n">
        <f aca="false">$M58*input!C56</f>
        <v>1536873</v>
      </c>
      <c r="D58" s="2" t="n">
        <f aca="false">$M58*input!D56</f>
        <v>1393622</v>
      </c>
      <c r="E58" s="2" t="n">
        <f aca="false">$M58*input!E56</f>
        <v>1179647</v>
      </c>
      <c r="F58" s="2" t="n">
        <f aca="false">$M58*input!F56</f>
        <v>763895</v>
      </c>
      <c r="G58" s="2" t="n">
        <f aca="false">$M58*input!G56</f>
        <v>1221276</v>
      </c>
      <c r="H58" s="2" t="n">
        <f aca="false">$M58*input!H56</f>
        <v>1052555</v>
      </c>
      <c r="I58" s="2" t="n">
        <f aca="false">$M58*input!I56</f>
        <v>1006775</v>
      </c>
      <c r="J58" s="2" t="n">
        <f aca="false">$M58*input!J56</f>
        <v>873383</v>
      </c>
      <c r="K58" s="2" t="n">
        <f aca="false">$M58*input!K56</f>
        <v>954150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1351939</v>
      </c>
      <c r="C59" s="2" t="n">
        <f aca="false">$M59*input!C57</f>
        <v>1377676</v>
      </c>
      <c r="D59" s="2" t="n">
        <f aca="false">$M59*input!D57</f>
        <v>1274814</v>
      </c>
      <c r="E59" s="2" t="n">
        <f aca="false">$M59*input!E57</f>
        <v>1090084</v>
      </c>
      <c r="F59" s="2" t="n">
        <f aca="false">$M59*input!F57</f>
        <v>653537</v>
      </c>
      <c r="G59" s="2" t="n">
        <f aca="false">$M59*input!G57</f>
        <v>1131681</v>
      </c>
      <c r="H59" s="2" t="n">
        <f aca="false">$M59*input!H57</f>
        <v>945441</v>
      </c>
      <c r="I59" s="2" t="n">
        <f aca="false">$M59*input!I57</f>
        <v>876265</v>
      </c>
      <c r="J59" s="2" t="n">
        <f aca="false">$M59*input!J57</f>
        <v>738505</v>
      </c>
      <c r="K59" s="2" t="n">
        <f aca="false">$M59*input!K57</f>
        <v>795525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3863</v>
      </c>
      <c r="C69" s="2" t="n">
        <f aca="false">$M69*input!C67</f>
        <v>151880</v>
      </c>
      <c r="D69" s="2" t="n">
        <f aca="false">$M69*input!D67</f>
        <v>118808</v>
      </c>
      <c r="E69" s="2" t="n">
        <f aca="false">$M69*input!E67</f>
        <v>86212</v>
      </c>
      <c r="F69" s="2" t="n">
        <f aca="false">$M69*input!F67</f>
        <v>100957</v>
      </c>
      <c r="G69" s="2" t="n">
        <f aca="false">$M69*input!G67</f>
        <v>88699</v>
      </c>
      <c r="H69" s="2" t="n">
        <f aca="false">$M69*input!H67</f>
        <v>103085</v>
      </c>
      <c r="I69" s="2" t="n">
        <f aca="false">$M69*input!I67</f>
        <v>127020</v>
      </c>
      <c r="J69" s="2" t="n">
        <f aca="false">$M69*input!J67</f>
        <v>133161</v>
      </c>
      <c r="K69" s="2" t="n">
        <f aca="false">$M69*input!K67</f>
        <v>55816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0</v>
      </c>
      <c r="C70" s="2" t="n">
        <f aca="false">$M70*input!C68</f>
        <v>0</v>
      </c>
      <c r="D70" s="2" t="n">
        <f aca="false">$M70*input!D68</f>
        <v>0</v>
      </c>
      <c r="E70" s="2" t="n">
        <f aca="false">$M70*input!E68</f>
        <v>3351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0</v>
      </c>
      <c r="C71" s="2" t="n">
        <f aca="false">$M71*input!C69</f>
        <v>0</v>
      </c>
      <c r="D71" s="2" t="n">
        <f aca="false">$M71*input!D69</f>
        <v>0</v>
      </c>
      <c r="E71" s="2" t="n">
        <f aca="false">$M71*input!E69</f>
        <v>0</v>
      </c>
      <c r="F71" s="2" t="n">
        <f aca="false">$M71*input!F69</f>
        <v>6737</v>
      </c>
      <c r="G71" s="2" t="n">
        <f aca="false">$M71*input!G69</f>
        <v>0</v>
      </c>
      <c r="H71" s="2" t="n">
        <f aca="false">$M71*input!H69</f>
        <v>0</v>
      </c>
      <c r="I71" s="2" t="n">
        <f aca="false">$M71*input!I69</f>
        <v>0</v>
      </c>
      <c r="J71" s="2" t="n">
        <f aca="false">$M71*input!J69</f>
        <v>0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3953</v>
      </c>
      <c r="C73" s="2" t="n">
        <f aca="false">$M73*input!C71</f>
        <v>7317</v>
      </c>
      <c r="D73" s="2" t="n">
        <f aca="false">$M73*input!D71</f>
        <v>0</v>
      </c>
      <c r="E73" s="2" t="n">
        <f aca="false">$M73*input!E71</f>
        <v>0</v>
      </c>
      <c r="F73" s="2" t="n">
        <f aca="false">$M73*input!F71</f>
        <v>2664</v>
      </c>
      <c r="G73" s="2" t="n">
        <f aca="false">$M73*input!G71</f>
        <v>896</v>
      </c>
      <c r="H73" s="2" t="n">
        <f aca="false">$M73*input!H71</f>
        <v>4029</v>
      </c>
      <c r="I73" s="2" t="n">
        <f aca="false">$M73*input!I71</f>
        <v>3427</v>
      </c>
      <c r="J73" s="2" t="n">
        <f aca="false">$M73*input!J71</f>
        <v>1717</v>
      </c>
      <c r="K73" s="2" t="n">
        <f aca="false">$M73*input!K71</f>
        <v>102809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63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1359755</v>
      </c>
      <c r="C75" s="2" t="n">
        <f aca="false">$M75*input!C73</f>
        <v>1536873</v>
      </c>
      <c r="D75" s="2" t="n">
        <f aca="false">$M75*input!D73</f>
        <v>1393622</v>
      </c>
      <c r="E75" s="2" t="n">
        <f aca="false">$M75*input!E73</f>
        <v>1176296</v>
      </c>
      <c r="F75" s="2" t="n">
        <f aca="false">$M75*input!F73</f>
        <v>763895</v>
      </c>
      <c r="G75" s="2" t="n">
        <f aca="false">$M75*input!G73</f>
        <v>1221276</v>
      </c>
      <c r="H75" s="2" t="n">
        <f aca="false">$M75*input!H73</f>
        <v>1052555</v>
      </c>
      <c r="I75" s="2" t="n">
        <f aca="false">$M75*input!I73</f>
        <v>1006712</v>
      </c>
      <c r="J75" s="2" t="n">
        <f aca="false">$M75*input!J73</f>
        <v>873383</v>
      </c>
      <c r="K75" s="2" t="n">
        <f aca="false">$M75*input!K73</f>
        <v>954150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0</v>
      </c>
      <c r="C77" s="2" t="n">
        <f aca="false">$M77*input!C75</f>
        <v>0</v>
      </c>
      <c r="D77" s="2" t="n">
        <f aca="false">$M77*input!D75</f>
        <v>0</v>
      </c>
      <c r="E77" s="2" t="n">
        <f aca="false">$M77*input!E75</f>
        <v>3351</v>
      </c>
      <c r="F77" s="2" t="n">
        <f aca="false">$M77*input!F75</f>
        <v>0</v>
      </c>
      <c r="G77" s="2" t="n">
        <f aca="false">$M77*input!G75</f>
        <v>0</v>
      </c>
      <c r="H77" s="2" t="n">
        <f aca="false">$M77*input!H75</f>
        <v>0</v>
      </c>
      <c r="I77" s="2" t="n">
        <f aca="false">$M77*input!I75</f>
        <v>63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170892</v>
      </c>
      <c r="C89" s="2" t="n">
        <f aca="false">$M89*input!C87</f>
        <v>122284</v>
      </c>
      <c r="D89" s="2" t="n">
        <f aca="false">$M89*input!D87</f>
        <v>84706</v>
      </c>
      <c r="E89" s="2" t="n">
        <f aca="false">$M89*input!E87</f>
        <v>351830</v>
      </c>
      <c r="F89" s="2" t="n">
        <f aca="false">$M89*input!F87</f>
        <v>396864</v>
      </c>
      <c r="G89" s="2" t="n">
        <f aca="false">$M89*input!G87</f>
        <v>43091</v>
      </c>
      <c r="H89" s="2" t="n">
        <f aca="false">$M89*input!H87</f>
        <v>39147</v>
      </c>
      <c r="I89" s="2" t="n">
        <f aca="false">$M89*input!I87</f>
        <v>108541</v>
      </c>
      <c r="J89" s="2" t="n">
        <f aca="false">$M89*input!J87</f>
        <v>40458</v>
      </c>
      <c r="K89" s="2" t="n">
        <f aca="false">$M89*input!K87</f>
        <v>18262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167409</v>
      </c>
      <c r="C90" s="2" t="n">
        <f aca="false">$M90*input!C88</f>
        <v>108944</v>
      </c>
      <c r="D90" s="2" t="n">
        <f aca="false">$M90*input!D88</f>
        <v>72765</v>
      </c>
      <c r="E90" s="2" t="n">
        <f aca="false">$M90*input!E88</f>
        <v>343595</v>
      </c>
      <c r="F90" s="2" t="n">
        <f aca="false">$M90*input!F88</f>
        <v>379984</v>
      </c>
      <c r="G90" s="2" t="n">
        <f aca="false">$M90*input!G88</f>
        <v>29839</v>
      </c>
      <c r="H90" s="2" t="n">
        <f aca="false">$M90*input!H88</f>
        <v>24599</v>
      </c>
      <c r="I90" s="2" t="n">
        <f aca="false">$M90*input!I88</f>
        <v>90063</v>
      </c>
      <c r="J90" s="2" t="n">
        <f aca="false">$M90*input!J88</f>
        <v>0</v>
      </c>
      <c r="K90" s="2" t="n">
        <f aca="false">$M90*input!K88</f>
        <v>0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3483</v>
      </c>
      <c r="C92" s="2" t="n">
        <f aca="false">$M92*input!C90</f>
        <v>13340</v>
      </c>
      <c r="D92" s="2" t="n">
        <f aca="false">$M92*input!D90</f>
        <v>11941</v>
      </c>
      <c r="E92" s="2" t="n">
        <f aca="false">$M92*input!E90</f>
        <v>8235</v>
      </c>
      <c r="F92" s="2" t="n">
        <f aca="false">$M92*input!F90</f>
        <v>16880</v>
      </c>
      <c r="G92" s="2" t="n">
        <f aca="false">$M92*input!G90</f>
        <v>13252</v>
      </c>
      <c r="H92" s="2" t="n">
        <f aca="false">$M92*input!H90</f>
        <v>14548</v>
      </c>
      <c r="I92" s="2" t="n">
        <f aca="false">$M92*input!I90</f>
        <v>18478</v>
      </c>
      <c r="J92" s="2" t="n">
        <f aca="false">$M92*input!J90</f>
        <v>0</v>
      </c>
      <c r="K92" s="2" t="n">
        <f aca="false">$M92*input!K90</f>
        <v>0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46451</v>
      </c>
      <c r="C93" s="10" t="n">
        <f aca="false">$M93*input!C91</f>
        <v>40719</v>
      </c>
      <c r="D93" s="10" t="n">
        <f aca="false">$M93*input!D91</f>
        <v>36463</v>
      </c>
      <c r="E93" s="10" t="n">
        <f aca="false">$M93*input!E91</f>
        <v>35222</v>
      </c>
      <c r="F93" s="10" t="n">
        <f aca="false">$M93*input!F91</f>
        <v>47601</v>
      </c>
      <c r="G93" s="10" t="n">
        <f aca="false">$M93*input!G91</f>
        <v>41390</v>
      </c>
      <c r="H93" s="10" t="n">
        <f aca="false">$M93*input!H91</f>
        <v>48725</v>
      </c>
      <c r="I93" s="10" t="n">
        <f aca="false">$M93*input!I91</f>
        <v>52268</v>
      </c>
      <c r="J93" s="10" t="n">
        <f aca="false">$M93*input!J91</f>
        <v>59955</v>
      </c>
      <c r="K93" s="10" t="n">
        <f aca="false">$M93*input!K91</f>
        <v>71273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6479233</v>
      </c>
      <c r="C95" s="18" t="n">
        <f aca="false">$M95*input!C93</f>
        <v>6929645</v>
      </c>
      <c r="D95" s="18" t="n">
        <f aca="false">$M95*input!D93</f>
        <v>6517697</v>
      </c>
      <c r="E95" s="18" t="n">
        <f aca="false">$M95*input!E93</f>
        <v>6230020</v>
      </c>
      <c r="F95" s="18" t="n">
        <f aca="false">$M95*input!F93</f>
        <v>6320161</v>
      </c>
      <c r="G95" s="18" t="n">
        <f aca="false">$M95*input!G93</f>
        <v>4619390</v>
      </c>
      <c r="H95" s="18" t="n">
        <f aca="false">$M95*input!H93</f>
        <v>4606793</v>
      </c>
      <c r="I95" s="18" t="n">
        <f aca="false">$M95*input!I93</f>
        <v>4491663</v>
      </c>
      <c r="J95" s="18" t="n">
        <f aca="false">$M95*input!J93</f>
        <v>4514623</v>
      </c>
      <c r="K95" s="18" t="n">
        <f aca="false">$M95*input!K93</f>
        <v>4176270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3395702</v>
      </c>
      <c r="C99" s="2" t="n">
        <f aca="false">$M99*input!C96</f>
        <v>3347713</v>
      </c>
      <c r="D99" s="2" t="n">
        <f aca="false">$M99*input!D96</f>
        <v>3324149</v>
      </c>
      <c r="E99" s="2" t="n">
        <f aca="false">$M99*input!E96</f>
        <v>3186130</v>
      </c>
      <c r="F99" s="2" t="n">
        <f aca="false">$M99*input!F96</f>
        <v>3095198</v>
      </c>
      <c r="G99" s="2" t="n">
        <f aca="false">$M99*input!G96</f>
        <v>1226155</v>
      </c>
      <c r="H99" s="2" t="n">
        <f aca="false">$M99*input!H96</f>
        <v>1184635</v>
      </c>
      <c r="I99" s="2" t="n">
        <f aca="false">$M99*input!I96</f>
        <v>1121927</v>
      </c>
      <c r="J99" s="2" t="n">
        <f aca="false">$M99*input!J96</f>
        <v>1091757</v>
      </c>
      <c r="K99" s="2" t="n">
        <f aca="false">$M99*input!K96</f>
        <v>1018727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110000</v>
      </c>
      <c r="C100" s="2" t="n">
        <f aca="false">$M100*input!C97</f>
        <v>110000</v>
      </c>
      <c r="D100" s="2" t="n">
        <f aca="false">$M100*input!D97</f>
        <v>110000</v>
      </c>
      <c r="E100" s="2" t="n">
        <f aca="false">$M100*input!E97</f>
        <v>110000</v>
      </c>
      <c r="F100" s="2" t="n">
        <f aca="false">$M100*input!F97</f>
        <v>110000</v>
      </c>
      <c r="G100" s="2" t="n">
        <f aca="false">$M100*input!G97</f>
        <v>110000</v>
      </c>
      <c r="H100" s="2" t="n">
        <f aca="false">$M100*input!H97</f>
        <v>110000</v>
      </c>
      <c r="I100" s="2" t="n">
        <f aca="false">$M100*input!I97</f>
        <v>110000</v>
      </c>
      <c r="J100" s="2" t="n">
        <f aca="false">$M100*input!J97</f>
        <v>110000</v>
      </c>
      <c r="K100" s="2" t="n">
        <f aca="false">$M100*input!K97</f>
        <v>110000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1841883</v>
      </c>
      <c r="C106" s="2" t="n">
        <f aca="false">$M106*input!C103</f>
        <v>1841883</v>
      </c>
      <c r="D106" s="2" t="n">
        <f aca="false">$M106*input!D103</f>
        <v>1841883</v>
      </c>
      <c r="E106" s="2" t="n">
        <f aca="false">$M106*input!E103</f>
        <v>1841883</v>
      </c>
      <c r="F106" s="2" t="n">
        <f aca="false">$M106*input!F103</f>
        <v>1841883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22000</v>
      </c>
      <c r="C107" s="2" t="n">
        <f aca="false">$M107*input!C104</f>
        <v>22000</v>
      </c>
      <c r="D107" s="2" t="n">
        <f aca="false">$M107*input!D104</f>
        <v>22000</v>
      </c>
      <c r="E107" s="2" t="n">
        <f aca="false">$M107*input!E104</f>
        <v>22000</v>
      </c>
      <c r="F107" s="2" t="n">
        <f aca="false">$M107*input!F104</f>
        <v>22000</v>
      </c>
      <c r="G107" s="2" t="n">
        <f aca="false">$M107*input!G104</f>
        <v>22000</v>
      </c>
      <c r="H107" s="2" t="n">
        <f aca="false">$M107*input!H104</f>
        <v>22000</v>
      </c>
      <c r="I107" s="2" t="n">
        <f aca="false">$M107*input!I104</f>
        <v>22000</v>
      </c>
      <c r="J107" s="2" t="n">
        <f aca="false">$M107*input!J104</f>
        <v>22000</v>
      </c>
      <c r="K107" s="2" t="n">
        <f aca="false">$M107*input!K104</f>
        <v>22000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240239</v>
      </c>
      <c r="C110" s="2" t="n">
        <f aca="false">$M110*input!C107</f>
        <v>191213</v>
      </c>
      <c r="D110" s="2" t="n">
        <f aca="false">$M110*input!D107</f>
        <v>204749</v>
      </c>
      <c r="E110" s="2" t="n">
        <f aca="false">$M110*input!E107</f>
        <v>204748</v>
      </c>
      <c r="F110" s="2" t="n">
        <f aca="false">$M110*input!F107</f>
        <v>223037</v>
      </c>
      <c r="G110" s="2" t="n">
        <f aca="false">$M110*input!G107</f>
        <v>161812</v>
      </c>
      <c r="H110" s="2" t="n">
        <f aca="false">$M110*input!H107</f>
        <v>161812</v>
      </c>
      <c r="I110" s="2" t="n">
        <f aca="false">$M110*input!I107</f>
        <v>161812</v>
      </c>
      <c r="J110" s="2" t="n">
        <f aca="false">$M110*input!J107</f>
        <v>161812</v>
      </c>
      <c r="K110" s="2" t="n">
        <f aca="false">$M110*input!K107</f>
        <v>161812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1133589</v>
      </c>
      <c r="C113" s="2" t="n">
        <f aca="false">$M113*input!C110</f>
        <v>1159054</v>
      </c>
      <c r="D113" s="2" t="n">
        <f aca="false">$M113*input!D110</f>
        <v>1007499</v>
      </c>
      <c r="E113" s="2" t="n">
        <f aca="false">$M113*input!E110</f>
        <v>916566</v>
      </c>
      <c r="F113" s="2" t="n">
        <f aca="false">$M113*input!F110</f>
        <v>871118</v>
      </c>
      <c r="G113" s="2" t="n">
        <f aca="false">$M113*input!G110</f>
        <v>890823</v>
      </c>
      <c r="H113" s="2" t="n">
        <f aca="false">$M113*input!H110</f>
        <v>828115</v>
      </c>
      <c r="I113" s="2" t="n">
        <f aca="false">$M113*input!I110</f>
        <v>797945</v>
      </c>
      <c r="J113" s="2" t="n">
        <f aca="false">$M113*input!J110</f>
        <v>724915</v>
      </c>
      <c r="K113" s="2" t="n">
        <f aca="false">$M113*input!K110</f>
        <v>387641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47991</v>
      </c>
      <c r="C114" s="2" t="n">
        <f aca="false">$M114*input!C111</f>
        <v>23563</v>
      </c>
      <c r="D114" s="2" t="n">
        <f aca="false">$M114*input!D111</f>
        <v>138018</v>
      </c>
      <c r="E114" s="2" t="n">
        <f aca="false">$M114*input!E111</f>
        <v>90933</v>
      </c>
      <c r="F114" s="2" t="n">
        <f aca="false">$M114*input!F111</f>
        <v>27160</v>
      </c>
      <c r="G114" s="2" t="n">
        <f aca="false">$M114*input!G111</f>
        <v>41520</v>
      </c>
      <c r="H114" s="2" t="n">
        <f aca="false">$M114*input!H111</f>
        <v>62708</v>
      </c>
      <c r="I114" s="2" t="n">
        <f aca="false">$M114*input!I111</f>
        <v>30170</v>
      </c>
      <c r="J114" s="2" t="n">
        <f aca="false">$M114*input!J111</f>
        <v>73030</v>
      </c>
      <c r="K114" s="2" t="n">
        <f aca="false">$M114*input!K111</f>
        <v>337274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6615</v>
      </c>
      <c r="C123" s="10" t="n">
        <f aca="false">$M123*input!C120</f>
        <v>8026</v>
      </c>
      <c r="D123" s="10" t="n">
        <f aca="false">$M123*input!D120</f>
        <v>11456</v>
      </c>
      <c r="E123" s="10" t="n">
        <f aca="false">$M123*input!E120</f>
        <v>11456</v>
      </c>
      <c r="F123" s="10" t="n">
        <f aca="false">$M123*input!F120</f>
        <v>16310</v>
      </c>
      <c r="G123" s="10" t="n">
        <f aca="false">$M123*input!G120</f>
        <v>0</v>
      </c>
      <c r="H123" s="10" t="n">
        <f aca="false">$M123*input!H120</f>
        <v>0</v>
      </c>
      <c r="I123" s="10" t="n">
        <f aca="false">$M123*input!I120</f>
        <v>0</v>
      </c>
      <c r="J123" s="10" t="n">
        <f aca="false">$M123*input!J120</f>
        <v>0</v>
      </c>
      <c r="K123" s="10" t="n">
        <f aca="false">$M123*input!K120</f>
        <v>0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6615</v>
      </c>
      <c r="C125" s="2" t="n">
        <f aca="false">$M125*input!C122</f>
        <v>8026</v>
      </c>
      <c r="D125" s="2" t="n">
        <f aca="false">$M125*input!D122</f>
        <v>11456</v>
      </c>
      <c r="E125" s="2" t="n">
        <f aca="false">$M125*input!E122</f>
        <v>11456</v>
      </c>
      <c r="F125" s="2" t="n">
        <f aca="false">$M125*input!F122</f>
        <v>16310</v>
      </c>
      <c r="G125" s="2" t="n">
        <f aca="false">$M125*input!G122</f>
        <v>0</v>
      </c>
      <c r="H125" s="2" t="n">
        <f aca="false">$M125*input!H122</f>
        <v>0</v>
      </c>
      <c r="I125" s="2" t="n">
        <f aca="false">$M125*input!I122</f>
        <v>0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254425</v>
      </c>
      <c r="C129" s="10" t="n">
        <f aca="false">$M129*input!C126</f>
        <v>218390</v>
      </c>
      <c r="D129" s="10" t="n">
        <f aca="false">$M129*input!D126</f>
        <v>277417</v>
      </c>
      <c r="E129" s="10" t="n">
        <f aca="false">$M129*input!E126</f>
        <v>260333</v>
      </c>
      <c r="F129" s="10" t="n">
        <f aca="false">$M129*input!F126</f>
        <v>214928</v>
      </c>
      <c r="G129" s="10" t="n">
        <f aca="false">$M129*input!G126</f>
        <v>226683</v>
      </c>
      <c r="H129" s="10" t="n">
        <f aca="false">$M129*input!H126</f>
        <v>206901</v>
      </c>
      <c r="I129" s="10" t="n">
        <f aca="false">$M129*input!I126</f>
        <v>178930</v>
      </c>
      <c r="J129" s="10" t="n">
        <f aca="false">$M129*input!J126</f>
        <v>182052</v>
      </c>
      <c r="K129" s="10" t="n">
        <f aca="false">$M129*input!K126</f>
        <v>155271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2784779</v>
      </c>
      <c r="C131" s="10" t="n">
        <f aca="false">$M131*input!C128</f>
        <v>3320300</v>
      </c>
      <c r="D131" s="10" t="n">
        <f aca="false">$M131*input!D128</f>
        <v>2893107</v>
      </c>
      <c r="E131" s="10" t="n">
        <f aca="false">$M131*input!E128</f>
        <v>2763325</v>
      </c>
      <c r="F131" s="10" t="n">
        <f aca="false">$M131*input!F128</f>
        <v>2983247</v>
      </c>
      <c r="G131" s="10" t="n">
        <f aca="false">$M131*input!G128</f>
        <v>3166487</v>
      </c>
      <c r="H131" s="10" t="n">
        <f aca="false">$M131*input!H128</f>
        <v>3214928</v>
      </c>
      <c r="I131" s="10" t="n">
        <f aca="false">$M131*input!I128</f>
        <v>3190806</v>
      </c>
      <c r="J131" s="10" t="n">
        <f aca="false">$M131*input!J128</f>
        <v>3240814</v>
      </c>
      <c r="K131" s="10" t="n">
        <f aca="false">$M131*input!K128</f>
        <v>2991573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760422</v>
      </c>
      <c r="C138" s="2" t="n">
        <f aca="false">$M138*input!C135</f>
        <v>827770</v>
      </c>
      <c r="D138" s="2" t="n">
        <f aca="false">$M138*input!D135</f>
        <v>342948</v>
      </c>
      <c r="E138" s="2" t="n">
        <f aca="false">$M138*input!E135</f>
        <v>283856</v>
      </c>
      <c r="F138" s="2" t="n">
        <f aca="false">$M138*input!F135</f>
        <v>497144</v>
      </c>
      <c r="G138" s="2" t="n">
        <f aca="false">$M138*input!G135</f>
        <v>1537431</v>
      </c>
      <c r="H138" s="2" t="n">
        <f aca="false">$M138*input!H135</f>
        <v>1449053</v>
      </c>
      <c r="I138" s="2" t="n">
        <f aca="false">$M138*input!I135</f>
        <v>1177500</v>
      </c>
      <c r="J138" s="2" t="n">
        <f aca="false">$M138*input!J135</f>
        <v>1117556</v>
      </c>
      <c r="K138" s="2" t="n">
        <f aca="false">$M138*input!K135</f>
        <v>886758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761905</v>
      </c>
      <c r="C139" s="2" t="n">
        <f aca="false">$M139*input!C136</f>
        <v>1159885</v>
      </c>
      <c r="D139" s="2" t="n">
        <f aca="false">$M139*input!D136</f>
        <v>1231437</v>
      </c>
      <c r="E139" s="2" t="n">
        <f aca="false">$M139*input!E136</f>
        <v>1405442</v>
      </c>
      <c r="F139" s="2" t="n">
        <f aca="false">$M139*input!F136</f>
        <v>1760602</v>
      </c>
      <c r="G139" s="2" t="n">
        <f aca="false">$M139*input!G136</f>
        <v>787742</v>
      </c>
      <c r="H139" s="2" t="n">
        <f aca="false">$M139*input!H136</f>
        <v>1000827</v>
      </c>
      <c r="I139" s="2" t="n">
        <f aca="false">$M139*input!I136</f>
        <v>1175475</v>
      </c>
      <c r="J139" s="2" t="n">
        <f aca="false">$M139*input!J136</f>
        <v>1379696</v>
      </c>
      <c r="K139" s="2" t="n">
        <f aca="false">$M139*input!K136</f>
        <v>1316760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1220</v>
      </c>
      <c r="C142" s="2" t="n">
        <f aca="false">$M142*input!C139</f>
        <v>1473</v>
      </c>
      <c r="D142" s="2" t="n">
        <f aca="false">$M142*input!D139</f>
        <v>448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962516</v>
      </c>
      <c r="C144" s="2" t="n">
        <f aca="false">$M144*input!C141</f>
        <v>976831</v>
      </c>
      <c r="D144" s="2" t="n">
        <f aca="false">$M144*input!D141</f>
        <v>1073141</v>
      </c>
      <c r="E144" s="2" t="n">
        <f aca="false">$M144*input!E141</f>
        <v>795129</v>
      </c>
      <c r="F144" s="2" t="n">
        <f aca="false">$M144*input!F141</f>
        <v>430632</v>
      </c>
      <c r="G144" s="2" t="n">
        <f aca="false">$M144*input!G141</f>
        <v>618053</v>
      </c>
      <c r="H144" s="2" t="n">
        <f aca="false">$M144*input!H141</f>
        <v>558934</v>
      </c>
      <c r="I144" s="2" t="n">
        <f aca="false">$M144*input!I141</f>
        <v>671844</v>
      </c>
      <c r="J144" s="2" t="n">
        <f aca="false">$M144*input!J141</f>
        <v>578800</v>
      </c>
      <c r="K144" s="2" t="n">
        <f aca="false">$M144*input!K141</f>
        <v>622035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38909</v>
      </c>
      <c r="C145" s="2" t="n">
        <f aca="false">$M145*input!C142</f>
        <v>45889</v>
      </c>
      <c r="D145" s="2" t="n">
        <f aca="false">$M145*input!D142</f>
        <v>0</v>
      </c>
      <c r="E145" s="2" t="n">
        <f aca="false">$M145*input!E142</f>
        <v>23997</v>
      </c>
      <c r="F145" s="2" t="n">
        <f aca="false">$M145*input!F142</f>
        <v>30198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84835</v>
      </c>
      <c r="C156" s="2" t="n">
        <f aca="false">$M156*input!C153</f>
        <v>94350</v>
      </c>
      <c r="D156" s="2" t="n">
        <f aca="false">$M156*input!D153</f>
        <v>78902</v>
      </c>
      <c r="E156" s="2" t="n">
        <f aca="false">$M156*input!E153</f>
        <v>84796</v>
      </c>
      <c r="F156" s="2" t="n">
        <f aca="false">$M156*input!F153</f>
        <v>98110</v>
      </c>
      <c r="G156" s="2" t="n">
        <f aca="false">$M156*input!G153</f>
        <v>50857</v>
      </c>
      <c r="H156" s="2" t="n">
        <f aca="false">$M156*input!H153</f>
        <v>44900</v>
      </c>
      <c r="I156" s="2" t="n">
        <f aca="false">$M156*input!I153</f>
        <v>36156</v>
      </c>
      <c r="J156" s="2" t="n">
        <f aca="false">$M156*input!J153</f>
        <v>44741</v>
      </c>
      <c r="K156" s="2" t="n">
        <f aca="false">$M156*input!K153</f>
        <v>37551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51441</v>
      </c>
      <c r="C158" s="2" t="n">
        <f aca="false">$M158*input!C155</f>
        <v>55443</v>
      </c>
      <c r="D158" s="2" t="n">
        <f aca="false">$M158*input!D155</f>
        <v>47956</v>
      </c>
      <c r="E158" s="2" t="n">
        <f aca="false">$M158*input!E155</f>
        <v>46872</v>
      </c>
      <c r="F158" s="2" t="n">
        <f aca="false">$M158*input!F155</f>
        <v>38484</v>
      </c>
      <c r="G158" s="2" t="n">
        <f aca="false">$M158*input!G155</f>
        <v>43868</v>
      </c>
      <c r="H158" s="2" t="n">
        <f aca="false">$M158*input!H155</f>
        <v>44701</v>
      </c>
      <c r="I158" s="2" t="n">
        <f aca="false">$M158*input!I155</f>
        <v>37425</v>
      </c>
      <c r="J158" s="2" t="n">
        <f aca="false">$M158*input!J155</f>
        <v>33568</v>
      </c>
      <c r="K158" s="2" t="n">
        <f aca="false">$M158*input!K155</f>
        <v>35239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122531</v>
      </c>
      <c r="C160" s="2" t="n">
        <f aca="false">$M160*input!C157</f>
        <v>157659</v>
      </c>
      <c r="D160" s="2" t="n">
        <f aca="false">$M160*input!D157</f>
        <v>117275</v>
      </c>
      <c r="E160" s="2" t="n">
        <f aca="false">$M160*input!E157</f>
        <v>122233</v>
      </c>
      <c r="F160" s="2" t="n">
        <f aca="false">$M160*input!F157</f>
        <v>127077</v>
      </c>
      <c r="G160" s="2" t="n">
        <f aca="false">$M160*input!G157</f>
        <v>127536</v>
      </c>
      <c r="H160" s="2" t="n">
        <f aca="false">$M160*input!H157</f>
        <v>115513</v>
      </c>
      <c r="I160" s="2" t="n">
        <f aca="false">$M160*input!I157</f>
        <v>91406</v>
      </c>
      <c r="J160" s="2" t="n">
        <f aca="false">$M160*input!J157</f>
        <v>85453</v>
      </c>
      <c r="K160" s="2" t="n">
        <f aca="false">$M160*input!K157</f>
        <v>0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1000</v>
      </c>
      <c r="C161" s="2" t="n">
        <f aca="false">$M161*input!C158</f>
        <v>1000</v>
      </c>
      <c r="D161" s="2" t="n">
        <f aca="false">$M161*input!D158</f>
        <v>1000</v>
      </c>
      <c r="E161" s="2" t="n">
        <f aca="false">$M161*input!E158</f>
        <v>1000</v>
      </c>
      <c r="F161" s="2" t="n">
        <f aca="false">$M161*input!F158</f>
        <v>1000</v>
      </c>
      <c r="G161" s="2" t="n">
        <f aca="false">$M161*input!G158</f>
        <v>1000</v>
      </c>
      <c r="H161" s="2" t="n">
        <f aca="false">$M161*input!H158</f>
        <v>1000</v>
      </c>
      <c r="I161" s="2" t="n">
        <f aca="false">$M161*input!I158</f>
        <v>1000</v>
      </c>
      <c r="J161" s="2" t="n">
        <f aca="false">$M161*input!J158</f>
        <v>1000</v>
      </c>
      <c r="K161" s="2" t="n">
        <f aca="false">$M161*input!K158</f>
        <v>93230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1982965</v>
      </c>
      <c r="C162" s="2" t="n">
        <f aca="false">$M162*input!C159</f>
        <v>2113526</v>
      </c>
      <c r="D162" s="2" t="n">
        <f aca="false">$M162*input!D159</f>
        <v>1660670</v>
      </c>
      <c r="E162" s="2" t="n">
        <f aca="false">$M162*input!E159</f>
        <v>1332886</v>
      </c>
      <c r="F162" s="2" t="n">
        <f aca="false">$M162*input!F159</f>
        <v>1191447</v>
      </c>
      <c r="G162" s="2" t="n">
        <f aca="false">$M162*input!G159</f>
        <v>2377745</v>
      </c>
      <c r="H162" s="2" t="n">
        <f aca="false">$M162*input!H159</f>
        <v>2213101</v>
      </c>
      <c r="I162" s="2" t="n">
        <f aca="false">$M162*input!I159</f>
        <v>2014331</v>
      </c>
      <c r="J162" s="2" t="n">
        <f aca="false">$M162*input!J159</f>
        <v>1860118</v>
      </c>
      <c r="K162" s="2" t="n">
        <f aca="false">$M162*input!K159</f>
        <v>1581583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801814</v>
      </c>
      <c r="C163" s="2" t="n">
        <f aca="false">$M163*input!C160</f>
        <v>1206774</v>
      </c>
      <c r="D163" s="2" t="n">
        <f aca="false">$M163*input!D160</f>
        <v>1232437</v>
      </c>
      <c r="E163" s="2" t="n">
        <f aca="false">$M163*input!E160</f>
        <v>1430439</v>
      </c>
      <c r="F163" s="2" t="n">
        <f aca="false">$M163*input!F160</f>
        <v>1791800</v>
      </c>
      <c r="G163" s="2" t="n">
        <f aca="false">$M163*input!G160</f>
        <v>788742</v>
      </c>
      <c r="H163" s="2" t="n">
        <f aca="false">$M163*input!H160</f>
        <v>1001827</v>
      </c>
      <c r="I163" s="2" t="n">
        <f aca="false">$M163*input!I160</f>
        <v>1176475</v>
      </c>
      <c r="J163" s="2" t="n">
        <f aca="false">$M163*input!J160</f>
        <v>1380696</v>
      </c>
      <c r="K163" s="2" t="n">
        <f aca="false">$M163*input!K160</f>
        <v>1409990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1982965</v>
      </c>
      <c r="C164" s="2" t="n">
        <f aca="false">$M164*input!C161</f>
        <v>2113526</v>
      </c>
      <c r="D164" s="2" t="n">
        <f aca="false">$M164*input!D161</f>
        <v>1660670</v>
      </c>
      <c r="E164" s="2" t="n">
        <f aca="false">$M164*input!E161</f>
        <v>1332886</v>
      </c>
      <c r="F164" s="2" t="n">
        <f aca="false">$M164*input!F161</f>
        <v>1191447</v>
      </c>
      <c r="G164" s="2" t="n">
        <f aca="false">$M164*input!G161</f>
        <v>2377745</v>
      </c>
      <c r="H164" s="2" t="n">
        <f aca="false">$M164*input!H161</f>
        <v>2213101</v>
      </c>
      <c r="I164" s="2" t="n">
        <f aca="false">$M164*input!I161</f>
        <v>2014331</v>
      </c>
      <c r="J164" s="2" t="n">
        <f aca="false">$M164*input!J161</f>
        <v>1860118</v>
      </c>
      <c r="K164" s="2" t="n">
        <f aca="false">$M164*input!K161</f>
        <v>1581583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801814</v>
      </c>
      <c r="C165" s="2" t="n">
        <f aca="false">$M165*input!C162</f>
        <v>1206774</v>
      </c>
      <c r="D165" s="2" t="n">
        <f aca="false">$M165*input!D162</f>
        <v>1232437</v>
      </c>
      <c r="E165" s="2" t="n">
        <f aca="false">$M165*input!E162</f>
        <v>1430439</v>
      </c>
      <c r="F165" s="2" t="n">
        <f aca="false">$M165*input!F162</f>
        <v>1791800</v>
      </c>
      <c r="G165" s="2" t="n">
        <f aca="false">$M165*input!G162</f>
        <v>788742</v>
      </c>
      <c r="H165" s="2" t="n">
        <f aca="false">$M165*input!H162</f>
        <v>1001827</v>
      </c>
      <c r="I165" s="2" t="n">
        <f aca="false">$M165*input!I162</f>
        <v>1176475</v>
      </c>
      <c r="J165" s="2" t="n">
        <f aca="false">$M165*input!J162</f>
        <v>1380696</v>
      </c>
      <c r="K165" s="2" t="n">
        <f aca="false">$M165*input!K162</f>
        <v>1409990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37712</v>
      </c>
      <c r="C166" s="10" t="n">
        <f aca="false">$M166*input!C163</f>
        <v>35216</v>
      </c>
      <c r="D166" s="10" t="n">
        <f aca="false">$M166*input!D163</f>
        <v>11568</v>
      </c>
      <c r="E166" s="10" t="n">
        <f aca="false">$M166*input!E163</f>
        <v>8776</v>
      </c>
      <c r="F166" s="10" t="n">
        <f aca="false">$M166*input!F163</f>
        <v>10478</v>
      </c>
      <c r="G166" s="10" t="n">
        <f aca="false">$M166*input!G163</f>
        <v>65</v>
      </c>
      <c r="H166" s="10" t="n">
        <f aca="false">$M166*input!H163</f>
        <v>329</v>
      </c>
      <c r="I166" s="10" t="n">
        <f aca="false">$M166*input!I163</f>
        <v>0</v>
      </c>
      <c r="J166" s="10" t="n">
        <f aca="false">$M166*input!J163</f>
        <v>0</v>
      </c>
      <c r="K166" s="10" t="n">
        <f aca="false">$M166*input!K163</f>
        <v>10699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6479233</v>
      </c>
      <c r="C168" s="18" t="n">
        <f aca="false">$M168*input!C165</f>
        <v>6929645</v>
      </c>
      <c r="D168" s="18" t="n">
        <f aca="false">$M168*input!D165</f>
        <v>6517697</v>
      </c>
      <c r="E168" s="18" t="n">
        <f aca="false">$M168*input!E165</f>
        <v>6230020</v>
      </c>
      <c r="F168" s="18" t="n">
        <f aca="false">$M168*input!F165</f>
        <v>6320161</v>
      </c>
      <c r="G168" s="18" t="n">
        <f aca="false">$M168*input!G165</f>
        <v>4619390</v>
      </c>
      <c r="H168" s="18" t="n">
        <f aca="false">$M168*input!H165</f>
        <v>4606793</v>
      </c>
      <c r="I168" s="18" t="n">
        <f aca="false">$M168*input!I165</f>
        <v>4491663</v>
      </c>
      <c r="J168" s="18" t="n">
        <f aca="false">$M168*input!J165</f>
        <v>4514623</v>
      </c>
      <c r="K168" s="18" t="n">
        <f aca="false">$M168*input!K165</f>
        <v>4176270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10717935</v>
      </c>
      <c r="C172" s="10" t="n">
        <f aca="false">$M172*input!C168</f>
        <v>10487862</v>
      </c>
      <c r="D172" s="10" t="n">
        <f aca="false">$M172*input!D168</f>
        <v>10236022</v>
      </c>
      <c r="E172" s="10" t="n">
        <f aca="false">$M172*input!E168</f>
        <v>7860203</v>
      </c>
      <c r="F172" s="10" t="n">
        <f aca="false">$M172*input!F168</f>
        <v>7465080</v>
      </c>
      <c r="G172" s="10" t="n">
        <f aca="false">$M172*input!G168</f>
        <v>8218588</v>
      </c>
      <c r="H172" s="10" t="n">
        <f aca="false">$M172*input!H168</f>
        <v>7827812</v>
      </c>
      <c r="I172" s="10" t="n">
        <f aca="false">$M172*input!I168</f>
        <v>7629760</v>
      </c>
      <c r="J172" s="10" t="n">
        <f aca="false">$M172*input!J168</f>
        <v>7425024</v>
      </c>
      <c r="K172" s="10" t="n">
        <f aca="false">$M172*input!K168</f>
        <v>7064459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10748162</v>
      </c>
      <c r="C173" s="2" t="n">
        <f aca="false">$M173*input!C169</f>
        <v>10444688</v>
      </c>
      <c r="D173" s="2" t="n">
        <f aca="false">$M173*input!D169</f>
        <v>9771059</v>
      </c>
      <c r="E173" s="2" t="n">
        <f aca="false">$M173*input!E169</f>
        <v>8043227</v>
      </c>
      <c r="F173" s="2" t="n">
        <f aca="false">$M173*input!F169</f>
        <v>7320518</v>
      </c>
      <c r="G173" s="2" t="n">
        <f aca="false">$M173*input!G169</f>
        <v>8324962</v>
      </c>
      <c r="H173" s="2" t="n">
        <f aca="false">$M173*input!H169</f>
        <v>7689620</v>
      </c>
      <c r="I173" s="2" t="n">
        <f aca="false">$M173*input!I169</f>
        <v>7598634</v>
      </c>
      <c r="J173" s="2" t="n">
        <f aca="false">$M173*input!J169</f>
        <v>7383103</v>
      </c>
      <c r="K173" s="2" t="n">
        <f aca="false">$M173*input!K169</f>
        <v>6865060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-64037</v>
      </c>
      <c r="C174" s="2" t="n">
        <f aca="false">$M174*input!C170</f>
        <v>-33861</v>
      </c>
      <c r="D174" s="2" t="n">
        <f aca="false">$M174*input!D170</f>
        <v>390341</v>
      </c>
      <c r="E174" s="2" t="n">
        <f aca="false">$M174*input!E170</f>
        <v>-226939</v>
      </c>
      <c r="F174" s="2" t="n">
        <f aca="false">$M174*input!F170</f>
        <v>114306</v>
      </c>
      <c r="G174" s="2" t="n">
        <f aca="false">$M174*input!G170</f>
        <v>-152382</v>
      </c>
      <c r="H174" s="2" t="n">
        <f aca="false">$M174*input!H170</f>
        <v>100126</v>
      </c>
      <c r="I174" s="2" t="n">
        <f aca="false">$M174*input!I170</f>
        <v>-48118</v>
      </c>
      <c r="J174" s="2" t="n">
        <f aca="false">$M174*input!J170</f>
        <v>581</v>
      </c>
      <c r="K174" s="2" t="n">
        <f aca="false">$M174*input!K170</f>
        <v>162630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-64037</v>
      </c>
      <c r="C176" s="2" t="n">
        <f aca="false">$M176*input!C172</f>
        <v>-33861</v>
      </c>
      <c r="D176" s="2" t="n">
        <f aca="false">$M176*input!D172</f>
        <v>390341</v>
      </c>
      <c r="E176" s="2" t="n">
        <f aca="false">$M176*input!E172</f>
        <v>-226939</v>
      </c>
      <c r="F176" s="2" t="n">
        <f aca="false">$M176*input!F172</f>
        <v>114306</v>
      </c>
      <c r="G176" s="2" t="n">
        <f aca="false">$M176*input!G172</f>
        <v>-152382</v>
      </c>
      <c r="H176" s="2" t="n">
        <f aca="false">$M176*input!H172</f>
        <v>100126</v>
      </c>
      <c r="I176" s="2" t="n">
        <f aca="false">$M176*input!I172</f>
        <v>-48118</v>
      </c>
      <c r="J176" s="2" t="n">
        <f aca="false">$M176*input!J172</f>
        <v>581</v>
      </c>
      <c r="K176" s="2" t="n">
        <f aca="false">$M176*input!K172</f>
        <v>162630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33810</v>
      </c>
      <c r="C178" s="2" t="n">
        <f aca="false">$M178*input!C174</f>
        <v>77035</v>
      </c>
      <c r="D178" s="2" t="n">
        <f aca="false">$M178*input!D174</f>
        <v>74622</v>
      </c>
      <c r="E178" s="2" t="n">
        <f aca="false">$M178*input!E174</f>
        <v>43915</v>
      </c>
      <c r="F178" s="2" t="n">
        <f aca="false">$M178*input!F174</f>
        <v>30256</v>
      </c>
      <c r="G178" s="2" t="n">
        <f aca="false">$M178*input!G174</f>
        <v>46008</v>
      </c>
      <c r="H178" s="2" t="n">
        <f aca="false">$M178*input!H174</f>
        <v>38066</v>
      </c>
      <c r="I178" s="2" t="n">
        <f aca="false">$M178*input!I174</f>
        <v>79244</v>
      </c>
      <c r="J178" s="2" t="n">
        <f aca="false">$M178*input!J174</f>
        <v>41340</v>
      </c>
      <c r="K178" s="2" t="n">
        <f aca="false">$M178*input!K174</f>
        <v>36769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0</v>
      </c>
      <c r="C179" s="2" t="n">
        <f aca="false">$M179*input!C175</f>
        <v>19472</v>
      </c>
      <c r="D179" s="2" t="n">
        <f aca="false">$M179*input!D175</f>
        <v>48345</v>
      </c>
      <c r="E179" s="2" t="n">
        <f aca="false">$M179*input!E175</f>
        <v>654</v>
      </c>
      <c r="F179" s="2" t="n">
        <f aca="false">$M179*input!F175</f>
        <v>1053</v>
      </c>
      <c r="G179" s="2" t="n">
        <f aca="false">$M179*input!G175</f>
        <v>0</v>
      </c>
      <c r="H179" s="2" t="n">
        <f aca="false">$M179*input!H175</f>
        <v>0</v>
      </c>
      <c r="I179" s="2" t="n">
        <f aca="false">$M179*input!I175</f>
        <v>0</v>
      </c>
      <c r="J179" s="2" t="n">
        <f aca="false">$M179*input!J175</f>
        <v>0</v>
      </c>
      <c r="K179" s="2" t="n">
        <f aca="false">$M179*input!K175</f>
        <v>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10509139</v>
      </c>
      <c r="C180" s="10" t="n">
        <f aca="false">$M180*input!C176</f>
        <v>10330643</v>
      </c>
      <c r="D180" s="10" t="n">
        <f aca="false">$M180*input!D176</f>
        <v>9998947</v>
      </c>
      <c r="E180" s="10" t="n">
        <f aca="false">$M180*input!E176</f>
        <v>7701303</v>
      </c>
      <c r="F180" s="10" t="n">
        <f aca="false">$M180*input!F176</f>
        <v>7385766</v>
      </c>
      <c r="G180" s="10" t="n">
        <f aca="false">$M180*input!G176</f>
        <v>8117210</v>
      </c>
      <c r="H180" s="10" t="n">
        <f aca="false">$M180*input!H176</f>
        <v>7698777</v>
      </c>
      <c r="I180" s="10" t="n">
        <f aca="false">$M180*input!I176</f>
        <v>7537360</v>
      </c>
      <c r="J180" s="10" t="n">
        <f aca="false">$M180*input!J176</f>
        <v>7255191</v>
      </c>
      <c r="K180" s="10" t="n">
        <f aca="false">$M180*input!K176</f>
        <v>6502057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-8042729</v>
      </c>
      <c r="C181" s="2" t="n">
        <f aca="false">$M181*input!C177</f>
        <v>-7909736</v>
      </c>
      <c r="D181" s="2" t="n">
        <f aca="false">$M181*input!D177</f>
        <v>-7635079</v>
      </c>
      <c r="E181" s="2" t="n">
        <f aca="false">$M181*input!E177</f>
        <v>-5561813</v>
      </c>
      <c r="F181" s="2" t="n">
        <f aca="false">$M181*input!F177</f>
        <v>-5319152</v>
      </c>
      <c r="G181" s="2" t="n">
        <f aca="false">$M181*input!G177</f>
        <v>-6064470</v>
      </c>
      <c r="H181" s="2" t="n">
        <f aca="false">$M181*input!H177</f>
        <v>-5643875</v>
      </c>
      <c r="I181" s="2" t="n">
        <f aca="false">$M181*input!I177</f>
        <v>-5648984</v>
      </c>
      <c r="J181" s="2" t="n">
        <f aca="false">$M181*input!J177</f>
        <v>-5503638</v>
      </c>
      <c r="K181" s="2" t="n">
        <f aca="false">$M181*input!K177</f>
        <v>-4946714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-1042479</v>
      </c>
      <c r="C182" s="2" t="n">
        <f aca="false">$M182*input!C178</f>
        <v>-1055045</v>
      </c>
      <c r="D182" s="2" t="n">
        <f aca="false">$M182*input!D178</f>
        <v>-1049603</v>
      </c>
      <c r="E182" s="2" t="n">
        <f aca="false">$M182*input!E178</f>
        <v>-888400</v>
      </c>
      <c r="F182" s="2" t="n">
        <f aca="false">$M182*input!F178</f>
        <v>-790856</v>
      </c>
      <c r="G182" s="2" t="n">
        <f aca="false">$M182*input!G178</f>
        <v>-817799</v>
      </c>
      <c r="H182" s="2" t="n">
        <f aca="false">$M182*input!H178</f>
        <v>-794983</v>
      </c>
      <c r="I182" s="2" t="n">
        <f aca="false">$M182*input!I178</f>
        <v>-788067</v>
      </c>
      <c r="J182" s="2" t="n">
        <f aca="false">$M182*input!J178</f>
        <v>-755578</v>
      </c>
      <c r="K182" s="2" t="n">
        <f aca="false">$M182*input!K178</f>
        <v>-611124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-18000</v>
      </c>
      <c r="C183" s="2" t="n">
        <f aca="false">$M183*input!C179</f>
        <v>-18000</v>
      </c>
      <c r="D183" s="2" t="n">
        <f aca="false">$M183*input!D179</f>
        <v>-18000</v>
      </c>
      <c r="E183" s="2" t="n">
        <f aca="false">$M183*input!E179</f>
        <v>-31757</v>
      </c>
      <c r="F183" s="2" t="n">
        <f aca="false">$M183*input!F179</f>
        <v>-70447</v>
      </c>
      <c r="G183" s="2" t="n">
        <f aca="false">$M183*input!G179</f>
        <v>-70304</v>
      </c>
      <c r="H183" s="2" t="n">
        <f aca="false">$M183*input!H179</f>
        <v>-84557</v>
      </c>
      <c r="I183" s="2" t="n">
        <f aca="false">$M183*input!I179</f>
        <v>-99865</v>
      </c>
      <c r="J183" s="2" t="n">
        <f aca="false">$M183*input!J179</f>
        <v>-83190</v>
      </c>
      <c r="K183" s="2" t="n">
        <f aca="false">$M183*input!K179</f>
        <v>-35455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-1065444</v>
      </c>
      <c r="C184" s="2" t="n">
        <f aca="false">$M184*input!C180</f>
        <v>-1093378</v>
      </c>
      <c r="D184" s="2" t="n">
        <f aca="false">$M184*input!D180</f>
        <v>-1079519</v>
      </c>
      <c r="E184" s="2" t="n">
        <f aca="false">$M184*input!E180</f>
        <v>-916442</v>
      </c>
      <c r="F184" s="2" t="n">
        <f aca="false">$M184*input!F180</f>
        <v>-857513</v>
      </c>
      <c r="G184" s="2" t="n">
        <f aca="false">$M184*input!G180</f>
        <v>-921295</v>
      </c>
      <c r="H184" s="2" t="n">
        <f aca="false">$M184*input!H180</f>
        <v>-885834</v>
      </c>
      <c r="I184" s="2" t="n">
        <f aca="false">$M184*input!I180</f>
        <v>-756458</v>
      </c>
      <c r="J184" s="2" t="n">
        <f aca="false">$M184*input!J180</f>
        <v>-701560</v>
      </c>
      <c r="K184" s="2" t="n">
        <f aca="false">$M184*input!K180</f>
        <v>-761587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756833</v>
      </c>
      <c r="C185" s="2" t="n">
        <f aca="false">$M185*input!C181</f>
        <v>776772</v>
      </c>
      <c r="D185" s="2" t="n">
        <f aca="false">$M185*input!D181</f>
        <v>764943</v>
      </c>
      <c r="E185" s="2" t="n">
        <f aca="false">$M185*input!E181</f>
        <v>649234</v>
      </c>
      <c r="F185" s="2" t="n">
        <f aca="false">$M185*input!F181</f>
        <v>609487</v>
      </c>
      <c r="G185" s="2" t="n">
        <f aca="false">$M185*input!G181</f>
        <v>659851</v>
      </c>
      <c r="H185" s="2" t="n">
        <f aca="false">$M185*input!H181</f>
        <v>632910</v>
      </c>
      <c r="I185" s="2" t="n">
        <f aca="false">$M185*input!I181</f>
        <v>541524</v>
      </c>
      <c r="J185" s="2" t="n">
        <f aca="false">$M185*input!J181</f>
        <v>502282</v>
      </c>
      <c r="K185" s="2" t="n">
        <f aca="false">$M185*input!K181</f>
        <v>551417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248897</v>
      </c>
      <c r="C186" s="2" t="n">
        <f aca="false">$M186*input!C182</f>
        <v>253368</v>
      </c>
      <c r="D186" s="2" t="n">
        <f aca="false">$M186*input!D182</f>
        <v>233553</v>
      </c>
      <c r="E186" s="2" t="n">
        <f aca="false">$M186*input!E182</f>
        <v>204139</v>
      </c>
      <c r="F186" s="2" t="n">
        <f aca="false">$M186*input!F182</f>
        <v>191099</v>
      </c>
      <c r="G186" s="2" t="n">
        <f aca="false">$M186*input!G182</f>
        <v>208518</v>
      </c>
      <c r="H186" s="2" t="n">
        <f aca="false">$M186*input!H182</f>
        <v>199901</v>
      </c>
      <c r="I186" s="2" t="n">
        <f aca="false">$M186*input!I182</f>
        <v>170298</v>
      </c>
      <c r="J186" s="2" t="n">
        <f aca="false">$M186*input!J182</f>
        <v>159221</v>
      </c>
      <c r="K186" s="2" t="n">
        <f aca="false">$M186*input!K182</f>
        <v>169104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58591</v>
      </c>
      <c r="C187" s="2" t="n">
        <f aca="false">$M187*input!C183</f>
        <v>60214</v>
      </c>
      <c r="D187" s="2" t="n">
        <f aca="false">$M187*input!D183</f>
        <v>77535</v>
      </c>
      <c r="E187" s="2" t="n">
        <f aca="false">$M187*input!E183</f>
        <v>59827</v>
      </c>
      <c r="F187" s="2" t="n">
        <f aca="false">$M187*input!F183</f>
        <v>52011</v>
      </c>
      <c r="G187" s="2" t="n">
        <f aca="false">$M187*input!G183</f>
        <v>51507</v>
      </c>
      <c r="H187" s="2" t="n">
        <f aca="false">$M187*input!H183</f>
        <v>47810</v>
      </c>
      <c r="I187" s="2" t="n">
        <f aca="false">$M187*input!I183</f>
        <v>42947</v>
      </c>
      <c r="J187" s="2" t="n">
        <f aca="false">$M187*input!J183</f>
        <v>39484</v>
      </c>
      <c r="K187" s="2" t="n">
        <f aca="false">$M187*input!K183</f>
        <v>41066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1123</v>
      </c>
      <c r="C189" s="2" t="n">
        <f aca="false">$M189*input!C185</f>
        <v>3024</v>
      </c>
      <c r="D189" s="2" t="n">
        <f aca="false">$M189*input!D185</f>
        <v>3488</v>
      </c>
      <c r="E189" s="2" t="n">
        <f aca="false">$M189*input!E185</f>
        <v>3242</v>
      </c>
      <c r="F189" s="2" t="n">
        <f aca="false">$M189*input!F185</f>
        <v>4916</v>
      </c>
      <c r="G189" s="2" t="n">
        <f aca="false">$M189*input!G185</f>
        <v>1419</v>
      </c>
      <c r="H189" s="2" t="n">
        <f aca="false">$M189*input!H185</f>
        <v>5213</v>
      </c>
      <c r="I189" s="2" t="n">
        <f aca="false">$M189*input!I185</f>
        <v>1689</v>
      </c>
      <c r="J189" s="2" t="n">
        <f aca="false">$M189*input!J185</f>
        <v>573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59714</v>
      </c>
      <c r="C190" s="2" t="n">
        <f aca="false">$M190*input!C186</f>
        <v>63238</v>
      </c>
      <c r="D190" s="2" t="n">
        <f aca="false">$M190*input!D186</f>
        <v>81023</v>
      </c>
      <c r="E190" s="2" t="n">
        <f aca="false">$M190*input!E186</f>
        <v>63069</v>
      </c>
      <c r="F190" s="2" t="n">
        <f aca="false">$M190*input!F186</f>
        <v>56927</v>
      </c>
      <c r="G190" s="2" t="n">
        <f aca="false">$M190*input!G186</f>
        <v>52926</v>
      </c>
      <c r="H190" s="2" t="n">
        <f aca="false">$M190*input!H186</f>
        <v>53023</v>
      </c>
      <c r="I190" s="2" t="n">
        <f aca="false">$M190*input!I186</f>
        <v>44636</v>
      </c>
      <c r="J190" s="2" t="n">
        <f aca="false">$M190*input!J186</f>
        <v>40057</v>
      </c>
      <c r="K190" s="2" t="n">
        <f aca="false">$M190*input!K186</f>
        <v>41066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181712</v>
      </c>
      <c r="C191" s="2" t="n">
        <f aca="false">$M191*input!C187</f>
        <v>266884</v>
      </c>
      <c r="D191" s="2" t="n">
        <f aca="false">$M191*input!D187</f>
        <v>290700</v>
      </c>
      <c r="E191" s="2" t="n">
        <f aca="false">$M191*input!E187</f>
        <v>296927</v>
      </c>
      <c r="F191" s="2" t="n">
        <f aca="false">$M191*input!F187</f>
        <v>210400</v>
      </c>
      <c r="G191" s="2" t="n">
        <f aca="false">$M191*input!G187</f>
        <v>255902</v>
      </c>
      <c r="H191" s="2" t="n">
        <f aca="false">$M191*input!H187</f>
        <v>259701</v>
      </c>
      <c r="I191" s="2" t="n">
        <f aca="false">$M191*input!I187</f>
        <v>241735</v>
      </c>
      <c r="J191" s="2" t="n">
        <f aca="false">$M191*input!J187</f>
        <v>222408</v>
      </c>
      <c r="K191" s="2" t="n">
        <f aca="false">$M191*input!K187</f>
        <v>194276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-429</v>
      </c>
      <c r="C192" s="2" t="n">
        <f aca="false">$M192*input!C188</f>
        <v>-1032</v>
      </c>
      <c r="D192" s="2" t="n">
        <f aca="false">$M192*input!D188</f>
        <v>-1346</v>
      </c>
      <c r="E192" s="2" t="n">
        <f aca="false">$M192*input!E188</f>
        <v>-9341</v>
      </c>
      <c r="F192" s="2" t="n">
        <f aca="false">$M192*input!F188</f>
        <v>-14368</v>
      </c>
      <c r="G192" s="2" t="n">
        <f aca="false">$M192*input!G188</f>
        <v>-14158</v>
      </c>
      <c r="H192" s="2" t="n">
        <f aca="false">$M192*input!H188</f>
        <v>-14465</v>
      </c>
      <c r="I192" s="2" t="n">
        <f aca="false">$M192*input!I188</f>
        <v>-14151</v>
      </c>
      <c r="J192" s="2" t="n">
        <f aca="false">$M192*input!J188</f>
        <v>-8338</v>
      </c>
      <c r="K192" s="2" t="n">
        <f aca="false">$M192*input!K188</f>
        <v>-3054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-177783</v>
      </c>
      <c r="C193" s="2" t="n">
        <f aca="false">$M193*input!C189</f>
        <v>-261852</v>
      </c>
      <c r="D193" s="2" t="n">
        <f aca="false">$M193*input!D189</f>
        <v>-283333</v>
      </c>
      <c r="E193" s="2" t="n">
        <f aca="false">$M193*input!E189</f>
        <v>-282086</v>
      </c>
      <c r="F193" s="2" t="n">
        <f aca="false">$M193*input!F189</f>
        <v>-192732</v>
      </c>
      <c r="G193" s="2" t="n">
        <f aca="false">$M193*input!G189</f>
        <v>-236061</v>
      </c>
      <c r="H193" s="2" t="n">
        <f aca="false">$M193*input!H189</f>
        <v>-240517</v>
      </c>
      <c r="I193" s="2" t="n">
        <f aca="false">$M193*input!I189</f>
        <v>-223250</v>
      </c>
      <c r="J193" s="2" t="n">
        <f aca="false">$M193*input!J189</f>
        <v>-210438</v>
      </c>
      <c r="K193" s="2" t="n">
        <f aca="false">$M193*input!K189</f>
        <v>-187331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178212</v>
      </c>
      <c r="C195" s="2" t="n">
        <f aca="false">$M195*input!C191</f>
        <v>262884</v>
      </c>
      <c r="D195" s="2" t="n">
        <f aca="false">$M195*input!D191</f>
        <v>284679</v>
      </c>
      <c r="E195" s="2" t="n">
        <f aca="false">$M195*input!E191</f>
        <v>291427</v>
      </c>
      <c r="F195" s="2" t="n">
        <f aca="false">$M195*input!F191</f>
        <v>207100</v>
      </c>
      <c r="G195" s="2" t="n">
        <f aca="false">$M195*input!G191</f>
        <v>250219</v>
      </c>
      <c r="H195" s="2" t="n">
        <f aca="false">$M195*input!H191</f>
        <v>254982</v>
      </c>
      <c r="I195" s="2" t="n">
        <f aca="false">$M195*input!I191</f>
        <v>237401</v>
      </c>
      <c r="J195" s="2" t="n">
        <f aca="false">$M195*input!J191</f>
        <v>218776</v>
      </c>
      <c r="K195" s="2" t="n">
        <f aca="false">$M195*input!K191</f>
        <v>190385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-3500</v>
      </c>
      <c r="C196" s="2" t="n">
        <f aca="false">$M196*input!C192</f>
        <v>-4000</v>
      </c>
      <c r="D196" s="2" t="n">
        <f aca="false">$M196*input!D192</f>
        <v>-6021</v>
      </c>
      <c r="E196" s="2" t="n">
        <f aca="false">$M196*input!E192</f>
        <v>-5500</v>
      </c>
      <c r="F196" s="2" t="n">
        <f aca="false">$M196*input!F192</f>
        <v>-3300</v>
      </c>
      <c r="G196" s="2" t="n">
        <f aca="false">$M196*input!G192</f>
        <v>-5683</v>
      </c>
      <c r="H196" s="2" t="n">
        <f aca="false">$M196*input!H192</f>
        <v>-4719</v>
      </c>
      <c r="I196" s="2" t="n">
        <f aca="false">$M196*input!I192</f>
        <v>-4334</v>
      </c>
      <c r="J196" s="2" t="n">
        <f aca="false">$M196*input!J192</f>
        <v>-3632</v>
      </c>
      <c r="K196" s="2" t="n">
        <f aca="false">$M196*input!K192</f>
        <v>-3891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-123637</v>
      </c>
      <c r="C197" s="2" t="n">
        <f aca="false">$M197*input!C193</f>
        <v>85812</v>
      </c>
      <c r="D197" s="2" t="n">
        <f aca="false">$M197*input!D193</f>
        <v>102926</v>
      </c>
      <c r="E197" s="2" t="n">
        <f aca="false">$M197*input!E193</f>
        <v>24242</v>
      </c>
      <c r="F197" s="2" t="n">
        <f aca="false">$M197*input!F193</f>
        <v>-102446</v>
      </c>
      <c r="G197" s="2" t="n">
        <f aca="false">$M197*input!G193</f>
        <v>47527</v>
      </c>
      <c r="H197" s="2" t="n">
        <f aca="false">$M197*input!H193</f>
        <v>4875</v>
      </c>
      <c r="I197" s="2" t="n">
        <f aca="false">$M197*input!I193</f>
        <v>18872</v>
      </c>
      <c r="J197" s="2" t="n">
        <f aca="false">$M197*input!J193</f>
        <v>38563</v>
      </c>
      <c r="K197" s="2" t="n">
        <f aca="false">$M197*input!K193</f>
        <v>82592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-35138</v>
      </c>
      <c r="C200" s="2" t="n">
        <f aca="false">$M200*input!C196</f>
        <v>-73412</v>
      </c>
      <c r="D200" s="2" t="n">
        <f aca="false">$M200*input!D196</f>
        <v>-28972</v>
      </c>
      <c r="E200" s="2" t="n">
        <f aca="false">$M200*input!E196</f>
        <v>-30206</v>
      </c>
      <c r="F200" s="2" t="n">
        <f aca="false">$M200*input!F196</f>
        <v>-34952</v>
      </c>
      <c r="G200" s="2" t="n">
        <f aca="false">$M200*input!G196</f>
        <v>-34967</v>
      </c>
      <c r="H200" s="2" t="n">
        <f aca="false">$M200*input!H196</f>
        <v>-34702</v>
      </c>
      <c r="I200" s="2" t="n">
        <f aca="false">$M200*input!I196</f>
        <v>-21123</v>
      </c>
      <c r="J200" s="2" t="n">
        <f aca="false">$M200*input!J196</f>
        <v>-27380</v>
      </c>
      <c r="K200" s="2" t="n">
        <f aca="false">$M200*input!K196</f>
        <v>-35493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208796</v>
      </c>
      <c r="C201" s="28" t="n">
        <f aca="false">$M201*input!C197</f>
        <v>157219</v>
      </c>
      <c r="D201" s="28" t="n">
        <f aca="false">$M201*input!D197</f>
        <v>237075</v>
      </c>
      <c r="E201" s="28" t="n">
        <f aca="false">$M201*input!E197</f>
        <v>158900</v>
      </c>
      <c r="F201" s="28" t="n">
        <f aca="false">$M201*input!F197</f>
        <v>79314</v>
      </c>
      <c r="G201" s="28" t="n">
        <f aca="false">$M201*input!G197</f>
        <v>101378</v>
      </c>
      <c r="H201" s="28" t="n">
        <f aca="false">$M201*input!H197</f>
        <v>129035</v>
      </c>
      <c r="I201" s="28" t="n">
        <f aca="false">$M201*input!I197</f>
        <v>92400</v>
      </c>
      <c r="J201" s="28" t="n">
        <f aca="false">$M201*input!J197</f>
        <v>169833</v>
      </c>
      <c r="K201" s="28" t="n">
        <f aca="false">$M201*input!K197</f>
        <v>562402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1455952</v>
      </c>
      <c r="C202" s="30" t="n">
        <f aca="false">$M202*input!C198</f>
        <v>1517481</v>
      </c>
      <c r="D202" s="30" t="n">
        <f aca="false">$M202*input!D198</f>
        <v>1607294</v>
      </c>
      <c r="E202" s="30" t="n">
        <f aca="false">$M202*input!E198</f>
        <v>1372269</v>
      </c>
      <c r="F202" s="30" t="n">
        <f aca="false">$M202*input!F198</f>
        <v>1147227</v>
      </c>
      <c r="G202" s="30" t="n">
        <f aca="false">$M202*input!G198</f>
        <v>1278575</v>
      </c>
      <c r="H202" s="30" t="n">
        <f aca="false">$M202*input!H198</f>
        <v>1274570</v>
      </c>
      <c r="I202" s="30" t="n">
        <f aca="false">$M202*input!I198</f>
        <v>1090593</v>
      </c>
      <c r="J202" s="30" t="n">
        <f aca="false">$M202*input!J198</f>
        <v>1093801</v>
      </c>
      <c r="K202" s="30" t="n">
        <f aca="false">$M202*input!K198</f>
        <v>1518265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-108744</v>
      </c>
      <c r="C203" s="10" t="n">
        <f aca="false">$M203*input!C199</f>
        <v>-99460</v>
      </c>
      <c r="D203" s="10" t="n">
        <f aca="false">$M203*input!D199</f>
        <v>-32150</v>
      </c>
      <c r="E203" s="10" t="n">
        <f aca="false">$M203*input!E199</f>
        <v>-28050</v>
      </c>
      <c r="F203" s="10" t="n">
        <f aca="false">$M203*input!F199</f>
        <v>-38589</v>
      </c>
      <c r="G203" s="10" t="n">
        <f aca="false">$M203*input!G199</f>
        <v>-39669</v>
      </c>
      <c r="H203" s="10" t="n">
        <f aca="false">$M203*input!H199</f>
        <v>-38800</v>
      </c>
      <c r="I203" s="10" t="n">
        <f aca="false">$M203*input!I199</f>
        <v>-49795</v>
      </c>
      <c r="J203" s="10" t="n">
        <f aca="false">$M203*input!J199</f>
        <v>-62525</v>
      </c>
      <c r="K203" s="10" t="n">
        <f aca="false">$M203*input!K199</f>
        <v>-60964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1525</v>
      </c>
      <c r="C208" s="2" t="n">
        <f aca="false">$M208*input!C204</f>
        <v>2140</v>
      </c>
      <c r="D208" s="2" t="n">
        <f aca="false">$M208*input!D204</f>
        <v>2565</v>
      </c>
      <c r="E208" s="2" t="n">
        <f aca="false">$M208*input!E204</f>
        <v>4889</v>
      </c>
      <c r="F208" s="2" t="n">
        <f aca="false">$M208*input!F204</f>
        <v>3414</v>
      </c>
      <c r="G208" s="2" t="n">
        <f aca="false">$M208*input!G204</f>
        <v>4000</v>
      </c>
      <c r="H208" s="2" t="n">
        <f aca="false">$M208*input!H204</f>
        <v>2187</v>
      </c>
      <c r="I208" s="2" t="n">
        <f aca="false">$M208*input!I204</f>
        <v>2911</v>
      </c>
      <c r="J208" s="2" t="n">
        <f aca="false">$M208*input!J204</f>
        <v>2667</v>
      </c>
      <c r="K208" s="2" t="n">
        <f aca="false">$M208*input!K204</f>
        <v>12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2000</v>
      </c>
      <c r="D209" s="2" t="n">
        <f aca="false">$M209*input!D205</f>
        <v>2472</v>
      </c>
      <c r="E209" s="2" t="n">
        <f aca="false">$M209*input!E205</f>
        <v>3400</v>
      </c>
      <c r="F209" s="2" t="n">
        <f aca="false">$M209*input!F205</f>
        <v>3400</v>
      </c>
      <c r="G209" s="2" t="n">
        <f aca="false">$M209*input!G205</f>
        <v>4000</v>
      </c>
      <c r="H209" s="2" t="n">
        <f aca="false">$M209*input!H205</f>
        <v>2186</v>
      </c>
      <c r="I209" s="2" t="n">
        <f aca="false">$M209*input!I205</f>
        <v>2904</v>
      </c>
      <c r="J209" s="2" t="n">
        <f aca="false">$M209*input!J205</f>
        <v>2667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1525</v>
      </c>
      <c r="C215" s="2" t="n">
        <f aca="false">$M215*input!C211</f>
        <v>140</v>
      </c>
      <c r="D215" s="2" t="n">
        <f aca="false">$M215*input!D211</f>
        <v>93</v>
      </c>
      <c r="E215" s="2" t="n">
        <f aca="false">$M215*input!E211</f>
        <v>1489</v>
      </c>
      <c r="F215" s="2" t="n">
        <f aca="false">$M215*input!F211</f>
        <v>14</v>
      </c>
      <c r="G215" s="2" t="n">
        <f aca="false">$M215*input!G211</f>
        <v>0</v>
      </c>
      <c r="H215" s="2" t="n">
        <f aca="false">$M215*input!H211</f>
        <v>1</v>
      </c>
      <c r="I215" s="2" t="n">
        <f aca="false">$M215*input!I211</f>
        <v>7</v>
      </c>
      <c r="J215" s="2" t="n">
        <f aca="false">$M215*input!J211</f>
        <v>0</v>
      </c>
      <c r="K215" s="2" t="n">
        <f aca="false">$M215*input!K211</f>
        <v>12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-110269</v>
      </c>
      <c r="C218" s="2" t="n">
        <f aca="false">$M218*input!C214</f>
        <v>-101600</v>
      </c>
      <c r="D218" s="2" t="n">
        <f aca="false">$M218*input!D214</f>
        <v>-34715</v>
      </c>
      <c r="E218" s="2" t="n">
        <f aca="false">$M218*input!E214</f>
        <v>-32939</v>
      </c>
      <c r="F218" s="2" t="n">
        <f aca="false">$M218*input!F214</f>
        <v>-42003</v>
      </c>
      <c r="G218" s="2" t="n">
        <f aca="false">$M218*input!G214</f>
        <v>-43669</v>
      </c>
      <c r="H218" s="2" t="n">
        <f aca="false">$M218*input!H214</f>
        <v>-40987</v>
      </c>
      <c r="I218" s="2" t="n">
        <f aca="false">$M218*input!I214</f>
        <v>-52706</v>
      </c>
      <c r="J218" s="2" t="n">
        <f aca="false">$M218*input!J214</f>
        <v>-65192</v>
      </c>
      <c r="K218" s="2" t="n">
        <f aca="false">$M218*input!K214</f>
        <v>-60976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0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0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-0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100052</v>
      </c>
      <c r="C241" s="28" t="n">
        <f aca="false">$M241*input!C237</f>
        <v>57759</v>
      </c>
      <c r="D241" s="28" t="n">
        <f aca="false">$M241*input!D237</f>
        <v>204925</v>
      </c>
      <c r="E241" s="28" t="n">
        <f aca="false">$M241*input!E237</f>
        <v>130850</v>
      </c>
      <c r="F241" s="28" t="n">
        <f aca="false">$M241*input!F237</f>
        <v>40725</v>
      </c>
      <c r="G241" s="28" t="n">
        <f aca="false">$M241*input!G237</f>
        <v>61709</v>
      </c>
      <c r="H241" s="28" t="n">
        <f aca="false">$M241*input!H237</f>
        <v>90235</v>
      </c>
      <c r="I241" s="28" t="n">
        <f aca="false">$M241*input!I237</f>
        <v>42605</v>
      </c>
      <c r="J241" s="28" t="n">
        <f aca="false">$M241*input!J237</f>
        <v>107308</v>
      </c>
      <c r="K241" s="28" t="n">
        <f aca="false">$M241*input!K237</f>
        <v>501438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-52061</v>
      </c>
      <c r="C242" s="10" t="n">
        <f aca="false">$M242*input!C238</f>
        <v>-34196</v>
      </c>
      <c r="D242" s="10" t="n">
        <f aca="false">$M242*input!D238</f>
        <v>-66907</v>
      </c>
      <c r="E242" s="10" t="n">
        <f aca="false">$M242*input!E238</f>
        <v>-39917</v>
      </c>
      <c r="F242" s="10" t="n">
        <f aca="false">$M242*input!F238</f>
        <v>-13565</v>
      </c>
      <c r="G242" s="10" t="n">
        <f aca="false">$M242*input!G238</f>
        <v>-20189</v>
      </c>
      <c r="H242" s="10" t="n">
        <f aca="false">$M242*input!H238</f>
        <v>-27527</v>
      </c>
      <c r="I242" s="10" t="n">
        <f aca="false">$M242*input!I238</f>
        <v>-12435</v>
      </c>
      <c r="J242" s="10" t="n">
        <f aca="false">$M242*input!J238</f>
        <v>-34278</v>
      </c>
      <c r="K242" s="10" t="n">
        <f aca="false">$M242*input!K238</f>
        <v>-164164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53472</v>
      </c>
      <c r="C243" s="2" t="n">
        <f aca="false">$M243*input!C239</f>
        <v>35907</v>
      </c>
      <c r="D243" s="2" t="n">
        <f aca="false">$M243*input!D239</f>
        <v>64746</v>
      </c>
      <c r="E243" s="2" t="n">
        <f aca="false">$M243*input!E239</f>
        <v>37019</v>
      </c>
      <c r="F243" s="2" t="n">
        <f aca="false">$M243*input!F239</f>
        <v>5175</v>
      </c>
      <c r="G243" s="2" t="n">
        <f aca="false">$M243*input!G239</f>
        <v>20802</v>
      </c>
      <c r="H243" s="2" t="n">
        <f aca="false">$M243*input!H239</f>
        <v>27527</v>
      </c>
      <c r="I243" s="2" t="n">
        <f aca="false">$M243*input!I239</f>
        <v>12435</v>
      </c>
      <c r="J243" s="2" t="n">
        <f aca="false">$M243*input!J239</f>
        <v>34278</v>
      </c>
      <c r="K243" s="2" t="n">
        <f aca="false">$M243*input!K239</f>
        <v>164164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1719</v>
      </c>
      <c r="D244" s="2" t="n">
        <f aca="false">$M244*input!D240</f>
        <v>2161</v>
      </c>
      <c r="E244" s="2" t="n">
        <f aca="false">$M244*input!E240</f>
        <v>1015</v>
      </c>
      <c r="F244" s="2" t="n">
        <f aca="false">$M244*input!F240</f>
        <v>-1183</v>
      </c>
      <c r="G244" s="2" t="n">
        <f aca="false">$M244*input!G240</f>
        <v>-613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-1411</v>
      </c>
      <c r="C245" s="2" t="n">
        <f aca="false">$M245*input!C241</f>
        <v>-3430</v>
      </c>
      <c r="D245" s="2" t="n">
        <f aca="false">$M245*input!D241</f>
        <v>0</v>
      </c>
      <c r="E245" s="2" t="n">
        <f aca="false">$M245*input!E241</f>
        <v>1883</v>
      </c>
      <c r="F245" s="2" t="n">
        <f aca="false">$M245*input!F241</f>
        <v>9573</v>
      </c>
      <c r="G245" s="2" t="n">
        <f aca="false">$M245*input!G241</f>
        <v>0</v>
      </c>
      <c r="H245" s="2" t="n">
        <f aca="false">$M245*input!H241</f>
        <v>0</v>
      </c>
      <c r="I245" s="2" t="n">
        <f aca="false">$M245*input!I241</f>
        <v>0</v>
      </c>
      <c r="J245" s="2" t="n">
        <f aca="false">$M245*input!J241</f>
        <v>0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47991</v>
      </c>
      <c r="C249" s="18" t="n">
        <f aca="false">$M249*input!C245</f>
        <v>23563</v>
      </c>
      <c r="D249" s="18" t="n">
        <f aca="false">$M249*input!D245</f>
        <v>138018</v>
      </c>
      <c r="E249" s="18" t="n">
        <f aca="false">$M249*input!E245</f>
        <v>90933</v>
      </c>
      <c r="F249" s="18" t="n">
        <f aca="false">$M249*input!F245</f>
        <v>27160</v>
      </c>
      <c r="G249" s="18" t="n">
        <f aca="false">$M249*input!G245</f>
        <v>41520</v>
      </c>
      <c r="H249" s="18" t="n">
        <f aca="false">$M249*input!H245</f>
        <v>62708</v>
      </c>
      <c r="I249" s="18" t="n">
        <f aca="false">$M249*input!I245</f>
        <v>30170</v>
      </c>
      <c r="J249" s="18" t="n">
        <f aca="false">$M249*input!J245</f>
        <v>73030</v>
      </c>
      <c r="K249" s="18" t="n">
        <f aca="false">$M249*input!K245</f>
        <v>337274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TROCKNER SEBASTIAN S.R.L.</v>
      </c>
    </row>
    <row r="252" customFormat="false" ht="12.75" hidden="false" customHeight="false" outlineLevel="0" collapsed="false">
      <c r="A252" s="1" t="str">
        <f aca="false">input!A248</f>
        <v>02495580215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1351939</v>
      </c>
      <c r="C5" s="26" t="n">
        <f aca="false">SUMIF(case!$N:$N,$A5,case!C:C)</f>
        <v>1377676</v>
      </c>
      <c r="D5" s="26" t="n">
        <f aca="false">SUMIF(case!$N:$N,$A5,case!D:D)</f>
        <v>1274814</v>
      </c>
      <c r="E5" s="26" t="n">
        <f aca="false">SUMIF(case!$N:$N,$A5,case!E:E)</f>
        <v>1090084</v>
      </c>
      <c r="F5" s="26" t="n">
        <f aca="false">SUMIF(case!$N:$N,$A5,case!F:F)</f>
        <v>653537</v>
      </c>
      <c r="G5" s="26" t="n">
        <f aca="false">SUMIF(case!$N:$N,$A5,case!G:G)</f>
        <v>1131681</v>
      </c>
      <c r="H5" s="26" t="n">
        <f aca="false">SUMIF(case!$N:$N,$A5,case!H:H)</f>
        <v>945441</v>
      </c>
      <c r="I5" s="26" t="n">
        <f aca="false">SUMIF(case!$N:$N,$A5,case!I:I)</f>
        <v>876265</v>
      </c>
      <c r="J5" s="26" t="n">
        <f aca="false">SUMIF(case!$N:$N,$A5,case!J:J)</f>
        <v>738505</v>
      </c>
      <c r="K5" s="26" t="n">
        <f aca="false">SUMIF(case!$N:$N,$A5,case!K:K)</f>
        <v>795525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1163582</v>
      </c>
      <c r="C6" s="26" t="n">
        <f aca="false">SUMIF(case!$N:$N,$A6,case!C:C)</f>
        <v>1351255</v>
      </c>
      <c r="D6" s="26" t="n">
        <f aca="false">SUMIF(case!$N:$N,$A6,case!D:D)</f>
        <v>1299305</v>
      </c>
      <c r="E6" s="26" t="n">
        <f aca="false">SUMIF(case!$N:$N,$A6,case!E:E)</f>
        <v>806038</v>
      </c>
      <c r="F6" s="26" t="n">
        <f aca="false">SUMIF(case!$N:$N,$A6,case!F:F)</f>
        <v>1008735</v>
      </c>
      <c r="G6" s="26" t="n">
        <f aca="false">SUMIF(case!$N:$N,$A6,case!G:G)</f>
        <v>996875</v>
      </c>
      <c r="H6" s="26" t="n">
        <f aca="false">SUMIF(case!$N:$N,$A6,case!H:H)</f>
        <v>1101730</v>
      </c>
      <c r="I6" s="26" t="n">
        <f aca="false">SUMIF(case!$N:$N,$A6,case!I:I)</f>
        <v>996728</v>
      </c>
      <c r="J6" s="26" t="n">
        <f aca="false">SUMIF(case!$N:$N,$A6,case!J:J)</f>
        <v>0</v>
      </c>
      <c r="K6" s="26" t="n">
        <f aca="false">SUMIF(case!$N:$N,$A6,case!K:K)</f>
        <v>986831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50404</v>
      </c>
      <c r="C7" s="26" t="n">
        <f aca="false">SUMIF(case!$N:$N,$A7,case!C:C)</f>
        <v>48036</v>
      </c>
      <c r="D7" s="26" t="n">
        <f aca="false">SUMIF(case!$N:$N,$A7,case!D:D)</f>
        <v>36463</v>
      </c>
      <c r="E7" s="26" t="n">
        <f aca="false">SUMIF(case!$N:$N,$A7,case!E:E)</f>
        <v>35592</v>
      </c>
      <c r="F7" s="26" t="n">
        <f aca="false">SUMIF(case!$N:$N,$A7,case!F:F)</f>
        <v>50265</v>
      </c>
      <c r="G7" s="26" t="n">
        <f aca="false">SUMIF(case!$N:$N,$A7,case!G:G)</f>
        <v>42286</v>
      </c>
      <c r="H7" s="26" t="n">
        <f aca="false">SUMIF(case!$N:$N,$A7,case!H:H)</f>
        <v>52754</v>
      </c>
      <c r="I7" s="26" t="n">
        <f aca="false">SUMIF(case!$N:$N,$A7,case!I:I)</f>
        <v>55758</v>
      </c>
      <c r="J7" s="26" t="n">
        <f aca="false">SUMIF(case!$N:$N,$A7,case!J:J)</f>
        <v>61672</v>
      </c>
      <c r="K7" s="26" t="n">
        <f aca="false">SUMIF(case!$N:$N,$A7,case!K:K)</f>
        <v>174082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2565925</v>
      </c>
      <c r="C8" s="26" t="n">
        <f aca="false">SUM(C5:C7)</f>
        <v>2776967</v>
      </c>
      <c r="D8" s="26" t="n">
        <f aca="false">SUM(D5:D7)</f>
        <v>2610582</v>
      </c>
      <c r="E8" s="26" t="n">
        <f aca="false">SUM(E5:E7)</f>
        <v>1931714</v>
      </c>
      <c r="F8" s="26" t="n">
        <f aca="false">SUM(F5:F7)</f>
        <v>1712537</v>
      </c>
      <c r="G8" s="26" t="n">
        <f aca="false">SUM(G5:G7)</f>
        <v>2170842</v>
      </c>
      <c r="H8" s="26" t="n">
        <f aca="false">SUM(H5:H7)</f>
        <v>2099925</v>
      </c>
      <c r="I8" s="26" t="n">
        <f aca="false">SUM(I5:I7)</f>
        <v>1928751</v>
      </c>
      <c r="J8" s="26" t="n">
        <f aca="false">SUM(J5:J7)</f>
        <v>800177</v>
      </c>
      <c r="K8" s="26" t="n">
        <f aca="false">SUM(K5:K7)</f>
        <v>1956438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3603771</v>
      </c>
      <c r="C10" s="26" t="n">
        <f aca="false">SUMIF(case!$N:$N,$A10,case!C:C)</f>
        <v>3742802</v>
      </c>
      <c r="D10" s="26" t="n">
        <f aca="false">SUMIF(case!$N:$N,$A10,case!D:D)</f>
        <v>3566385</v>
      </c>
      <c r="E10" s="26" t="n">
        <f aca="false">SUMIF(case!$N:$N,$A10,case!E:E)</f>
        <v>3648169</v>
      </c>
      <c r="F10" s="26" t="n">
        <f aca="false">SUMIF(case!$N:$N,$A10,case!F:F)</f>
        <v>3886349</v>
      </c>
      <c r="G10" s="26" t="n">
        <f aca="false">SUMIF(case!$N:$N,$A10,case!G:G)</f>
        <v>2087581</v>
      </c>
      <c r="H10" s="26" t="n">
        <f aca="false">SUMIF(case!$N:$N,$A10,case!H:H)</f>
        <v>2124193</v>
      </c>
      <c r="I10" s="26" t="n">
        <f aca="false">SUMIF(case!$N:$N,$A10,case!I:I)</f>
        <v>2173291</v>
      </c>
      <c r="J10" s="26" t="n">
        <f aca="false">SUMIF(case!$N:$N,$A10,case!J:J)</f>
        <v>2247633</v>
      </c>
      <c r="K10" s="26" t="n">
        <f aca="false">SUMIF(case!$N:$N,$A10,case!K:K)</f>
        <v>2109242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1282</v>
      </c>
      <c r="C11" s="26" t="n">
        <f aca="false">SUMIF(case!$N:$N,$A11,case!C:C)</f>
        <v>1712</v>
      </c>
      <c r="D11" s="26" t="n">
        <f aca="false">SUMIF(case!$N:$N,$A11,case!D:D)</f>
        <v>2744</v>
      </c>
      <c r="E11" s="26" t="n">
        <f aca="false">SUMIF(case!$N:$N,$A11,case!E:E)</f>
        <v>3344</v>
      </c>
      <c r="F11" s="26" t="n">
        <f aca="false">SUMIF(case!$N:$N,$A11,case!F:F)</f>
        <v>11317</v>
      </c>
      <c r="G11" s="26" t="n">
        <f aca="false">SUMIF(case!$N:$N,$A11,case!G:G)</f>
        <v>23177</v>
      </c>
      <c r="H11" s="26" t="n">
        <f aca="false">SUMIF(case!$N:$N,$A11,case!H:H)</f>
        <v>36257</v>
      </c>
      <c r="I11" s="26" t="n">
        <f aca="false">SUMIF(case!$N:$N,$A11,case!I:I)</f>
        <v>49156</v>
      </c>
      <c r="J11" s="26" t="n">
        <f aca="false">SUMIF(case!$N:$N,$A11,case!J:J)</f>
        <v>62552</v>
      </c>
      <c r="K11" s="26" t="n">
        <f aca="false">SUMIF(case!$N:$N,$A11,case!K:K)</f>
        <v>34512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3605053</v>
      </c>
      <c r="C12" s="26" t="n">
        <f aca="false">SUM(C10:C11)</f>
        <v>3744514</v>
      </c>
      <c r="D12" s="26" t="n">
        <f aca="false">SUM(D10:D11)</f>
        <v>3569129</v>
      </c>
      <c r="E12" s="26" t="n">
        <f aca="false">SUM(E10:E11)</f>
        <v>3651513</v>
      </c>
      <c r="F12" s="26" t="n">
        <f aca="false">SUM(F10:F11)</f>
        <v>3897666</v>
      </c>
      <c r="G12" s="26" t="n">
        <f aca="false">SUM(G10:G11)</f>
        <v>2110758</v>
      </c>
      <c r="H12" s="26" t="n">
        <f aca="false">SUM(H10:H11)</f>
        <v>2160450</v>
      </c>
      <c r="I12" s="26" t="n">
        <f aca="false">SUM(I10:I11)</f>
        <v>2222447</v>
      </c>
      <c r="J12" s="26" t="n">
        <f aca="false">SUM(J10:J11)</f>
        <v>2310185</v>
      </c>
      <c r="K12" s="26" t="n">
        <f aca="false">SUM(K10:K11)</f>
        <v>2143754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61500</v>
      </c>
      <c r="C14" s="26" t="n">
        <f aca="false">SUMIF(case!$N:$N,$A14,case!C:C)</f>
        <v>77000</v>
      </c>
      <c r="D14" s="26" t="n">
        <f aca="false">SUMIF(case!$N:$N,$A14,case!D:D)</f>
        <v>102472</v>
      </c>
      <c r="E14" s="26" t="n">
        <f aca="false">SUMIF(case!$N:$N,$A14,case!E:E)</f>
        <v>173400</v>
      </c>
      <c r="F14" s="26" t="n">
        <f aca="false">SUMIF(case!$N:$N,$A14,case!F:F)</f>
        <v>173400</v>
      </c>
      <c r="G14" s="26" t="n">
        <f aca="false">SUMIF(case!$N:$N,$A14,case!G:G)</f>
        <v>174000</v>
      </c>
      <c r="H14" s="26" t="n">
        <f aca="false">SUMIF(case!$N:$N,$A14,case!H:H)</f>
        <v>202186</v>
      </c>
      <c r="I14" s="26" t="n">
        <f aca="false">SUMIF(case!$N:$N,$A14,case!I:I)</f>
        <v>102904</v>
      </c>
      <c r="J14" s="26" t="n">
        <f aca="false">SUMIF(case!$N:$N,$A14,case!J:J)</f>
        <v>202667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61500</v>
      </c>
      <c r="C15" s="26" t="n">
        <f aca="false">SUM(C14)</f>
        <v>77000</v>
      </c>
      <c r="D15" s="26" t="n">
        <f aca="false">SUM(D14)</f>
        <v>102472</v>
      </c>
      <c r="E15" s="26" t="n">
        <f aca="false">SUM(E14)</f>
        <v>173400</v>
      </c>
      <c r="F15" s="26" t="n">
        <f aca="false">SUM(F14)</f>
        <v>173400</v>
      </c>
      <c r="G15" s="26" t="n">
        <f aca="false">SUM(G14)</f>
        <v>174000</v>
      </c>
      <c r="H15" s="26" t="n">
        <f aca="false">SUM(H14)</f>
        <v>202186</v>
      </c>
      <c r="I15" s="26" t="n">
        <f aca="false">SUM(I14)</f>
        <v>102904</v>
      </c>
      <c r="J15" s="26" t="n">
        <f aca="false">SUM(J14)</f>
        <v>202667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6232478</v>
      </c>
      <c r="C16" s="26" t="n">
        <f aca="false">C8+C12+C15</f>
        <v>6598481</v>
      </c>
      <c r="D16" s="26" t="n">
        <f aca="false">D8+D12+D15</f>
        <v>6282183</v>
      </c>
      <c r="E16" s="26" t="n">
        <f aca="false">E8+E12+E15</f>
        <v>5756627</v>
      </c>
      <c r="F16" s="26" t="n">
        <f aca="false">F8+F12+F15</f>
        <v>5783603</v>
      </c>
      <c r="G16" s="26" t="n">
        <f aca="false">G8+G12+G15</f>
        <v>4455600</v>
      </c>
      <c r="H16" s="26" t="n">
        <f aca="false">H8+H12+H15</f>
        <v>4462561</v>
      </c>
      <c r="I16" s="26" t="n">
        <f aca="false">I8+I12+I15</f>
        <v>4254102</v>
      </c>
      <c r="J16" s="26" t="n">
        <f aca="false">J8+J12+J15</f>
        <v>3313029</v>
      </c>
      <c r="K16" s="26" t="n">
        <f aca="false">K8+K12+K15</f>
        <v>4100192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3863</v>
      </c>
      <c r="C19" s="26" t="n">
        <f aca="false">SUMIF(case!$N:$N,$A19,case!C:C)</f>
        <v>151880</v>
      </c>
      <c r="D19" s="26" t="n">
        <f aca="false">SUMIF(case!$N:$N,$A19,case!D:D)</f>
        <v>118808</v>
      </c>
      <c r="E19" s="26" t="n">
        <f aca="false">SUMIF(case!$N:$N,$A19,case!E:E)</f>
        <v>89563</v>
      </c>
      <c r="F19" s="26" t="n">
        <f aca="false">SUMIF(case!$N:$N,$A19,case!F:F)</f>
        <v>100957</v>
      </c>
      <c r="G19" s="26" t="n">
        <f aca="false">SUMIF(case!$N:$N,$A19,case!G:G)</f>
        <v>88699</v>
      </c>
      <c r="H19" s="26" t="n">
        <f aca="false">SUMIF(case!$N:$N,$A19,case!H:H)</f>
        <v>103085</v>
      </c>
      <c r="I19" s="26" t="n">
        <f aca="false">SUMIF(case!$N:$N,$A19,case!I:I)</f>
        <v>127020</v>
      </c>
      <c r="J19" s="26" t="n">
        <f aca="false">SUMIF(case!$N:$N,$A19,case!J:J)</f>
        <v>133161</v>
      </c>
      <c r="K19" s="26" t="n">
        <f aca="false">SUMIF(case!$N:$N,$A19,case!K:K)</f>
        <v>55816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0</v>
      </c>
      <c r="C20" s="26" t="n">
        <f aca="false">SUMIF(case!$N:$N,$A20,case!C:C)</f>
        <v>0</v>
      </c>
      <c r="D20" s="26" t="n">
        <f aca="false">SUMIF(case!$N:$N,$A20,case!D:D)</f>
        <v>0</v>
      </c>
      <c r="E20" s="26" t="n">
        <f aca="false">SUMIF(case!$N:$N,$A20,case!E:E)</f>
        <v>0</v>
      </c>
      <c r="F20" s="26" t="n">
        <f aca="false">SUMIF(case!$N:$N,$A20,case!F:F)</f>
        <v>6737</v>
      </c>
      <c r="G20" s="26" t="n">
        <f aca="false">SUMIF(case!$N:$N,$A20,case!G:G)</f>
        <v>0</v>
      </c>
      <c r="H20" s="26" t="n">
        <f aca="false">SUMIF(case!$N:$N,$A20,case!H:H)</f>
        <v>0</v>
      </c>
      <c r="I20" s="26" t="n">
        <f aca="false">SUMIF(case!$N:$N,$A20,case!I:I)</f>
        <v>0</v>
      </c>
      <c r="J20" s="26" t="n">
        <f aca="false">SUMIF(case!$N:$N,$A20,case!J:J)</f>
        <v>0</v>
      </c>
      <c r="K20" s="26" t="n">
        <f aca="false">SUMIF(case!$N:$N,$A20,case!K:K)</f>
        <v>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3863</v>
      </c>
      <c r="C21" s="26" t="n">
        <f aca="false">SUM(C19:C20)</f>
        <v>151880</v>
      </c>
      <c r="D21" s="26" t="n">
        <f aca="false">SUM(D19:D20)</f>
        <v>118808</v>
      </c>
      <c r="E21" s="26" t="n">
        <f aca="false">SUM(E19:E20)</f>
        <v>89563</v>
      </c>
      <c r="F21" s="26" t="n">
        <f aca="false">SUM(F19:F20)</f>
        <v>107694</v>
      </c>
      <c r="G21" s="26" t="n">
        <f aca="false">SUM(G19:G20)</f>
        <v>88699</v>
      </c>
      <c r="H21" s="26" t="n">
        <f aca="false">SUM(H19:H20)</f>
        <v>103085</v>
      </c>
      <c r="I21" s="26" t="n">
        <f aca="false">SUM(I19:I20)</f>
        <v>127020</v>
      </c>
      <c r="J21" s="26" t="n">
        <f aca="false">SUM(J19:J20)</f>
        <v>133161</v>
      </c>
      <c r="K21" s="26" t="n">
        <f aca="false">SUM(K19:K20)</f>
        <v>55816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72000</v>
      </c>
      <c r="C25" s="26" t="n">
        <f aca="false">SUMIF(case!$N:$N,$A25,case!C:C)</f>
        <v>57000</v>
      </c>
      <c r="D25" s="26" t="n">
        <f aca="false">SUMIF(case!$N:$N,$A25,case!D:D)</f>
        <v>32000</v>
      </c>
      <c r="E25" s="26" t="n">
        <f aca="false">SUMIF(case!$N:$N,$A25,case!E:E)</f>
        <v>32000</v>
      </c>
      <c r="F25" s="26" t="n">
        <f aca="false">SUMIF(case!$N:$N,$A25,case!F:F)</f>
        <v>32000</v>
      </c>
      <c r="G25" s="26" t="n">
        <f aca="false">SUMIF(case!$N:$N,$A25,case!G:G)</f>
        <v>32000</v>
      </c>
      <c r="H25" s="26" t="n">
        <f aca="false">SUMIF(case!$N:$N,$A25,case!H:H)</f>
        <v>2000</v>
      </c>
      <c r="I25" s="26" t="n">
        <f aca="false">SUMIF(case!$N:$N,$A25,case!I:I)</f>
        <v>2000</v>
      </c>
      <c r="J25" s="26" t="n">
        <f aca="false">SUMIF(case!$N:$N,$A25,case!J:J)</f>
        <v>2000</v>
      </c>
      <c r="K25" s="26" t="n">
        <f aca="false">SUMIF(case!$N:$N,$A25,case!K:K)</f>
        <v>2000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72000</v>
      </c>
      <c r="C27" s="26" t="n">
        <f aca="false">SUM(C24:C26)</f>
        <v>57000</v>
      </c>
      <c r="D27" s="26" t="n">
        <f aca="false">SUM(D24:D26)</f>
        <v>32000</v>
      </c>
      <c r="E27" s="26" t="n">
        <f aca="false">SUM(E24:E26)</f>
        <v>32000</v>
      </c>
      <c r="F27" s="26" t="n">
        <f aca="false">SUM(F24:F26)</f>
        <v>32000</v>
      </c>
      <c r="G27" s="26" t="n">
        <f aca="false">SUM(G24:G26)</f>
        <v>32000</v>
      </c>
      <c r="H27" s="26" t="n">
        <f aca="false">SUM(H24:H26)</f>
        <v>2000</v>
      </c>
      <c r="I27" s="26" t="n">
        <f aca="false">SUM(I24:I26)</f>
        <v>2000</v>
      </c>
      <c r="J27" s="26" t="n">
        <f aca="false">SUM(J24:J26)</f>
        <v>2000</v>
      </c>
      <c r="K27" s="26" t="n">
        <f aca="false">SUM(K24:K26)</f>
        <v>2000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170892</v>
      </c>
      <c r="C31" s="26" t="n">
        <f aca="false">SUMIF(case!$N:$N,$A31,case!C:C)</f>
        <v>122284</v>
      </c>
      <c r="D31" s="26" t="n">
        <f aca="false">SUMIF(case!$N:$N,$A31,case!D:D)</f>
        <v>84706</v>
      </c>
      <c r="E31" s="26" t="n">
        <f aca="false">SUMIF(case!$N:$N,$A31,case!E:E)</f>
        <v>351830</v>
      </c>
      <c r="F31" s="26" t="n">
        <f aca="false">SUMIF(case!$N:$N,$A31,case!F:F)</f>
        <v>396864</v>
      </c>
      <c r="G31" s="26" t="n">
        <f aca="false">SUMIF(case!$N:$N,$A31,case!G:G)</f>
        <v>43091</v>
      </c>
      <c r="H31" s="26" t="n">
        <f aca="false">SUMIF(case!$N:$N,$A31,case!H:H)</f>
        <v>39147</v>
      </c>
      <c r="I31" s="26" t="n">
        <f aca="false">SUMIF(case!$N:$N,$A31,case!I:I)</f>
        <v>108541</v>
      </c>
      <c r="J31" s="26" t="n">
        <f aca="false">SUMIF(case!$N:$N,$A31,case!J:J)</f>
        <v>0</v>
      </c>
      <c r="K31" s="26" t="n">
        <f aca="false">SUMIF(case!$N:$N,$A31,case!K:K)</f>
        <v>0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170892</v>
      </c>
      <c r="C33" s="26" t="n">
        <f aca="false">SUM(C30:C32)</f>
        <v>122284</v>
      </c>
      <c r="D33" s="26" t="n">
        <f aca="false">SUM(D30:D32)</f>
        <v>84706</v>
      </c>
      <c r="E33" s="26" t="n">
        <f aca="false">SUM(E30:E32)</f>
        <v>351830</v>
      </c>
      <c r="F33" s="26" t="n">
        <f aca="false">SUM(F30:F32)</f>
        <v>396864</v>
      </c>
      <c r="G33" s="26" t="n">
        <f aca="false">SUM(G30:G32)</f>
        <v>43091</v>
      </c>
      <c r="H33" s="26" t="n">
        <f aca="false">SUM(H30:H32)</f>
        <v>39147</v>
      </c>
      <c r="I33" s="26" t="n">
        <f aca="false">SUM(I30:I32)</f>
        <v>108541</v>
      </c>
      <c r="J33" s="26" t="n">
        <f aca="false">SUM(J30:J32)</f>
        <v>0</v>
      </c>
      <c r="K33" s="26" t="n">
        <f aca="false">SUM(K30:K32)</f>
        <v>0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6479233</v>
      </c>
      <c r="C35" s="26" t="n">
        <f aca="false">C16+C21+C27+C33</f>
        <v>6929645</v>
      </c>
      <c r="D35" s="26" t="n">
        <f aca="false">D16+D21+D27+D33</f>
        <v>6517697</v>
      </c>
      <c r="E35" s="26" t="n">
        <f aca="false">E16+E21+E27+E33</f>
        <v>6230020</v>
      </c>
      <c r="F35" s="26" t="n">
        <f aca="false">F16+F21+F27+F33</f>
        <v>6320161</v>
      </c>
      <c r="G35" s="26" t="n">
        <f aca="false">G16+G21+G27+G33</f>
        <v>4619390</v>
      </c>
      <c r="H35" s="26" t="n">
        <f aca="false">H16+H21+H27+H33</f>
        <v>4606793</v>
      </c>
      <c r="I35" s="26" t="n">
        <f aca="false">I16+I21+I27+I33</f>
        <v>4491663</v>
      </c>
      <c r="J35" s="26" t="n">
        <f aca="false">J16+J21+J27+J33</f>
        <v>3448190</v>
      </c>
      <c r="K35" s="26" t="n">
        <f aca="false">K16+K21+K27+K33</f>
        <v>4158008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6479233</v>
      </c>
      <c r="C37" s="26" t="n">
        <f aca="false">case!C95</f>
        <v>6929645</v>
      </c>
      <c r="D37" s="26" t="n">
        <f aca="false">case!D95</f>
        <v>6517697</v>
      </c>
      <c r="E37" s="26" t="n">
        <f aca="false">case!E95</f>
        <v>6230020</v>
      </c>
      <c r="F37" s="26" t="n">
        <f aca="false">case!F95</f>
        <v>6320161</v>
      </c>
      <c r="G37" s="26" t="n">
        <f aca="false">case!G95</f>
        <v>4619390</v>
      </c>
      <c r="H37" s="26" t="n">
        <f aca="false">case!H95</f>
        <v>4606793</v>
      </c>
      <c r="I37" s="26" t="n">
        <f aca="false">case!I95</f>
        <v>4491663</v>
      </c>
      <c r="J37" s="26" t="n">
        <f aca="false">case!J95</f>
        <v>4514623</v>
      </c>
      <c r="K37" s="26" t="n">
        <f aca="false">case!K95</f>
        <v>4176270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0</v>
      </c>
      <c r="C38" s="26" t="n">
        <f aca="false">C37-C35</f>
        <v>0</v>
      </c>
      <c r="D38" s="26" t="n">
        <f aca="false">D37-D35</f>
        <v>0</v>
      </c>
      <c r="E38" s="26" t="n">
        <f aca="false">E37-E35</f>
        <v>0</v>
      </c>
      <c r="F38" s="26" t="n">
        <f aca="false">F37-F35</f>
        <v>0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1066433</v>
      </c>
      <c r="K38" s="26" t="n">
        <f aca="false">K37-K35</f>
        <v>18262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0</v>
      </c>
      <c r="C40" s="26" t="n">
        <f aca="false">C38+C39</f>
        <v>0</v>
      </c>
      <c r="D40" s="26" t="n">
        <f aca="false">D38+D39</f>
        <v>0</v>
      </c>
      <c r="E40" s="26" t="n">
        <f aca="false">E38+E39</f>
        <v>0</v>
      </c>
      <c r="F40" s="26" t="n">
        <f aca="false">F38+F39</f>
        <v>0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1066433</v>
      </c>
      <c r="K40" s="26" t="n">
        <f aca="false">K38+K39</f>
        <v>18262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1001425</v>
      </c>
      <c r="C48" s="26" t="n">
        <f aca="false">SUMIF(case!$N:$N,$A48,case!C:C)</f>
        <v>1022720</v>
      </c>
      <c r="D48" s="26" t="n">
        <f aca="false">SUMIF(case!$N:$N,$A48,case!D:D)</f>
        <v>1073141</v>
      </c>
      <c r="E48" s="26" t="n">
        <f aca="false">SUMIF(case!$N:$N,$A48,case!E:E)</f>
        <v>819126</v>
      </c>
      <c r="F48" s="26" t="n">
        <f aca="false">SUMIF(case!$N:$N,$A48,case!F:F)</f>
        <v>460830</v>
      </c>
      <c r="G48" s="26" t="n">
        <f aca="false">SUMIF(case!$N:$N,$A48,case!G:G)</f>
        <v>618053</v>
      </c>
      <c r="H48" s="26" t="n">
        <f aca="false">SUMIF(case!$N:$N,$A48,case!H:H)</f>
        <v>558934</v>
      </c>
      <c r="I48" s="26" t="n">
        <f aca="false">SUMIF(case!$N:$N,$A48,case!I:I)</f>
        <v>671844</v>
      </c>
      <c r="J48" s="26" t="n">
        <f aca="false">SUMIF(case!$N:$N,$A48,case!J:J)</f>
        <v>578800</v>
      </c>
      <c r="K48" s="26" t="n">
        <f aca="false">SUMIF(case!$N:$N,$A48,case!K:K)</f>
        <v>622035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161463</v>
      </c>
      <c r="C50" s="26" t="n">
        <f aca="false">SUMIF(case!$N:$N,$A50,case!C:C)</f>
        <v>194348</v>
      </c>
      <c r="D50" s="26" t="n">
        <f aca="false">SUMIF(case!$N:$N,$A50,case!D:D)</f>
        <v>129291</v>
      </c>
      <c r="E50" s="26" t="n">
        <f aca="false">SUMIF(case!$N:$N,$A50,case!E:E)</f>
        <v>131009</v>
      </c>
      <c r="F50" s="26" t="n">
        <f aca="false">SUMIF(case!$N:$N,$A50,case!F:F)</f>
        <v>137555</v>
      </c>
      <c r="G50" s="26" t="n">
        <f aca="false">SUMIF(case!$N:$N,$A50,case!G:G)</f>
        <v>127601</v>
      </c>
      <c r="H50" s="26" t="n">
        <f aca="false">SUMIF(case!$N:$N,$A50,case!H:H)</f>
        <v>115842</v>
      </c>
      <c r="I50" s="26" t="n">
        <f aca="false">SUMIF(case!$N:$N,$A50,case!I:I)</f>
        <v>91406</v>
      </c>
      <c r="J50" s="26" t="n">
        <f aca="false">SUMIF(case!$N:$N,$A50,case!J:J)</f>
        <v>85453</v>
      </c>
      <c r="K50" s="26" t="n">
        <f aca="false">SUMIF(case!$N:$N,$A50,case!K:K)</f>
        <v>10699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1162888</v>
      </c>
      <c r="C51" s="26" t="n">
        <f aca="false">SUM(C48:C50)</f>
        <v>1217068</v>
      </c>
      <c r="D51" s="26" t="n">
        <f aca="false">SUM(D48:D50)</f>
        <v>1202432</v>
      </c>
      <c r="E51" s="26" t="n">
        <f aca="false">SUM(E48:E50)</f>
        <v>950135</v>
      </c>
      <c r="F51" s="26" t="n">
        <f aca="false">SUM(F48:F50)</f>
        <v>598385</v>
      </c>
      <c r="G51" s="26" t="n">
        <f aca="false">SUM(G48:G50)</f>
        <v>745654</v>
      </c>
      <c r="H51" s="26" t="n">
        <f aca="false">SUM(H48:H50)</f>
        <v>674776</v>
      </c>
      <c r="I51" s="26" t="n">
        <f aca="false">SUM(I48:I50)</f>
        <v>763250</v>
      </c>
      <c r="J51" s="26" t="n">
        <f aca="false">SUM(J48:J50)</f>
        <v>664253</v>
      </c>
      <c r="K51" s="26" t="n">
        <f aca="false">SUM(K48:K50)</f>
        <v>632734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254425</v>
      </c>
      <c r="C53" s="26" t="n">
        <f aca="false">SUMIF(case!$N:$N,$A53,case!C:C)</f>
        <v>218390</v>
      </c>
      <c r="D53" s="26" t="n">
        <f aca="false">SUMIF(case!$N:$N,$A53,case!D:D)</f>
        <v>277417</v>
      </c>
      <c r="E53" s="26" t="n">
        <f aca="false">SUMIF(case!$N:$N,$A53,case!E:E)</f>
        <v>260333</v>
      </c>
      <c r="F53" s="26" t="n">
        <f aca="false">SUMIF(case!$N:$N,$A53,case!F:F)</f>
        <v>214928</v>
      </c>
      <c r="G53" s="26" t="n">
        <f aca="false">SUMIF(case!$N:$N,$A53,case!G:G)</f>
        <v>226683</v>
      </c>
      <c r="H53" s="26" t="n">
        <f aca="false">SUMIF(case!$N:$N,$A53,case!H:H)</f>
        <v>206901</v>
      </c>
      <c r="I53" s="26" t="n">
        <f aca="false">SUMIF(case!$N:$N,$A53,case!I:I)</f>
        <v>178930</v>
      </c>
      <c r="J53" s="26" t="n">
        <f aca="false">SUMIF(case!$N:$N,$A53,case!J:J)</f>
        <v>182052</v>
      </c>
      <c r="K53" s="26" t="n">
        <f aca="false">SUMIF(case!$N:$N,$A53,case!K:K)</f>
        <v>155271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1000</v>
      </c>
      <c r="C54" s="26" t="n">
        <f aca="false">SUMIF(case!$N:$N,$A54,case!C:C)</f>
        <v>1000</v>
      </c>
      <c r="D54" s="26" t="n">
        <f aca="false">SUMIF(case!$N:$N,$A54,case!D:D)</f>
        <v>1000</v>
      </c>
      <c r="E54" s="26" t="n">
        <f aca="false">SUMIF(case!$N:$N,$A54,case!E:E)</f>
        <v>1000</v>
      </c>
      <c r="F54" s="26" t="n">
        <f aca="false">SUMIF(case!$N:$N,$A54,case!F:F)</f>
        <v>1000</v>
      </c>
      <c r="G54" s="26" t="n">
        <f aca="false">SUMIF(case!$N:$N,$A54,case!G:G)</f>
        <v>1000</v>
      </c>
      <c r="H54" s="26" t="n">
        <f aca="false">SUMIF(case!$N:$N,$A54,case!H:H)</f>
        <v>1000</v>
      </c>
      <c r="I54" s="26" t="n">
        <f aca="false">SUMIF(case!$N:$N,$A54,case!I:I)</f>
        <v>1000</v>
      </c>
      <c r="J54" s="26" t="n">
        <f aca="false">SUMIF(case!$N:$N,$A54,case!J:J)</f>
        <v>1000</v>
      </c>
      <c r="K54" s="26" t="n">
        <f aca="false">SUMIF(case!$N:$N,$A54,case!K:K)</f>
        <v>93230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255425</v>
      </c>
      <c r="C55" s="26" t="n">
        <f aca="false">SUM(C53:C54)</f>
        <v>219390</v>
      </c>
      <c r="D55" s="26" t="n">
        <f aca="false">SUM(D53:D54)</f>
        <v>278417</v>
      </c>
      <c r="E55" s="26" t="n">
        <f aca="false">SUM(E53:E54)</f>
        <v>261333</v>
      </c>
      <c r="F55" s="26" t="n">
        <f aca="false">SUM(F53:F54)</f>
        <v>215928</v>
      </c>
      <c r="G55" s="26" t="n">
        <f aca="false">SUM(G53:G54)</f>
        <v>227683</v>
      </c>
      <c r="H55" s="26" t="n">
        <f aca="false">SUM(H53:H54)</f>
        <v>207901</v>
      </c>
      <c r="I55" s="26" t="n">
        <f aca="false">SUM(I53:I54)</f>
        <v>179930</v>
      </c>
      <c r="J55" s="26" t="n">
        <f aca="false">SUM(J53:J54)</f>
        <v>183052</v>
      </c>
      <c r="K55" s="26" t="n">
        <f aca="false">SUM(K53:K54)</f>
        <v>248501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1418313</v>
      </c>
      <c r="C56" s="26" t="n">
        <f aca="false">C51+C55</f>
        <v>1436458</v>
      </c>
      <c r="D56" s="26" t="n">
        <f aca="false">D51+D55</f>
        <v>1480849</v>
      </c>
      <c r="E56" s="26" t="n">
        <f aca="false">E51+E55</f>
        <v>1211468</v>
      </c>
      <c r="F56" s="26" t="n">
        <f aca="false">F51+F55</f>
        <v>814313</v>
      </c>
      <c r="G56" s="26" t="n">
        <f aca="false">G51+G55</f>
        <v>973337</v>
      </c>
      <c r="H56" s="26" t="n">
        <f aca="false">H51+H55</f>
        <v>882677</v>
      </c>
      <c r="I56" s="26" t="n">
        <f aca="false">I51+I55</f>
        <v>943180</v>
      </c>
      <c r="J56" s="26" t="n">
        <f aca="false">J51+J55</f>
        <v>847305</v>
      </c>
      <c r="K56" s="26" t="n">
        <f aca="false">K51+K55</f>
        <v>881235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136276</v>
      </c>
      <c r="C59" s="26" t="n">
        <f aca="false">SUMIF(case!$N:$N,$A59,case!C:C)</f>
        <v>149793</v>
      </c>
      <c r="D59" s="26" t="n">
        <f aca="false">SUMIF(case!$N:$N,$A59,case!D:D)</f>
        <v>126858</v>
      </c>
      <c r="E59" s="26" t="n">
        <f aca="false">SUMIF(case!$N:$N,$A59,case!E:E)</f>
        <v>131668</v>
      </c>
      <c r="F59" s="26" t="n">
        <f aca="false">SUMIF(case!$N:$N,$A59,case!F:F)</f>
        <v>136594</v>
      </c>
      <c r="G59" s="26" t="n">
        <f aca="false">SUMIF(case!$N:$N,$A59,case!G:G)</f>
        <v>94725</v>
      </c>
      <c r="H59" s="26" t="n">
        <f aca="false">SUMIF(case!$N:$N,$A59,case!H:H)</f>
        <v>89601</v>
      </c>
      <c r="I59" s="26" t="n">
        <f aca="false">SUMIF(case!$N:$N,$A59,case!I:I)</f>
        <v>73581</v>
      </c>
      <c r="J59" s="26" t="n">
        <f aca="false">SUMIF(case!$N:$N,$A59,case!J:J)</f>
        <v>78309</v>
      </c>
      <c r="K59" s="26" t="n">
        <f aca="false">SUMIF(case!$N:$N,$A59,case!K:K)</f>
        <v>72790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6615</v>
      </c>
      <c r="C60" s="26" t="n">
        <f aca="false">SUMIF(case!$N:$N,$A60,case!C:C)</f>
        <v>8026</v>
      </c>
      <c r="D60" s="26" t="n">
        <f aca="false">SUMIF(case!$N:$N,$A60,case!D:D)</f>
        <v>11456</v>
      </c>
      <c r="E60" s="26" t="n">
        <f aca="false">SUMIF(case!$N:$N,$A60,case!E:E)</f>
        <v>11456</v>
      </c>
      <c r="F60" s="26" t="n">
        <f aca="false">SUMIF(case!$N:$N,$A60,case!F:F)</f>
        <v>16310</v>
      </c>
      <c r="G60" s="26" t="n">
        <f aca="false">SUMIF(case!$N:$N,$A60,case!G:G)</f>
        <v>0</v>
      </c>
      <c r="H60" s="26" t="n">
        <f aca="false">SUMIF(case!$N:$N,$A60,case!H:H)</f>
        <v>0</v>
      </c>
      <c r="I60" s="26" t="n">
        <f aca="false">SUMIF(case!$N:$N,$A60,case!I:I)</f>
        <v>0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0</v>
      </c>
      <c r="C61" s="26" t="n">
        <f aca="false">SUMIF(case!$N:$N,$A61,case!C:C)</f>
        <v>0</v>
      </c>
      <c r="D61" s="26" t="n">
        <f aca="false">SUMIF(case!$N:$N,$A61,case!D:D)</f>
        <v>0</v>
      </c>
      <c r="E61" s="26" t="n">
        <f aca="false">SUMIF(case!$N:$N,$A61,case!E:E)</f>
        <v>0</v>
      </c>
      <c r="F61" s="26" t="n">
        <f aca="false">SUMIF(case!$N:$N,$A61,case!F:F)</f>
        <v>0</v>
      </c>
      <c r="G61" s="26" t="n">
        <f aca="false">SUMIF(case!$N:$N,$A61,case!G:G)</f>
        <v>0</v>
      </c>
      <c r="H61" s="26" t="n">
        <f aca="false">SUMIF(case!$N:$N,$A61,case!H:H)</f>
        <v>0</v>
      </c>
      <c r="I61" s="26" t="n">
        <f aca="false">SUMIF(case!$N:$N,$A61,case!I:I)</f>
        <v>0</v>
      </c>
      <c r="J61" s="26" t="n">
        <f aca="false">SUMIF(case!$N:$N,$A61,case!J:J)</f>
        <v>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142891</v>
      </c>
      <c r="C62" s="26" t="n">
        <f aca="false">SUM(C59:C61)</f>
        <v>157819</v>
      </c>
      <c r="D62" s="26" t="n">
        <f aca="false">SUM(D59:D61)</f>
        <v>138314</v>
      </c>
      <c r="E62" s="26" t="n">
        <f aca="false">SUM(E59:E61)</f>
        <v>143124</v>
      </c>
      <c r="F62" s="26" t="n">
        <f aca="false">SUM(F59:F61)</f>
        <v>152904</v>
      </c>
      <c r="G62" s="26" t="n">
        <f aca="false">SUM(G59:G61)</f>
        <v>94725</v>
      </c>
      <c r="H62" s="26" t="n">
        <f aca="false">SUM(H59:H61)</f>
        <v>89601</v>
      </c>
      <c r="I62" s="26" t="n">
        <f aca="false">SUM(I59:I61)</f>
        <v>73581</v>
      </c>
      <c r="J62" s="26" t="n">
        <f aca="false">SUM(J59:J61)</f>
        <v>78309</v>
      </c>
      <c r="K62" s="26" t="n">
        <f aca="false">SUM(K59:K61)</f>
        <v>72790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761905</v>
      </c>
      <c r="C69" s="26" t="n">
        <f aca="false">SUMIF(case!$N:$N,$A69,case!C:C)</f>
        <v>1159885</v>
      </c>
      <c r="D69" s="26" t="n">
        <f aca="false">SUMIF(case!$N:$N,$A69,case!D:D)</f>
        <v>1231437</v>
      </c>
      <c r="E69" s="26" t="n">
        <f aca="false">SUMIF(case!$N:$N,$A69,case!E:E)</f>
        <v>1405442</v>
      </c>
      <c r="F69" s="26" t="n">
        <f aca="false">SUMIF(case!$N:$N,$A69,case!F:F)</f>
        <v>1760602</v>
      </c>
      <c r="G69" s="26" t="n">
        <f aca="false">SUMIF(case!$N:$N,$A69,case!G:G)</f>
        <v>787742</v>
      </c>
      <c r="H69" s="26" t="n">
        <f aca="false">SUMIF(case!$N:$N,$A69,case!H:H)</f>
        <v>1000827</v>
      </c>
      <c r="I69" s="26" t="n">
        <f aca="false">SUMIF(case!$N:$N,$A69,case!I:I)</f>
        <v>1175475</v>
      </c>
      <c r="J69" s="26" t="n">
        <f aca="false">SUMIF(case!$N:$N,$A69,case!J:J)</f>
        <v>1379696</v>
      </c>
      <c r="K69" s="26" t="n">
        <f aca="false">SUMIF(case!$N:$N,$A69,case!K:K)</f>
        <v>1316760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760422</v>
      </c>
      <c r="C70" s="26" t="n">
        <f aca="false">SUMIF(case!$N:$N,$A70,case!C:C)</f>
        <v>827770</v>
      </c>
      <c r="D70" s="26" t="n">
        <f aca="false">SUMIF(case!$N:$N,$A70,case!D:D)</f>
        <v>342948</v>
      </c>
      <c r="E70" s="26" t="n">
        <f aca="false">SUMIF(case!$N:$N,$A70,case!E:E)</f>
        <v>283856</v>
      </c>
      <c r="F70" s="26" t="n">
        <f aca="false">SUMIF(case!$N:$N,$A70,case!F:F)</f>
        <v>497144</v>
      </c>
      <c r="G70" s="26" t="n">
        <f aca="false">SUMIF(case!$N:$N,$A70,case!G:G)</f>
        <v>1537431</v>
      </c>
      <c r="H70" s="26" t="n">
        <f aca="false">SUMIF(case!$N:$N,$A70,case!H:H)</f>
        <v>1449053</v>
      </c>
      <c r="I70" s="26" t="n">
        <f aca="false">SUMIF(case!$N:$N,$A70,case!I:I)</f>
        <v>1177500</v>
      </c>
      <c r="J70" s="26" t="n">
        <f aca="false">SUMIF(case!$N:$N,$A70,case!J:J)</f>
        <v>1117556</v>
      </c>
      <c r="K70" s="26" t="n">
        <f aca="false">SUMIF(case!$N:$N,$A70,case!K:K)</f>
        <v>886758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1522327</v>
      </c>
      <c r="C73" s="26" t="n">
        <f aca="false">SUM(C69:C72)</f>
        <v>1987655</v>
      </c>
      <c r="D73" s="26" t="n">
        <f aca="false">SUM(D69:D72)</f>
        <v>1574385</v>
      </c>
      <c r="E73" s="26" t="n">
        <f aca="false">SUM(E69:E72)</f>
        <v>1689298</v>
      </c>
      <c r="F73" s="26" t="n">
        <f aca="false">SUM(F69:F72)</f>
        <v>2257746</v>
      </c>
      <c r="G73" s="26" t="n">
        <f aca="false">SUM(G69:G72)</f>
        <v>2325173</v>
      </c>
      <c r="H73" s="26" t="n">
        <f aca="false">SUM(H69:H72)</f>
        <v>2449880</v>
      </c>
      <c r="I73" s="26" t="n">
        <f aca="false">SUM(I69:I72)</f>
        <v>2352975</v>
      </c>
      <c r="J73" s="26" t="n">
        <f aca="false">SUM(J69:J72)</f>
        <v>2497252</v>
      </c>
      <c r="K73" s="26" t="n">
        <f aca="false">SUM(K69:K72)</f>
        <v>2203518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0</v>
      </c>
      <c r="C76" s="26" t="n">
        <f aca="false">SUMIF(case!$N:$N,$A76,case!C:C)</f>
        <v>0</v>
      </c>
      <c r="D76" s="26" t="n">
        <f aca="false">SUMIF(case!$N:$N,$A76,case!D:D)</f>
        <v>0</v>
      </c>
      <c r="E76" s="26" t="n">
        <f aca="false">SUMIF(case!$N:$N,$A76,case!E:E)</f>
        <v>0</v>
      </c>
      <c r="F76" s="26" t="n">
        <f aca="false">SUMIF(case!$N:$N,$A76,case!F:F)</f>
        <v>0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3395702</v>
      </c>
      <c r="C77" s="26" t="n">
        <f aca="false">SUM(C78:C82)</f>
        <v>3347713</v>
      </c>
      <c r="D77" s="26" t="n">
        <f aca="false">SUM(D78:D82)</f>
        <v>3324149</v>
      </c>
      <c r="E77" s="26" t="n">
        <f aca="false">SUM(E78:E82)</f>
        <v>3186130</v>
      </c>
      <c r="F77" s="26" t="n">
        <f aca="false">SUM(F78:F82)</f>
        <v>3095198</v>
      </c>
      <c r="G77" s="26" t="n">
        <f aca="false">SUM(G78:G82)</f>
        <v>1226155</v>
      </c>
      <c r="H77" s="26" t="n">
        <f aca="false">SUM(H78:H82)</f>
        <v>1184635</v>
      </c>
      <c r="I77" s="26" t="n">
        <f aca="false">SUM(I78:I82)</f>
        <v>1121927</v>
      </c>
      <c r="J77" s="26" t="n">
        <f aca="false">SUM(J78:J82)</f>
        <v>1091757</v>
      </c>
      <c r="K77" s="26" t="n">
        <f aca="false">SUM(K78:K82)</f>
        <v>1018727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110000</v>
      </c>
      <c r="C78" s="26" t="n">
        <f aca="false">SUMIF(case!$N:$N,$A78,case!C:C)</f>
        <v>110000</v>
      </c>
      <c r="D78" s="26" t="n">
        <f aca="false">SUMIF(case!$N:$N,$A78,case!D:D)</f>
        <v>110000</v>
      </c>
      <c r="E78" s="26" t="n">
        <f aca="false">SUMIF(case!$N:$N,$A78,case!E:E)</f>
        <v>110000</v>
      </c>
      <c r="F78" s="26" t="n">
        <f aca="false">SUMIF(case!$N:$N,$A78,case!F:F)</f>
        <v>110000</v>
      </c>
      <c r="G78" s="26" t="n">
        <f aca="false">SUMIF(case!$N:$N,$A78,case!G:G)</f>
        <v>110000</v>
      </c>
      <c r="H78" s="26" t="n">
        <f aca="false">SUMIF(case!$N:$N,$A78,case!H:H)</f>
        <v>110000</v>
      </c>
      <c r="I78" s="26" t="n">
        <f aca="false">SUMIF(case!$N:$N,$A78,case!I:I)</f>
        <v>110000</v>
      </c>
      <c r="J78" s="26" t="n">
        <f aca="false">SUMIF(case!$N:$N,$A78,case!J:J)</f>
        <v>110000</v>
      </c>
      <c r="K78" s="26" t="n">
        <f aca="false">SUMIF(case!$N:$N,$A78,case!K:K)</f>
        <v>110000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1395828</v>
      </c>
      <c r="C79" s="26" t="n">
        <f aca="false">SUMIF(case!$N:$N,$A79,case!C:C)</f>
        <v>1372267</v>
      </c>
      <c r="D79" s="26" t="n">
        <f aca="false">SUMIF(case!$N:$N,$A79,case!D:D)</f>
        <v>1234248</v>
      </c>
      <c r="E79" s="26" t="n">
        <f aca="false">SUMIF(case!$N:$N,$A79,case!E:E)</f>
        <v>1143314</v>
      </c>
      <c r="F79" s="26" t="n">
        <f aca="false">SUMIF(case!$N:$N,$A79,case!F:F)</f>
        <v>1116155</v>
      </c>
      <c r="G79" s="26" t="n">
        <f aca="false">SUMIF(case!$N:$N,$A79,case!G:G)</f>
        <v>1074635</v>
      </c>
      <c r="H79" s="26" t="n">
        <f aca="false">SUMIF(case!$N:$N,$A79,case!H:H)</f>
        <v>1011927</v>
      </c>
      <c r="I79" s="26" t="n">
        <f aca="false">SUMIF(case!$N:$N,$A79,case!I:I)</f>
        <v>981757</v>
      </c>
      <c r="J79" s="26" t="n">
        <f aca="false">SUMIF(case!$N:$N,$A79,case!J:J)</f>
        <v>908727</v>
      </c>
      <c r="K79" s="26" t="n">
        <f aca="false">SUMIF(case!$N:$N,$A79,case!K:K)</f>
        <v>571453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1841883</v>
      </c>
      <c r="C80" s="26" t="n">
        <f aca="false">SUMIF(case!$N:$N,$A80,case!C:C)</f>
        <v>1841883</v>
      </c>
      <c r="D80" s="26" t="n">
        <f aca="false">SUMIF(case!$N:$N,$A80,case!D:D)</f>
        <v>1841883</v>
      </c>
      <c r="E80" s="26" t="n">
        <f aca="false">SUMIF(case!$N:$N,$A80,case!E:E)</f>
        <v>1841883</v>
      </c>
      <c r="F80" s="26" t="n">
        <f aca="false">SUMIF(case!$N:$N,$A80,case!F:F)</f>
        <v>1841883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47991</v>
      </c>
      <c r="C82" s="26" t="n">
        <f aca="false">SUMIF(case!$N:$N,$A82,case!C:C)</f>
        <v>23563</v>
      </c>
      <c r="D82" s="26" t="n">
        <f aca="false">SUMIF(case!$N:$N,$A82,case!D:D)</f>
        <v>138018</v>
      </c>
      <c r="E82" s="26" t="n">
        <f aca="false">SUMIF(case!$N:$N,$A82,case!E:E)</f>
        <v>90933</v>
      </c>
      <c r="F82" s="26" t="n">
        <f aca="false">SUMIF(case!$N:$N,$A82,case!F:F)</f>
        <v>27160</v>
      </c>
      <c r="G82" s="26" t="n">
        <f aca="false">SUMIF(case!$N:$N,$A82,case!G:G)</f>
        <v>41520</v>
      </c>
      <c r="H82" s="26" t="n">
        <f aca="false">SUMIF(case!$N:$N,$A82,case!H:H)</f>
        <v>62708</v>
      </c>
      <c r="I82" s="26" t="n">
        <f aca="false">SUMIF(case!$N:$N,$A82,case!I:I)</f>
        <v>30170</v>
      </c>
      <c r="J82" s="26" t="n">
        <f aca="false">SUMIF(case!$N:$N,$A82,case!J:J)</f>
        <v>73030</v>
      </c>
      <c r="K82" s="26" t="n">
        <f aca="false">SUMIF(case!$N:$N,$A82,case!K:K)</f>
        <v>337274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3395702</v>
      </c>
      <c r="C84" s="26" t="n">
        <f aca="false">C76+C77+C83</f>
        <v>3347713</v>
      </c>
      <c r="D84" s="26" t="n">
        <f aca="false">D76+D77+D83</f>
        <v>3324149</v>
      </c>
      <c r="E84" s="26" t="n">
        <f aca="false">E76+E77+E83</f>
        <v>3186130</v>
      </c>
      <c r="F84" s="26" t="n">
        <f aca="false">F76+F77+F83</f>
        <v>3095198</v>
      </c>
      <c r="G84" s="26" t="n">
        <f aca="false">G76+G77+G83</f>
        <v>1226155</v>
      </c>
      <c r="H84" s="26" t="n">
        <f aca="false">H76+H77+H83</f>
        <v>1184635</v>
      </c>
      <c r="I84" s="26" t="n">
        <f aca="false">I76+I77+I83</f>
        <v>1121927</v>
      </c>
      <c r="J84" s="26" t="n">
        <f aca="false">J76+J77+J83</f>
        <v>1091757</v>
      </c>
      <c r="K84" s="26" t="n">
        <f aca="false">K76+K77+K83</f>
        <v>1018727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6479233</v>
      </c>
      <c r="C86" s="26" t="n">
        <f aca="false">C56+C62+C66+C73+C84</f>
        <v>6929645</v>
      </c>
      <c r="D86" s="26" t="n">
        <f aca="false">D56+D62+D66+D73+D84</f>
        <v>6517697</v>
      </c>
      <c r="E86" s="26" t="n">
        <f aca="false">E56+E62+E66+E73+E84</f>
        <v>6230020</v>
      </c>
      <c r="F86" s="26" t="n">
        <f aca="false">F56+F62+F66+F73+F84</f>
        <v>6320161</v>
      </c>
      <c r="G86" s="26" t="n">
        <f aca="false">G56+G62+G66+G73+G84</f>
        <v>4619390</v>
      </c>
      <c r="H86" s="26" t="n">
        <f aca="false">H56+H62+H66+H73+H84</f>
        <v>4606793</v>
      </c>
      <c r="I86" s="26" t="n">
        <f aca="false">I56+I62+I66+I73+I84</f>
        <v>4491663</v>
      </c>
      <c r="J86" s="26" t="n">
        <f aca="false">J56+J62+J66+J73+J84</f>
        <v>4514623</v>
      </c>
      <c r="K86" s="26" t="n">
        <f aca="false">K56+K62+K66+K73+K84</f>
        <v>4176270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6479233</v>
      </c>
      <c r="C88" s="26" t="n">
        <f aca="false">case!C168</f>
        <v>6929645</v>
      </c>
      <c r="D88" s="26" t="n">
        <f aca="false">case!D168</f>
        <v>6517697</v>
      </c>
      <c r="E88" s="26" t="n">
        <f aca="false">case!E168</f>
        <v>6230020</v>
      </c>
      <c r="F88" s="26" t="n">
        <f aca="false">case!F168</f>
        <v>6320161</v>
      </c>
      <c r="G88" s="26" t="n">
        <f aca="false">case!G168</f>
        <v>4619390</v>
      </c>
      <c r="H88" s="26" t="n">
        <f aca="false">case!H168</f>
        <v>4606793</v>
      </c>
      <c r="I88" s="26" t="n">
        <f aca="false">case!I168</f>
        <v>4491663</v>
      </c>
      <c r="J88" s="26" t="n">
        <f aca="false">case!J168</f>
        <v>4514623</v>
      </c>
      <c r="K88" s="26" t="n">
        <f aca="false">case!K168</f>
        <v>4176270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0</v>
      </c>
      <c r="C89" s="26" t="n">
        <f aca="false">C88-C86</f>
        <v>0</v>
      </c>
      <c r="D89" s="26" t="n">
        <f aca="false">D88-D86</f>
        <v>0</v>
      </c>
      <c r="E89" s="26" t="n">
        <f aca="false">E88-E86</f>
        <v>0</v>
      </c>
      <c r="F89" s="26" t="n">
        <f aca="false">F88-F86</f>
        <v>0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0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-1066433</v>
      </c>
      <c r="K90" s="26" t="n">
        <f aca="false">K35-K86</f>
        <v>-18262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4675137</v>
      </c>
      <c r="C93" s="26" t="n">
        <f aca="false">C16-C56+C21-C62</f>
        <v>5156084</v>
      </c>
      <c r="D93" s="26" t="n">
        <f aca="false">D16-D56+D21-D62</f>
        <v>4781828</v>
      </c>
      <c r="E93" s="26" t="n">
        <f aca="false">E16-E56+E21-E62</f>
        <v>4491598</v>
      </c>
      <c r="F93" s="26" t="n">
        <f aca="false">F16-F56+F21-F62</f>
        <v>4924080</v>
      </c>
      <c r="G93" s="26" t="n">
        <f aca="false">G16-G56+G21-G62</f>
        <v>3476237</v>
      </c>
      <c r="H93" s="26" t="n">
        <f aca="false">H16-H56+H21-H62</f>
        <v>3593368</v>
      </c>
      <c r="I93" s="26" t="n">
        <f aca="false">I16-I56+I21-I62</f>
        <v>3364361</v>
      </c>
      <c r="J93" s="26" t="n">
        <f aca="false">J16-J56+J21-J62</f>
        <v>2520576</v>
      </c>
      <c r="K93" s="26" t="n">
        <f aca="false">K16-K56+K21-K62</f>
        <v>3201983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72000</v>
      </c>
      <c r="C94" s="26" t="n">
        <f aca="false">C27-C66</f>
        <v>57000</v>
      </c>
      <c r="D94" s="26" t="n">
        <f aca="false">D27-D66</f>
        <v>32000</v>
      </c>
      <c r="E94" s="26" t="n">
        <f aca="false">E27-E66</f>
        <v>32000</v>
      </c>
      <c r="F94" s="26" t="n">
        <f aca="false">F27-F66</f>
        <v>32000</v>
      </c>
      <c r="G94" s="26" t="n">
        <f aca="false">G27-G66</f>
        <v>32000</v>
      </c>
      <c r="H94" s="26" t="n">
        <f aca="false">H27-H66</f>
        <v>2000</v>
      </c>
      <c r="I94" s="26" t="n">
        <f aca="false">I27-I66</f>
        <v>2000</v>
      </c>
      <c r="J94" s="26" t="n">
        <f aca="false">J27-J66</f>
        <v>2000</v>
      </c>
      <c r="K94" s="26" t="n">
        <f aca="false">K27-K66</f>
        <v>2000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-1351435</v>
      </c>
      <c r="C95" s="26" t="n">
        <f aca="false">C33-C73</f>
        <v>-1865371</v>
      </c>
      <c r="D95" s="26" t="n">
        <f aca="false">D33-D73</f>
        <v>-1489679</v>
      </c>
      <c r="E95" s="26" t="n">
        <f aca="false">E33-E73</f>
        <v>-1337468</v>
      </c>
      <c r="F95" s="26" t="n">
        <f aca="false">F33-F73</f>
        <v>-1860882</v>
      </c>
      <c r="G95" s="26" t="n">
        <f aca="false">G33-G73</f>
        <v>-2282082</v>
      </c>
      <c r="H95" s="26" t="n">
        <f aca="false">H33-H73</f>
        <v>-2410733</v>
      </c>
      <c r="I95" s="26" t="n">
        <f aca="false">I33-I73</f>
        <v>-2244434</v>
      </c>
      <c r="J95" s="26" t="n">
        <f aca="false">J33-J73</f>
        <v>-2497252</v>
      </c>
      <c r="K95" s="26" t="n">
        <f aca="false">K33-K73</f>
        <v>-2203518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3395702</v>
      </c>
      <c r="C96" s="26" t="n">
        <f aca="false">C84</f>
        <v>3347713</v>
      </c>
      <c r="D96" s="26" t="n">
        <f aca="false">D84</f>
        <v>3324149</v>
      </c>
      <c r="E96" s="26" t="n">
        <f aca="false">E84</f>
        <v>3186130</v>
      </c>
      <c r="F96" s="26" t="n">
        <f aca="false">F84</f>
        <v>3095198</v>
      </c>
      <c r="G96" s="26" t="n">
        <f aca="false">G84</f>
        <v>1226155</v>
      </c>
      <c r="H96" s="26" t="n">
        <f aca="false">H84</f>
        <v>1184635</v>
      </c>
      <c r="I96" s="26" t="n">
        <f aca="false">I84</f>
        <v>1121927</v>
      </c>
      <c r="J96" s="26" t="n">
        <f aca="false">J84</f>
        <v>1091757</v>
      </c>
      <c r="K96" s="26" t="n">
        <f aca="false">K84</f>
        <v>1018727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6479233</v>
      </c>
      <c r="C97" s="26" t="n">
        <f aca="false">C35</f>
        <v>6929645</v>
      </c>
      <c r="D97" s="26" t="n">
        <f aca="false">D35</f>
        <v>6517697</v>
      </c>
      <c r="E97" s="26" t="n">
        <f aca="false">E35</f>
        <v>6230020</v>
      </c>
      <c r="F97" s="26" t="n">
        <f aca="false">F35</f>
        <v>6320161</v>
      </c>
      <c r="G97" s="26" t="n">
        <f aca="false">G35</f>
        <v>4619390</v>
      </c>
      <c r="H97" s="26" t="n">
        <f aca="false">H35</f>
        <v>4606793</v>
      </c>
      <c r="I97" s="26" t="n">
        <f aca="false">I35</f>
        <v>4491663</v>
      </c>
      <c r="J97" s="26" t="n">
        <f aca="false">J35</f>
        <v>3448190</v>
      </c>
      <c r="K97" s="26" t="n">
        <f aca="false">K35</f>
        <v>4158008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6479233</v>
      </c>
      <c r="C98" s="26" t="n">
        <f aca="false">C86</f>
        <v>6929645</v>
      </c>
      <c r="D98" s="26" t="n">
        <f aca="false">D86</f>
        <v>6517697</v>
      </c>
      <c r="E98" s="26" t="n">
        <f aca="false">E86</f>
        <v>6230020</v>
      </c>
      <c r="F98" s="26" t="n">
        <f aca="false">F86</f>
        <v>6320161</v>
      </c>
      <c r="G98" s="26" t="n">
        <f aca="false">G86</f>
        <v>4619390</v>
      </c>
      <c r="H98" s="26" t="n">
        <f aca="false">H86</f>
        <v>4606793</v>
      </c>
      <c r="I98" s="26" t="n">
        <f aca="false">I86</f>
        <v>4491663</v>
      </c>
      <c r="J98" s="26" t="n">
        <f aca="false">J86</f>
        <v>4514623</v>
      </c>
      <c r="K98" s="26" t="n">
        <f aca="false">K86</f>
        <v>4176270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-1066433</v>
      </c>
      <c r="K99" s="26" t="n">
        <f aca="false">K97-K98</f>
        <v>-18262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1403037</v>
      </c>
      <c r="C101" s="26" t="n">
        <f aca="false">C8-C51</f>
        <v>1559899</v>
      </c>
      <c r="D101" s="26" t="n">
        <f aca="false">D8-D51</f>
        <v>1408150</v>
      </c>
      <c r="E101" s="26" t="n">
        <f aca="false">E8-E51</f>
        <v>981579</v>
      </c>
      <c r="F101" s="26" t="n">
        <f aca="false">F8-F51</f>
        <v>1114152</v>
      </c>
      <c r="G101" s="26" t="n">
        <f aca="false">G8-G51</f>
        <v>1425188</v>
      </c>
      <c r="H101" s="26" t="n">
        <f aca="false">H8-H51</f>
        <v>1425149</v>
      </c>
      <c r="I101" s="26" t="n">
        <f aca="false">I8-I51</f>
        <v>1165501</v>
      </c>
      <c r="J101" s="26" t="n">
        <f aca="false">J8-J51</f>
        <v>135924</v>
      </c>
      <c r="K101" s="26" t="n">
        <f aca="false">K8-K51</f>
        <v>1323704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4814165</v>
      </c>
      <c r="C102" s="26" t="n">
        <f aca="false">C16-C56</f>
        <v>5162023</v>
      </c>
      <c r="D102" s="26" t="n">
        <f aca="false">D16-D56</f>
        <v>4801334</v>
      </c>
      <c r="E102" s="26" t="n">
        <f aca="false">E16-E56</f>
        <v>4545159</v>
      </c>
      <c r="F102" s="26" t="n">
        <f aca="false">F16-F56</f>
        <v>4969290</v>
      </c>
      <c r="G102" s="26" t="n">
        <f aca="false">G16-G56</f>
        <v>3482263</v>
      </c>
      <c r="H102" s="26" t="n">
        <f aca="false">H16-H56</f>
        <v>3579884</v>
      </c>
      <c r="I102" s="26" t="n">
        <f aca="false">I16-I56</f>
        <v>3310922</v>
      </c>
      <c r="J102" s="26" t="n">
        <f aca="false">J16-J56</f>
        <v>2465724</v>
      </c>
      <c r="K102" s="26" t="n">
        <f aca="false">K16-K56</f>
        <v>3218957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1351435</v>
      </c>
      <c r="C103" s="26" t="n">
        <f aca="false">-C95</f>
        <v>1865371</v>
      </c>
      <c r="D103" s="26" t="n">
        <f aca="false">-D95</f>
        <v>1489679</v>
      </c>
      <c r="E103" s="26" t="n">
        <f aca="false">-E95</f>
        <v>1337468</v>
      </c>
      <c r="F103" s="26" t="n">
        <f aca="false">-F95</f>
        <v>1860882</v>
      </c>
      <c r="G103" s="26" t="n">
        <f aca="false">-G95</f>
        <v>2282082</v>
      </c>
      <c r="H103" s="26" t="n">
        <f aca="false">-H95</f>
        <v>2410733</v>
      </c>
      <c r="I103" s="26" t="n">
        <f aca="false">-I95</f>
        <v>2244434</v>
      </c>
      <c r="J103" s="26" t="n">
        <f aca="false">-J95</f>
        <v>2497252</v>
      </c>
      <c r="K103" s="26" t="n">
        <f aca="false">-K95</f>
        <v>2203518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4747137</v>
      </c>
      <c r="C104" s="26" t="n">
        <f aca="false">C93+C94</f>
        <v>5213084</v>
      </c>
      <c r="D104" s="26" t="n">
        <f aca="false">D93+D94</f>
        <v>4813828</v>
      </c>
      <c r="E104" s="26" t="n">
        <f aca="false">E93+E94</f>
        <v>4523598</v>
      </c>
      <c r="F104" s="26" t="n">
        <f aca="false">F93+F94</f>
        <v>4956080</v>
      </c>
      <c r="G104" s="26" t="n">
        <f aca="false">G93+G94</f>
        <v>3508237</v>
      </c>
      <c r="H104" s="26" t="n">
        <f aca="false">H93+H94</f>
        <v>3595368</v>
      </c>
      <c r="I104" s="26" t="n">
        <f aca="false">I93+I94</f>
        <v>3366361</v>
      </c>
      <c r="J104" s="26" t="n">
        <f aca="false">J93+J94</f>
        <v>2522576</v>
      </c>
      <c r="K104" s="26" t="n">
        <f aca="false">K93+K94</f>
        <v>3203983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4747137</v>
      </c>
      <c r="C105" s="26" t="n">
        <f aca="false">C96+C103</f>
        <v>5213084</v>
      </c>
      <c r="D105" s="26" t="n">
        <f aca="false">D96+D103</f>
        <v>4813828</v>
      </c>
      <c r="E105" s="26" t="n">
        <f aca="false">E96+E103</f>
        <v>4523598</v>
      </c>
      <c r="F105" s="26" t="n">
        <f aca="false">F96+F103</f>
        <v>4956080</v>
      </c>
      <c r="G105" s="26" t="n">
        <f aca="false">G96+G103</f>
        <v>3508237</v>
      </c>
      <c r="H105" s="26" t="n">
        <f aca="false">H96+H103</f>
        <v>3595368</v>
      </c>
      <c r="I105" s="26" t="n">
        <f aca="false">I96+I103</f>
        <v>3366361</v>
      </c>
      <c r="J105" s="26" t="n">
        <f aca="false">J96+J103</f>
        <v>3589009</v>
      </c>
      <c r="K105" s="26" t="n">
        <f aca="false">K96+K103</f>
        <v>3222245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-1066433</v>
      </c>
      <c r="K106" s="26" t="n">
        <f aca="false">K104-K105</f>
        <v>-18262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10781972</v>
      </c>
      <c r="C111" s="26" t="n">
        <f aca="false">SUMIF(case!$N:$N,$A111,case!C:C)-C127</f>
        <v>10502251</v>
      </c>
      <c r="D111" s="26" t="n">
        <f aca="false">SUMIF(case!$N:$N,$A111,case!D:D)-D127</f>
        <v>9797336</v>
      </c>
      <c r="E111" s="26" t="n">
        <f aca="false">SUMIF(case!$N:$N,$A111,case!E:E)-E127</f>
        <v>8086488</v>
      </c>
      <c r="F111" s="26" t="n">
        <f aca="false">SUMIF(case!$N:$N,$A111,case!F:F)-F127</f>
        <v>7349721</v>
      </c>
      <c r="G111" s="26" t="n">
        <f aca="false">SUMIF(case!$N:$N,$A111,case!G:G)-G127</f>
        <v>8370970</v>
      </c>
      <c r="H111" s="26" t="n">
        <f aca="false">SUMIF(case!$N:$N,$A111,case!H:H)-H127</f>
        <v>7727686</v>
      </c>
      <c r="I111" s="26" t="n">
        <f aca="false">SUMIF(case!$N:$N,$A111,case!I:I)-I127</f>
        <v>7677878</v>
      </c>
      <c r="J111" s="26" t="n">
        <f aca="false">SUMIF(case!$N:$N,$A111,case!J:J)-J127</f>
        <v>7424443</v>
      </c>
      <c r="K111" s="26" t="n">
        <f aca="false">SUMIF(case!$N:$N,$A111,case!K:K)-K127</f>
        <v>6901829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-8042729</v>
      </c>
      <c r="C113" s="26" t="n">
        <f aca="false">SUMIF(case!$N:$N,$A113,case!C:C)</f>
        <v>-7909736</v>
      </c>
      <c r="D113" s="26" t="n">
        <f aca="false">SUMIF(case!$N:$N,$A113,case!D:D)</f>
        <v>-7635079</v>
      </c>
      <c r="E113" s="26" t="n">
        <f aca="false">SUMIF(case!$N:$N,$A113,case!E:E)</f>
        <v>-5561813</v>
      </c>
      <c r="F113" s="26" t="n">
        <f aca="false">SUMIF(case!$N:$N,$A113,case!F:F)</f>
        <v>-5319152</v>
      </c>
      <c r="G113" s="26" t="n">
        <f aca="false">SUMIF(case!$N:$N,$A113,case!G:G)</f>
        <v>-6064470</v>
      </c>
      <c r="H113" s="26" t="n">
        <f aca="false">SUMIF(case!$N:$N,$A113,case!H:H)</f>
        <v>-5643875</v>
      </c>
      <c r="I113" s="26" t="n">
        <f aca="false">SUMIF(case!$N:$N,$A113,case!I:I)</f>
        <v>-5648984</v>
      </c>
      <c r="J113" s="26" t="n">
        <f aca="false">SUMIF(case!$N:$N,$A113,case!J:J)</f>
        <v>-5503638</v>
      </c>
      <c r="K113" s="26" t="n">
        <f aca="false">SUMIF(case!$N:$N,$A113,case!K:K)</f>
        <v>-4946714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-1042479</v>
      </c>
      <c r="C114" s="26" t="n">
        <f aca="false">SUMIF(case!$N:$N,$A114,case!C:C)</f>
        <v>-1055045</v>
      </c>
      <c r="D114" s="26" t="n">
        <f aca="false">SUMIF(case!$N:$N,$A114,case!D:D)</f>
        <v>-1049603</v>
      </c>
      <c r="E114" s="26" t="n">
        <f aca="false">SUMIF(case!$N:$N,$A114,case!E:E)</f>
        <v>-888400</v>
      </c>
      <c r="F114" s="26" t="n">
        <f aca="false">SUMIF(case!$N:$N,$A114,case!F:F)</f>
        <v>-790856</v>
      </c>
      <c r="G114" s="26" t="n">
        <f aca="false">SUMIF(case!$N:$N,$A114,case!G:G)</f>
        <v>-817799</v>
      </c>
      <c r="H114" s="26" t="n">
        <f aca="false">SUMIF(case!$N:$N,$A114,case!H:H)</f>
        <v>-794983</v>
      </c>
      <c r="I114" s="26" t="n">
        <f aca="false">SUMIF(case!$N:$N,$A114,case!I:I)</f>
        <v>-788067</v>
      </c>
      <c r="J114" s="26" t="n">
        <f aca="false">SUMIF(case!$N:$N,$A114,case!J:J)</f>
        <v>-755578</v>
      </c>
      <c r="K114" s="26" t="n">
        <f aca="false">SUMIF(case!$N:$N,$A114,case!K:K)</f>
        <v>-611124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-18000</v>
      </c>
      <c r="C115" s="26" t="n">
        <f aca="false">SUMIF(case!$N:$N,$A115,case!C:C)</f>
        <v>-18000</v>
      </c>
      <c r="D115" s="26" t="n">
        <f aca="false">SUMIF(case!$N:$N,$A115,case!D:D)</f>
        <v>-18000</v>
      </c>
      <c r="E115" s="26" t="n">
        <f aca="false">SUMIF(case!$N:$N,$A115,case!E:E)</f>
        <v>-31757</v>
      </c>
      <c r="F115" s="26" t="n">
        <f aca="false">SUMIF(case!$N:$N,$A115,case!F:F)</f>
        <v>-70447</v>
      </c>
      <c r="G115" s="26" t="n">
        <f aca="false">SUMIF(case!$N:$N,$A115,case!G:G)</f>
        <v>-70304</v>
      </c>
      <c r="H115" s="26" t="n">
        <f aca="false">SUMIF(case!$N:$N,$A115,case!H:H)</f>
        <v>-84557</v>
      </c>
      <c r="I115" s="26" t="n">
        <f aca="false">SUMIF(case!$N:$N,$A115,case!I:I)</f>
        <v>-99865</v>
      </c>
      <c r="J115" s="26" t="n">
        <f aca="false">SUMIF(case!$N:$N,$A115,case!J:J)</f>
        <v>-83190</v>
      </c>
      <c r="K115" s="26" t="n">
        <f aca="false">SUMIF(case!$N:$N,$A115,case!K:K)</f>
        <v>-35455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-9103208</v>
      </c>
      <c r="C116" s="26" t="n">
        <f aca="false">SUM(C113:C115)</f>
        <v>-8982781</v>
      </c>
      <c r="D116" s="26" t="n">
        <f aca="false">SUM(D113:D115)</f>
        <v>-8702682</v>
      </c>
      <c r="E116" s="26" t="n">
        <f aca="false">SUM(E113:E115)</f>
        <v>-6481970</v>
      </c>
      <c r="F116" s="26" t="n">
        <f aca="false">SUM(F113:F115)</f>
        <v>-6180455</v>
      </c>
      <c r="G116" s="26" t="n">
        <f aca="false">SUM(G113:G115)</f>
        <v>-6952573</v>
      </c>
      <c r="H116" s="26" t="n">
        <f aca="false">SUM(H113:H115)</f>
        <v>-6523415</v>
      </c>
      <c r="I116" s="26" t="n">
        <f aca="false">SUM(I113:I115)</f>
        <v>-6536916</v>
      </c>
      <c r="J116" s="26" t="n">
        <f aca="false">SUM(J113:J115)</f>
        <v>-6342406</v>
      </c>
      <c r="K116" s="26" t="n">
        <f aca="false">SUM(K113:K115)</f>
        <v>-5593293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-123637</v>
      </c>
      <c r="C117" s="26" t="n">
        <f aca="false">SUMIF(case!$N:$N,$A117,case!C:C)</f>
        <v>85812</v>
      </c>
      <c r="D117" s="26" t="n">
        <f aca="false">SUMIF(case!$N:$N,$A117,case!D:D)</f>
        <v>102926</v>
      </c>
      <c r="E117" s="26" t="n">
        <f aca="false">SUMIF(case!$N:$N,$A117,case!E:E)</f>
        <v>24242</v>
      </c>
      <c r="F117" s="26" t="n">
        <f aca="false">SUMIF(case!$N:$N,$A117,case!F:F)</f>
        <v>-102446</v>
      </c>
      <c r="G117" s="26" t="n">
        <f aca="false">SUMIF(case!$N:$N,$A117,case!G:G)</f>
        <v>47527</v>
      </c>
      <c r="H117" s="26" t="n">
        <f aca="false">SUMIF(case!$N:$N,$A117,case!H:H)</f>
        <v>4875</v>
      </c>
      <c r="I117" s="26" t="n">
        <f aca="false">SUMIF(case!$N:$N,$A117,case!I:I)</f>
        <v>18872</v>
      </c>
      <c r="J117" s="26" t="n">
        <f aca="false">SUMIF(case!$N:$N,$A117,case!J:J)</f>
        <v>38563</v>
      </c>
      <c r="K117" s="26" t="n">
        <f aca="false">SUMIF(case!$N:$N,$A117,case!K:K)</f>
        <v>82592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-64037</v>
      </c>
      <c r="C118" s="26" t="n">
        <f aca="false">SUMIF(case!$N:$N,$A118,case!C:C)</f>
        <v>-33861</v>
      </c>
      <c r="D118" s="26" t="n">
        <f aca="false">SUMIF(case!$N:$N,$A118,case!D:D)</f>
        <v>390341</v>
      </c>
      <c r="E118" s="26" t="n">
        <f aca="false">SUMIF(case!$N:$N,$A118,case!E:E)</f>
        <v>-226939</v>
      </c>
      <c r="F118" s="26" t="n">
        <f aca="false">SUMIF(case!$N:$N,$A118,case!F:F)</f>
        <v>114306</v>
      </c>
      <c r="G118" s="26" t="n">
        <f aca="false">SUMIF(case!$N:$N,$A118,case!G:G)</f>
        <v>-152382</v>
      </c>
      <c r="H118" s="26" t="n">
        <f aca="false">SUMIF(case!$N:$N,$A118,case!H:H)</f>
        <v>100126</v>
      </c>
      <c r="I118" s="26" t="n">
        <f aca="false">SUMIF(case!$N:$N,$A118,case!I:I)</f>
        <v>-48118</v>
      </c>
      <c r="J118" s="26" t="n">
        <f aca="false">SUMIF(case!$N:$N,$A118,case!J:J)</f>
        <v>581</v>
      </c>
      <c r="K118" s="26" t="n">
        <f aca="false">SUMIF(case!$N:$N,$A118,case!K:K)</f>
        <v>162630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-9290882</v>
      </c>
      <c r="C120" s="26" t="n">
        <f aca="false">C116+C117+C118+C119</f>
        <v>-8930830</v>
      </c>
      <c r="D120" s="26" t="n">
        <f aca="false">D116+D117+D118+D119</f>
        <v>-8209415</v>
      </c>
      <c r="E120" s="26" t="n">
        <f aca="false">E116+E117+E118+E119</f>
        <v>-6684667</v>
      </c>
      <c r="F120" s="26" t="n">
        <f aca="false">F116+F117+F118+F119</f>
        <v>-6168595</v>
      </c>
      <c r="G120" s="26" t="n">
        <f aca="false">G116+G117+G118+G119</f>
        <v>-7057428</v>
      </c>
      <c r="H120" s="26" t="n">
        <f aca="false">H116+H117+H118+H119</f>
        <v>-6418414</v>
      </c>
      <c r="I120" s="26" t="n">
        <f aca="false">I116+I117+I118+I119</f>
        <v>-6566162</v>
      </c>
      <c r="J120" s="26" t="n">
        <f aca="false">J116+J117+J118+J119</f>
        <v>-6303262</v>
      </c>
      <c r="K120" s="26" t="n">
        <f aca="false">K116+K117+K118+K119</f>
        <v>-5348071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1491090</v>
      </c>
      <c r="C121" s="26" t="n">
        <f aca="false">C111+C120</f>
        <v>1571421</v>
      </c>
      <c r="D121" s="26" t="n">
        <f aca="false">D111+D120</f>
        <v>1587921</v>
      </c>
      <c r="E121" s="26" t="n">
        <f aca="false">E111+E120</f>
        <v>1401821</v>
      </c>
      <c r="F121" s="26" t="n">
        <f aca="false">F111+F120</f>
        <v>1181126</v>
      </c>
      <c r="G121" s="26" t="n">
        <f aca="false">G111+G120</f>
        <v>1313542</v>
      </c>
      <c r="H121" s="26" t="n">
        <f aca="false">H111+H120</f>
        <v>1309272</v>
      </c>
      <c r="I121" s="26" t="n">
        <f aca="false">I111+I120</f>
        <v>1111716</v>
      </c>
      <c r="J121" s="26" t="n">
        <f aca="false">J111+J120</f>
        <v>1121181</v>
      </c>
      <c r="K121" s="26" t="n">
        <f aca="false">K111+K120</f>
        <v>1553758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-1065444</v>
      </c>
      <c r="C122" s="26" t="n">
        <f aca="false">SUMIF(case!$N:$N,$A122,case!C:C)</f>
        <v>-1093378</v>
      </c>
      <c r="D122" s="26" t="n">
        <f aca="false">SUMIF(case!$N:$N,$A122,case!D:D)</f>
        <v>-1079519</v>
      </c>
      <c r="E122" s="26" t="n">
        <f aca="false">SUMIF(case!$N:$N,$A122,case!E:E)</f>
        <v>-916442</v>
      </c>
      <c r="F122" s="26" t="n">
        <f aca="false">SUMIF(case!$N:$N,$A122,case!F:F)</f>
        <v>-857513</v>
      </c>
      <c r="G122" s="26" t="n">
        <f aca="false">SUMIF(case!$N:$N,$A122,case!G:G)</f>
        <v>-921295</v>
      </c>
      <c r="H122" s="26" t="n">
        <f aca="false">SUMIF(case!$N:$N,$A122,case!H:H)</f>
        <v>-885834</v>
      </c>
      <c r="I122" s="26" t="n">
        <f aca="false">SUMIF(case!$N:$N,$A122,case!I:I)</f>
        <v>-756458</v>
      </c>
      <c r="J122" s="26" t="n">
        <f aca="false">SUMIF(case!$N:$N,$A122,case!J:J)</f>
        <v>-701560</v>
      </c>
      <c r="K122" s="26" t="n">
        <f aca="false">SUMIF(case!$N:$N,$A122,case!K:K)</f>
        <v>-761587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425646</v>
      </c>
      <c r="C123" s="26" t="n">
        <f aca="false">C121+C122</f>
        <v>478043</v>
      </c>
      <c r="D123" s="26" t="n">
        <f aca="false">D121+D122</f>
        <v>508402</v>
      </c>
      <c r="E123" s="26" t="n">
        <f aca="false">E121+E122</f>
        <v>485379</v>
      </c>
      <c r="F123" s="26" t="n">
        <f aca="false">F121+F122</f>
        <v>323613</v>
      </c>
      <c r="G123" s="26" t="n">
        <f aca="false">G121+G122</f>
        <v>392247</v>
      </c>
      <c r="H123" s="26" t="n">
        <f aca="false">H121+H122</f>
        <v>423438</v>
      </c>
      <c r="I123" s="26" t="n">
        <f aca="false">I121+I122</f>
        <v>355258</v>
      </c>
      <c r="J123" s="26" t="n">
        <f aca="false">J121+J122</f>
        <v>419621</v>
      </c>
      <c r="K123" s="26" t="n">
        <f aca="false">K121+K122</f>
        <v>792171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-178212</v>
      </c>
      <c r="C124" s="26" t="n">
        <f aca="false">SUMIF(case!$N:$N,$A124,case!C:C)</f>
        <v>-262884</v>
      </c>
      <c r="D124" s="26" t="n">
        <f aca="false">SUMIF(case!$N:$N,$A124,case!D:D)</f>
        <v>-284679</v>
      </c>
      <c r="E124" s="26" t="n">
        <f aca="false">SUMIF(case!$N:$N,$A124,case!E:E)</f>
        <v>-291427</v>
      </c>
      <c r="F124" s="26" t="n">
        <f aca="false">SUMIF(case!$N:$N,$A124,case!F:F)</f>
        <v>-207100</v>
      </c>
      <c r="G124" s="26" t="n">
        <f aca="false">SUMIF(case!$N:$N,$A124,case!G:G)</f>
        <v>-250219</v>
      </c>
      <c r="H124" s="26" t="n">
        <f aca="false">SUMIF(case!$N:$N,$A124,case!H:H)</f>
        <v>-254982</v>
      </c>
      <c r="I124" s="26" t="n">
        <f aca="false">SUMIF(case!$N:$N,$A124,case!I:I)</f>
        <v>-237401</v>
      </c>
      <c r="J124" s="26" t="n">
        <f aca="false">SUMIF(case!$N:$N,$A124,case!J:J)</f>
        <v>-218776</v>
      </c>
      <c r="K124" s="26" t="n">
        <f aca="false">SUMIF(case!$N:$N,$A124,case!K:K)</f>
        <v>-190385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247434</v>
      </c>
      <c r="C125" s="26" t="n">
        <f aca="false">C123+C124</f>
        <v>215159</v>
      </c>
      <c r="D125" s="26" t="n">
        <f aca="false">D123+D124</f>
        <v>223723</v>
      </c>
      <c r="E125" s="26" t="n">
        <f aca="false">E123+E124</f>
        <v>193952</v>
      </c>
      <c r="F125" s="26" t="n">
        <f aca="false">F123+F124</f>
        <v>116513</v>
      </c>
      <c r="G125" s="26" t="n">
        <f aca="false">G123+G124</f>
        <v>142028</v>
      </c>
      <c r="H125" s="26" t="n">
        <f aca="false">H123+H124</f>
        <v>168456</v>
      </c>
      <c r="I125" s="26" t="n">
        <f aca="false">I123+I124</f>
        <v>117857</v>
      </c>
      <c r="J125" s="26" t="n">
        <f aca="false">J123+J124</f>
        <v>200845</v>
      </c>
      <c r="K125" s="26" t="n">
        <f aca="false">K123+K124</f>
        <v>601786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0</v>
      </c>
      <c r="C127" s="26" t="n">
        <f aca="false">SUMIF(case!$N:$N,$A127,case!C:C)</f>
        <v>19472</v>
      </c>
      <c r="D127" s="26" t="n">
        <f aca="false">SUMIF(case!$N:$N,$A127,case!D:D)</f>
        <v>48345</v>
      </c>
      <c r="E127" s="26" t="n">
        <f aca="false">SUMIF(case!$N:$N,$A127,case!E:E)</f>
        <v>654</v>
      </c>
      <c r="F127" s="26" t="n">
        <f aca="false">SUMIF(case!$N:$N,$A127,case!F:F)</f>
        <v>1053</v>
      </c>
      <c r="G127" s="26" t="n">
        <f aca="false">SUMIF(case!$N:$N,$A127,case!G:G)</f>
        <v>0</v>
      </c>
      <c r="H127" s="26" t="n">
        <f aca="false">SUMIF(case!$N:$N,$A127,case!H:H)</f>
        <v>0</v>
      </c>
      <c r="I127" s="26" t="n">
        <f aca="false">SUMIF(case!$N:$N,$A127,case!I:I)</f>
        <v>0</v>
      </c>
      <c r="J127" s="26" t="n">
        <f aca="false">SUMIF(case!$N:$N,$A127,case!J:J)</f>
        <v>0</v>
      </c>
      <c r="K127" s="26" t="n">
        <f aca="false">SUMIF(case!$N:$N,$A127,case!K:K)</f>
        <v>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-3500</v>
      </c>
      <c r="C129" s="26" t="n">
        <f aca="false">SUMIF(case!$N:$N,$A129,case!C:C)</f>
        <v>-4000</v>
      </c>
      <c r="D129" s="26" t="n">
        <f aca="false">SUMIF(case!$N:$N,$A129,case!D:D)</f>
        <v>-6021</v>
      </c>
      <c r="E129" s="26" t="n">
        <f aca="false">SUMIF(case!$N:$N,$A129,case!E:E)</f>
        <v>-5500</v>
      </c>
      <c r="F129" s="26" t="n">
        <f aca="false">SUMIF(case!$N:$N,$A129,case!F:F)</f>
        <v>-3300</v>
      </c>
      <c r="G129" s="26" t="n">
        <f aca="false">SUMIF(case!$N:$N,$A129,case!G:G)</f>
        <v>-5683</v>
      </c>
      <c r="H129" s="26" t="n">
        <f aca="false">SUMIF(case!$N:$N,$A129,case!H:H)</f>
        <v>-4719</v>
      </c>
      <c r="I129" s="26" t="n">
        <f aca="false">SUMIF(case!$N:$N,$A129,case!I:I)</f>
        <v>-4334</v>
      </c>
      <c r="J129" s="26" t="n">
        <f aca="false">SUMIF(case!$N:$N,$A129,case!J:J)</f>
        <v>-3632</v>
      </c>
      <c r="K129" s="26" t="n">
        <f aca="false">SUMIF(case!$N:$N,$A129,case!K:K)</f>
        <v>-3891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-35138</v>
      </c>
      <c r="C130" s="26" t="n">
        <f aca="false">SUMIF(case!$N:$N,$A130,case!C:C)</f>
        <v>-73412</v>
      </c>
      <c r="D130" s="26" t="n">
        <f aca="false">SUMIF(case!$N:$N,$A130,case!D:D)</f>
        <v>-28972</v>
      </c>
      <c r="E130" s="26" t="n">
        <f aca="false">SUMIF(case!$N:$N,$A130,case!E:E)</f>
        <v>-30206</v>
      </c>
      <c r="F130" s="26" t="n">
        <f aca="false">SUMIF(case!$N:$N,$A130,case!F:F)</f>
        <v>-34952</v>
      </c>
      <c r="G130" s="26" t="n">
        <f aca="false">SUMIF(case!$N:$N,$A130,case!G:G)</f>
        <v>-34967</v>
      </c>
      <c r="H130" s="26" t="n">
        <f aca="false">SUMIF(case!$N:$N,$A130,case!H:H)</f>
        <v>-34702</v>
      </c>
      <c r="I130" s="26" t="n">
        <f aca="false">SUMIF(case!$N:$N,$A130,case!I:I)</f>
        <v>-21123</v>
      </c>
      <c r="J130" s="26" t="n">
        <f aca="false">SUMIF(case!$N:$N,$A130,case!J:J)</f>
        <v>-27380</v>
      </c>
      <c r="K130" s="26" t="n">
        <f aca="false">SUMIF(case!$N:$N,$A130,case!K:K)</f>
        <v>-35493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208796</v>
      </c>
      <c r="C131" s="26" t="n">
        <f aca="false">C125+C126+C127+C130+C129+C128</f>
        <v>157219</v>
      </c>
      <c r="D131" s="26" t="n">
        <f aca="false">D125+D126+D127+D130+D129+D128</f>
        <v>237075</v>
      </c>
      <c r="E131" s="26" t="n">
        <f aca="false">E125+E126+E127+E130+E129+E128</f>
        <v>158900</v>
      </c>
      <c r="F131" s="26" t="n">
        <f aca="false">F125+F126+F127+F130+F129+F128</f>
        <v>79314</v>
      </c>
      <c r="G131" s="26" t="n">
        <f aca="false">G125+G126+G127+G130+G129+G128</f>
        <v>101378</v>
      </c>
      <c r="H131" s="26" t="n">
        <f aca="false">H125+H126+H127+H130+H129+H128</f>
        <v>129035</v>
      </c>
      <c r="I131" s="26" t="n">
        <f aca="false">I125+I126+I127+I130+I129+I128</f>
        <v>92400</v>
      </c>
      <c r="J131" s="26" t="n">
        <f aca="false">J125+J126+J127+J130+J129+J128</f>
        <v>169833</v>
      </c>
      <c r="K131" s="26" t="n">
        <f aca="false">K125+K126+K127+K130+K129+K128</f>
        <v>562402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208796</v>
      </c>
      <c r="C133" s="26" t="n">
        <f aca="false">case!C201</f>
        <v>157219</v>
      </c>
      <c r="D133" s="26" t="n">
        <f aca="false">case!D201</f>
        <v>237075</v>
      </c>
      <c r="E133" s="26" t="n">
        <f aca="false">case!E201</f>
        <v>158900</v>
      </c>
      <c r="F133" s="26" t="n">
        <f aca="false">case!F201</f>
        <v>79314</v>
      </c>
      <c r="G133" s="26" t="n">
        <f aca="false">case!G201</f>
        <v>101378</v>
      </c>
      <c r="H133" s="26" t="n">
        <f aca="false">case!H201</f>
        <v>129035</v>
      </c>
      <c r="I133" s="26" t="n">
        <f aca="false">case!I201</f>
        <v>92400</v>
      </c>
      <c r="J133" s="26" t="n">
        <f aca="false">case!J201</f>
        <v>169833</v>
      </c>
      <c r="K133" s="26" t="n">
        <f aca="false">case!K201</f>
        <v>562402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1525</v>
      </c>
      <c r="C137" s="26" t="n">
        <f aca="false">SUMIF(case!$N:$N,$A137,case!C:C)</f>
        <v>2140</v>
      </c>
      <c r="D137" s="26" t="n">
        <f aca="false">SUMIF(case!$N:$N,$A137,case!D:D)</f>
        <v>2565</v>
      </c>
      <c r="E137" s="26" t="n">
        <f aca="false">SUMIF(case!$N:$N,$A137,case!E:E)</f>
        <v>4889</v>
      </c>
      <c r="F137" s="26" t="n">
        <f aca="false">SUMIF(case!$N:$N,$A137,case!F:F)</f>
        <v>3414</v>
      </c>
      <c r="G137" s="26" t="n">
        <f aca="false">SUMIF(case!$N:$N,$A137,case!G:G)</f>
        <v>4000</v>
      </c>
      <c r="H137" s="26" t="n">
        <f aca="false">SUMIF(case!$N:$N,$A137,case!H:H)</f>
        <v>2187</v>
      </c>
      <c r="I137" s="26" t="n">
        <f aca="false">SUMIF(case!$N:$N,$A137,case!I:I)</f>
        <v>2911</v>
      </c>
      <c r="J137" s="26" t="n">
        <f aca="false">SUMIF(case!$N:$N,$A137,case!J:J)</f>
        <v>2667</v>
      </c>
      <c r="K137" s="26" t="n">
        <f aca="false">SUMIF(case!$N:$N,$A137,case!K:K)</f>
        <v>12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-110269</v>
      </c>
      <c r="C138" s="26" t="n">
        <f aca="false">SUMIF(case!$N:$N,$A138,case!C:C)</f>
        <v>-101600</v>
      </c>
      <c r="D138" s="26" t="n">
        <f aca="false">SUMIF(case!$N:$N,$A138,case!D:D)</f>
        <v>-34715</v>
      </c>
      <c r="E138" s="26" t="n">
        <f aca="false">SUMIF(case!$N:$N,$A138,case!E:E)</f>
        <v>-32939</v>
      </c>
      <c r="F138" s="26" t="n">
        <f aca="false">SUMIF(case!$N:$N,$A138,case!F:F)</f>
        <v>-42003</v>
      </c>
      <c r="G138" s="26" t="n">
        <f aca="false">SUMIF(case!$N:$N,$A138,case!G:G)</f>
        <v>-43669</v>
      </c>
      <c r="H138" s="26" t="n">
        <f aca="false">SUMIF(case!$N:$N,$A138,case!H:H)</f>
        <v>-40987</v>
      </c>
      <c r="I138" s="26" t="n">
        <f aca="false">SUMIF(case!$N:$N,$A138,case!I:I)</f>
        <v>-52706</v>
      </c>
      <c r="J138" s="26" t="n">
        <f aca="false">SUMIF(case!$N:$N,$A138,case!J:J)</f>
        <v>-65192</v>
      </c>
      <c r="K138" s="26" t="n">
        <f aca="false">SUMIF(case!$N:$N,$A138,case!K:K)</f>
        <v>-60976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-108744</v>
      </c>
      <c r="C140" s="26" t="n">
        <f aca="false">SUM(C137:C139)</f>
        <v>-99460</v>
      </c>
      <c r="D140" s="26" t="n">
        <f aca="false">SUM(D137:D139)</f>
        <v>-32150</v>
      </c>
      <c r="E140" s="26" t="n">
        <f aca="false">SUM(E137:E139)</f>
        <v>-28050</v>
      </c>
      <c r="F140" s="26" t="n">
        <f aca="false">SUM(F137:F139)</f>
        <v>-38589</v>
      </c>
      <c r="G140" s="26" t="n">
        <f aca="false">SUM(G137:G139)</f>
        <v>-39669</v>
      </c>
      <c r="H140" s="26" t="n">
        <f aca="false">SUM(H137:H139)</f>
        <v>-38800</v>
      </c>
      <c r="I140" s="26" t="n">
        <f aca="false">SUM(I137:I139)</f>
        <v>-49795</v>
      </c>
      <c r="J140" s="26" t="n">
        <f aca="false">SUM(J137:J139)</f>
        <v>-62525</v>
      </c>
      <c r="K140" s="26" t="n">
        <f aca="false">SUM(K137:K139)</f>
        <v>-60964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100052</v>
      </c>
      <c r="C141" s="26" t="n">
        <f aca="false">C131+C140</f>
        <v>57759</v>
      </c>
      <c r="D141" s="26" t="n">
        <f aca="false">D131+D140</f>
        <v>204925</v>
      </c>
      <c r="E141" s="26" t="n">
        <f aca="false">E131+E140</f>
        <v>130850</v>
      </c>
      <c r="F141" s="26" t="n">
        <f aca="false">F131+F140</f>
        <v>40725</v>
      </c>
      <c r="G141" s="26" t="n">
        <f aca="false">G131+G140</f>
        <v>61709</v>
      </c>
      <c r="H141" s="26" t="n">
        <f aca="false">H131+H140</f>
        <v>90235</v>
      </c>
      <c r="I141" s="26" t="n">
        <f aca="false">I131+I140</f>
        <v>42605</v>
      </c>
      <c r="J141" s="26" t="n">
        <f aca="false">J131+J140</f>
        <v>107308</v>
      </c>
      <c r="K141" s="26" t="n">
        <f aca="false">K131+K140</f>
        <v>501438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0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0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100052</v>
      </c>
      <c r="C148" s="26" t="n">
        <f aca="false">C141+C146</f>
        <v>57759</v>
      </c>
      <c r="D148" s="26" t="n">
        <f aca="false">D141+D146</f>
        <v>204925</v>
      </c>
      <c r="E148" s="26" t="n">
        <f aca="false">E141+E146</f>
        <v>130850</v>
      </c>
      <c r="F148" s="26" t="n">
        <f aca="false">F141+F146</f>
        <v>40725</v>
      </c>
      <c r="G148" s="26" t="n">
        <f aca="false">G141+G146</f>
        <v>61709</v>
      </c>
      <c r="H148" s="26" t="n">
        <f aca="false">H141+H146</f>
        <v>90235</v>
      </c>
      <c r="I148" s="26" t="n">
        <f aca="false">I141+I146</f>
        <v>42605</v>
      </c>
      <c r="J148" s="26" t="n">
        <f aca="false">J141+J146</f>
        <v>107308</v>
      </c>
      <c r="K148" s="26" t="n">
        <f aca="false">K141+K146</f>
        <v>501438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-52061</v>
      </c>
      <c r="C149" s="26" t="n">
        <f aca="false">SUMIF(case!$N:$N,$A149,case!C:C)</f>
        <v>-34196</v>
      </c>
      <c r="D149" s="26" t="n">
        <f aca="false">SUMIF(case!$N:$N,$A149,case!D:D)</f>
        <v>-66907</v>
      </c>
      <c r="E149" s="26" t="n">
        <f aca="false">SUMIF(case!$N:$N,$A149,case!E:E)</f>
        <v>-39917</v>
      </c>
      <c r="F149" s="26" t="n">
        <f aca="false">SUMIF(case!$N:$N,$A149,case!F:F)</f>
        <v>-13565</v>
      </c>
      <c r="G149" s="26" t="n">
        <f aca="false">SUMIF(case!$N:$N,$A149,case!G:G)</f>
        <v>-20189</v>
      </c>
      <c r="H149" s="26" t="n">
        <f aca="false">SUMIF(case!$N:$N,$A149,case!H:H)</f>
        <v>-27527</v>
      </c>
      <c r="I149" s="26" t="n">
        <f aca="false">SUMIF(case!$N:$N,$A149,case!I:I)</f>
        <v>-12435</v>
      </c>
      <c r="J149" s="26" t="n">
        <f aca="false">SUMIF(case!$N:$N,$A149,case!J:J)</f>
        <v>-34278</v>
      </c>
      <c r="K149" s="26" t="n">
        <f aca="false">SUMIF(case!$N:$N,$A149,case!K:K)</f>
        <v>-164164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47991</v>
      </c>
      <c r="C150" s="26" t="n">
        <f aca="false">C148+C149</f>
        <v>23563</v>
      </c>
      <c r="D150" s="26" t="n">
        <f aca="false">D148+D149</f>
        <v>138018</v>
      </c>
      <c r="E150" s="26" t="n">
        <f aca="false">E148+E149</f>
        <v>90933</v>
      </c>
      <c r="F150" s="26" t="n">
        <f aca="false">F148+F149</f>
        <v>27160</v>
      </c>
      <c r="G150" s="26" t="n">
        <f aca="false">G148+G149</f>
        <v>41520</v>
      </c>
      <c r="H150" s="26" t="n">
        <f aca="false">H148+H149</f>
        <v>62708</v>
      </c>
      <c r="I150" s="26" t="n">
        <f aca="false">I148+I149</f>
        <v>30170</v>
      </c>
      <c r="J150" s="26" t="n">
        <f aca="false">J148+J149</f>
        <v>73030</v>
      </c>
      <c r="K150" s="26" t="n">
        <f aca="false">K148+K149</f>
        <v>337274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47991</v>
      </c>
      <c r="C152" s="26" t="n">
        <f aca="false">case!C249</f>
        <v>23563</v>
      </c>
      <c r="D152" s="26" t="n">
        <f aca="false">case!D249</f>
        <v>138018</v>
      </c>
      <c r="E152" s="26" t="n">
        <f aca="false">case!E249</f>
        <v>90933</v>
      </c>
      <c r="F152" s="26" t="n">
        <f aca="false">case!F249</f>
        <v>27160</v>
      </c>
      <c r="G152" s="26" t="n">
        <f aca="false">case!G249</f>
        <v>41520</v>
      </c>
      <c r="H152" s="26" t="n">
        <f aca="false">case!H249</f>
        <v>62708</v>
      </c>
      <c r="I152" s="26" t="n">
        <f aca="false">case!I249</f>
        <v>30170</v>
      </c>
      <c r="J152" s="26" t="n">
        <f aca="false">case!J249</f>
        <v>73030</v>
      </c>
      <c r="K152" s="26" t="n">
        <f aca="false">case!K249</f>
        <v>337274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-0.52033942349978</v>
      </c>
      <c r="C156" s="43" t="n">
        <f aca="false">C149/C148</f>
        <v>-0.592046261188733</v>
      </c>
      <c r="D156" s="43" t="n">
        <f aca="false">D149/D148</f>
        <v>-0.326495059167988</v>
      </c>
      <c r="E156" s="43" t="n">
        <f aca="false">E149/E148</f>
        <v>-0.305059228123806</v>
      </c>
      <c r="F156" s="43" t="n">
        <f aca="false">F149/F148</f>
        <v>-0.333087783916513</v>
      </c>
      <c r="G156" s="43" t="n">
        <f aca="false">G149/G148</f>
        <v>-0.327164595115785</v>
      </c>
      <c r="H156" s="43" t="n">
        <f aca="false">H149/H148</f>
        <v>-0.305059012578268</v>
      </c>
      <c r="I156" s="43" t="n">
        <f aca="false">I149/I148</f>
        <v>-0.291867151742753</v>
      </c>
      <c r="J156" s="43" t="n">
        <f aca="false">J149/J148</f>
        <v>-0.319435643195288</v>
      </c>
      <c r="K156" s="43" t="n">
        <f aca="false">K149/K148</f>
        <v>-0.327386436608315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56583.7902690601</v>
      </c>
      <c r="C157" s="26" t="n">
        <f aca="false">C156*C140</f>
        <v>58884.9211378313</v>
      </c>
      <c r="D157" s="26" t="n">
        <f aca="false">D156*D140</f>
        <v>10496.8161522508</v>
      </c>
      <c r="E157" s="26" t="n">
        <f aca="false">E156*E140</f>
        <v>8556.91134887275</v>
      </c>
      <c r="F157" s="26" t="n">
        <f aca="false">F156*F140</f>
        <v>12853.5244935543</v>
      </c>
      <c r="G157" s="26" t="n">
        <f aca="false">G156*G140</f>
        <v>12978.2923236481</v>
      </c>
      <c r="H157" s="26" t="n">
        <f aca="false">H156*H140</f>
        <v>11836.2896880368</v>
      </c>
      <c r="I157" s="26" t="n">
        <f aca="false">I156*I140</f>
        <v>14533.5248210304</v>
      </c>
      <c r="J157" s="26" t="n">
        <f aca="false">J156*J140</f>
        <v>19972.7135907854</v>
      </c>
      <c r="K157" s="26" t="n">
        <f aca="false">K156*K140</f>
        <v>19958.7867213893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4675137</v>
      </c>
      <c r="C162" s="26" t="n">
        <f aca="false">C102+(C21-C62)</f>
        <v>5156084</v>
      </c>
      <c r="D162" s="26" t="n">
        <f aca="false">D102+(D21-D62)</f>
        <v>4781828</v>
      </c>
      <c r="E162" s="26" t="n">
        <f aca="false">E102+(E21-E62)</f>
        <v>4491598</v>
      </c>
      <c r="F162" s="26" t="n">
        <f aca="false">F102+(F21-F62)</f>
        <v>4924080</v>
      </c>
      <c r="G162" s="26" t="n">
        <f aca="false">G102+(G21-G62)</f>
        <v>3476237</v>
      </c>
      <c r="H162" s="26" t="n">
        <f aca="false">H102+(H21-H62)</f>
        <v>3593368</v>
      </c>
      <c r="I162" s="26" t="n">
        <f aca="false">I102+(I21-I62)</f>
        <v>3364361</v>
      </c>
      <c r="J162" s="26" t="n">
        <f aca="false">J102+(J21-J62)</f>
        <v>2520576</v>
      </c>
      <c r="K162" s="26" t="n">
        <f aca="false">K102+(K21-K62)</f>
        <v>3201983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208796</v>
      </c>
      <c r="D4" s="51" t="n">
        <f aca="false">RC!C131</f>
        <v>157219</v>
      </c>
      <c r="E4" s="51" t="n">
        <f aca="false">RC!D131</f>
        <v>237075</v>
      </c>
      <c r="F4" s="51" t="n">
        <f aca="false">RC!E131</f>
        <v>158900</v>
      </c>
      <c r="G4" s="51" t="n">
        <f aca="false">RC!F131</f>
        <v>79314</v>
      </c>
      <c r="H4" s="51" t="n">
        <f aca="false">RC!G131</f>
        <v>101378</v>
      </c>
      <c r="I4" s="51" t="n">
        <f aca="false">RC!H131</f>
        <v>129035</v>
      </c>
      <c r="J4" s="51" t="n">
        <f aca="false">RC!I131</f>
        <v>92400</v>
      </c>
      <c r="K4" s="51" t="n">
        <f aca="false">RC!J131</f>
        <v>169833</v>
      </c>
      <c r="L4" s="51" t="n">
        <f aca="false">RC!K131</f>
        <v>562402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0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178212</v>
      </c>
      <c r="D6" s="51" t="n">
        <f aca="false">-RC!C124</f>
        <v>262884</v>
      </c>
      <c r="E6" s="51" t="n">
        <f aca="false">-RC!D124</f>
        <v>284679</v>
      </c>
      <c r="F6" s="51" t="n">
        <f aca="false">-RC!E124</f>
        <v>291427</v>
      </c>
      <c r="G6" s="51" t="n">
        <f aca="false">-RC!F124</f>
        <v>207100</v>
      </c>
      <c r="H6" s="51" t="n">
        <f aca="false">-RC!G124</f>
        <v>250219</v>
      </c>
      <c r="I6" s="51" t="n">
        <f aca="false">-RC!H124</f>
        <v>254982</v>
      </c>
      <c r="J6" s="51" t="n">
        <f aca="false">-RC!I124</f>
        <v>237401</v>
      </c>
      <c r="K6" s="51" t="n">
        <f aca="false">-RC!J124</f>
        <v>218776</v>
      </c>
      <c r="L6" s="51" t="n">
        <f aca="false">-RC!K124</f>
        <v>190385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-4522.79026906009</v>
      </c>
      <c r="D7" s="51" t="n">
        <f aca="false">-(RC!C149+RC!C157)</f>
        <v>-24688.9211378313</v>
      </c>
      <c r="E7" s="51" t="n">
        <f aca="false">-(RC!D149+RC!D157)</f>
        <v>56410.1838477492</v>
      </c>
      <c r="F7" s="51" t="n">
        <f aca="false">-(RC!E149+RC!E157)</f>
        <v>31360.0886511272</v>
      </c>
      <c r="G7" s="51" t="n">
        <f aca="false">-(RC!F149+RC!F157)</f>
        <v>711.475506445671</v>
      </c>
      <c r="H7" s="51" t="n">
        <f aca="false">-(RC!G149+RC!G157)</f>
        <v>7210.70767635191</v>
      </c>
      <c r="I7" s="51" t="n">
        <f aca="false">-(RC!H149+RC!H157)</f>
        <v>15690.7103119632</v>
      </c>
      <c r="J7" s="51" t="n">
        <f aca="false">-(RC!I149+RC!I157)</f>
        <v>-2098.52482103039</v>
      </c>
      <c r="K7" s="51" t="n">
        <f aca="false">-(RC!J149+RC!J157)</f>
        <v>14305.2864092146</v>
      </c>
      <c r="L7" s="51" t="n">
        <f aca="false">-(RC!K149+RC!K157)</f>
        <v>144205.213278611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391530.79026906</v>
      </c>
      <c r="D8" s="54" t="n">
        <f aca="false">D4+D5+D6-D7</f>
        <v>444791.921137831</v>
      </c>
      <c r="E8" s="54" t="n">
        <f aca="false">E4+E5+E6-E7</f>
        <v>465343.816152251</v>
      </c>
      <c r="F8" s="54" t="n">
        <f aca="false">F4+F5+F6-F7</f>
        <v>418966.911348873</v>
      </c>
      <c r="G8" s="54" t="n">
        <f aca="false">G4+G5+G6-G7</f>
        <v>285702.524493554</v>
      </c>
      <c r="H8" s="54" t="n">
        <f aca="false">H4+H5+H6-H7</f>
        <v>344386.292323648</v>
      </c>
      <c r="I8" s="54" t="n">
        <f aca="false">I4+I5+I6-I7</f>
        <v>368326.289688037</v>
      </c>
      <c r="J8" s="54" t="n">
        <f aca="false">J4+J5+J6-J7</f>
        <v>331899.52482103</v>
      </c>
      <c r="K8" s="54" t="n">
        <f aca="false">K4+K5+K6-K7</f>
        <v>374303.713590785</v>
      </c>
      <c r="L8" s="54" t="n">
        <f aca="false">L4+L5+L6-L7</f>
        <v>608581.786721389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25737</v>
      </c>
      <c r="D11" s="51" t="n">
        <f aca="false">-1*(RC!C5-RC!D5)</f>
        <v>-102862</v>
      </c>
      <c r="E11" s="51" t="n">
        <f aca="false">-1*(RC!D5-RC!E5)</f>
        <v>-184730</v>
      </c>
      <c r="F11" s="51" t="n">
        <f aca="false">-1*(RC!E5-RC!F5)</f>
        <v>-436547</v>
      </c>
      <c r="G11" s="51" t="n">
        <f aca="false">-1*(RC!F5-RC!G5)</f>
        <v>478144</v>
      </c>
      <c r="H11" s="51" t="n">
        <f aca="false">-1*(RC!G5-RC!H5)</f>
        <v>-186240</v>
      </c>
      <c r="I11" s="51" t="n">
        <f aca="false">-1*(RC!H5-RC!I5)</f>
        <v>-69176</v>
      </c>
      <c r="J11" s="51" t="n">
        <f aca="false">-1*(RC!I5-RC!J5)</f>
        <v>-137760</v>
      </c>
      <c r="K11" s="51" t="n">
        <f aca="false">-1*(RC!J5-RC!K5)</f>
        <v>57020</v>
      </c>
      <c r="L11" s="51" t="n">
        <f aca="false">-1*(RC!K5-RC!L5)</f>
        <v>-795525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187673</v>
      </c>
      <c r="D12" s="51" t="n">
        <f aca="false">-1*(RC!C6-RC!D6)</f>
        <v>-51950</v>
      </c>
      <c r="E12" s="51" t="n">
        <f aca="false">-1*(RC!D6-RC!E6)</f>
        <v>-493267</v>
      </c>
      <c r="F12" s="51" t="n">
        <f aca="false">-1*(RC!E6-RC!F6)</f>
        <v>202697</v>
      </c>
      <c r="G12" s="51" t="n">
        <f aca="false">-1*(RC!F6-RC!G6)</f>
        <v>-11860</v>
      </c>
      <c r="H12" s="51" t="n">
        <f aca="false">-1*(RC!G6-RC!H6)</f>
        <v>104855</v>
      </c>
      <c r="I12" s="51" t="n">
        <f aca="false">-1*(RC!H6-RC!I6)</f>
        <v>-105002</v>
      </c>
      <c r="J12" s="51" t="n">
        <f aca="false">-1*(RC!I6-RC!J6)</f>
        <v>-996728</v>
      </c>
      <c r="K12" s="51" t="n">
        <f aca="false">-1*(RC!J6-RC!K6)</f>
        <v>986831</v>
      </c>
      <c r="L12" s="51" t="n">
        <f aca="false">-1*(RC!K6-RC!L6)</f>
        <v>-986831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-2368</v>
      </c>
      <c r="D13" s="51" t="n">
        <f aca="false">-1*(RC!C7-RC!D7)</f>
        <v>-11573</v>
      </c>
      <c r="E13" s="51" t="n">
        <f aca="false">-1*(RC!D7-RC!E7)</f>
        <v>-871</v>
      </c>
      <c r="F13" s="51" t="n">
        <f aca="false">-1*(RC!E7-RC!F7)</f>
        <v>14673</v>
      </c>
      <c r="G13" s="51" t="n">
        <f aca="false">-1*(RC!F7-RC!G7)</f>
        <v>-7979</v>
      </c>
      <c r="H13" s="51" t="n">
        <f aca="false">-1*(RC!G7-RC!H7)</f>
        <v>10468</v>
      </c>
      <c r="I13" s="51" t="n">
        <f aca="false">-1*(RC!H7-RC!I7)</f>
        <v>3004</v>
      </c>
      <c r="J13" s="51" t="n">
        <f aca="false">-1*(RC!I7-RC!J7)</f>
        <v>5914</v>
      </c>
      <c r="K13" s="51" t="n">
        <f aca="false">-1*(RC!J7-RC!K7)</f>
        <v>112410</v>
      </c>
      <c r="L13" s="51" t="n">
        <f aca="false">-1*(RC!K7-RC!L7)</f>
        <v>-174082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-21295</v>
      </c>
      <c r="D14" s="51" t="n">
        <f aca="false">RC!C48-RC!D48</f>
        <v>-50421</v>
      </c>
      <c r="E14" s="51" t="n">
        <f aca="false">RC!D48-RC!E48</f>
        <v>254015</v>
      </c>
      <c r="F14" s="51" t="n">
        <f aca="false">RC!E48-RC!F48</f>
        <v>358296</v>
      </c>
      <c r="G14" s="51" t="n">
        <f aca="false">RC!F48-RC!G48</f>
        <v>-157223</v>
      </c>
      <c r="H14" s="51" t="n">
        <f aca="false">RC!G48-RC!H48</f>
        <v>59119</v>
      </c>
      <c r="I14" s="51" t="n">
        <f aca="false">RC!H48-RC!I48</f>
        <v>-112910</v>
      </c>
      <c r="J14" s="51" t="n">
        <f aca="false">RC!I48-RC!J48</f>
        <v>93044</v>
      </c>
      <c r="K14" s="51" t="n">
        <f aca="false">RC!J48-RC!K48</f>
        <v>-43235</v>
      </c>
      <c r="L14" s="51" t="n">
        <f aca="false">RC!K48-RC!L48</f>
        <v>622035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-32885</v>
      </c>
      <c r="D15" s="51" t="n">
        <f aca="false">RC!C50-RC!D50</f>
        <v>65057</v>
      </c>
      <c r="E15" s="51" t="n">
        <f aca="false">RC!D50-RC!E50</f>
        <v>-1718</v>
      </c>
      <c r="F15" s="51" t="n">
        <f aca="false">RC!E50-RC!F50</f>
        <v>-6546</v>
      </c>
      <c r="G15" s="51" t="n">
        <f aca="false">RC!F50-RC!G50</f>
        <v>9954</v>
      </c>
      <c r="H15" s="51" t="n">
        <f aca="false">RC!G50-RC!H50</f>
        <v>11759</v>
      </c>
      <c r="I15" s="51" t="n">
        <f aca="false">RC!H50-RC!I50</f>
        <v>24436</v>
      </c>
      <c r="J15" s="51" t="n">
        <f aca="false">RC!I50-RC!J50</f>
        <v>5953</v>
      </c>
      <c r="K15" s="51" t="n">
        <f aca="false">RC!J50-RC!K50</f>
        <v>74754</v>
      </c>
      <c r="L15" s="51" t="n">
        <f aca="false">RC!K50-RC!L50</f>
        <v>10699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148017</v>
      </c>
      <c r="D16" s="51" t="n">
        <f aca="false">-1*(RC!C21-RC!D21)</f>
        <v>-33072</v>
      </c>
      <c r="E16" s="51" t="n">
        <f aca="false">-1*(RC!D21-RC!E21)</f>
        <v>-29245</v>
      </c>
      <c r="F16" s="51" t="n">
        <f aca="false">-1*(RC!E21-RC!F21)</f>
        <v>18131</v>
      </c>
      <c r="G16" s="51" t="n">
        <f aca="false">-1*(RC!F21-RC!G21)</f>
        <v>-18995</v>
      </c>
      <c r="H16" s="51" t="n">
        <f aca="false">-1*(RC!G21-RC!H21)</f>
        <v>14386</v>
      </c>
      <c r="I16" s="51" t="n">
        <f aca="false">-1*(RC!H21-RC!I21)</f>
        <v>23935</v>
      </c>
      <c r="J16" s="51" t="n">
        <f aca="false">-1*(RC!I21-RC!J21)</f>
        <v>6141</v>
      </c>
      <c r="K16" s="51" t="n">
        <f aca="false">-1*(RC!J21-RC!K21)</f>
        <v>-77345</v>
      </c>
      <c r="L16" s="51" t="n">
        <f aca="false">-1*(RC!K21-RC!L21)</f>
        <v>-55816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-14928</v>
      </c>
      <c r="D17" s="51" t="n">
        <f aca="false">RC!C62-RC!D62</f>
        <v>19505</v>
      </c>
      <c r="E17" s="51" t="n">
        <f aca="false">RC!D62-RC!E62</f>
        <v>-4810</v>
      </c>
      <c r="F17" s="51" t="n">
        <f aca="false">RC!E62-RC!F62</f>
        <v>-9780</v>
      </c>
      <c r="G17" s="51" t="n">
        <f aca="false">RC!F62-RC!G62</f>
        <v>58179</v>
      </c>
      <c r="H17" s="51" t="n">
        <f aca="false">RC!G62-RC!H62</f>
        <v>5124</v>
      </c>
      <c r="I17" s="51" t="n">
        <f aca="false">RC!H62-RC!I62</f>
        <v>16020</v>
      </c>
      <c r="J17" s="51" t="n">
        <f aca="false">RC!I62-RC!J62</f>
        <v>-4728</v>
      </c>
      <c r="K17" s="51" t="n">
        <f aca="false">RC!J62-RC!K62</f>
        <v>5519</v>
      </c>
      <c r="L17" s="51" t="n">
        <f aca="false">RC!K62-RC!L62</f>
        <v>72790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289951</v>
      </c>
      <c r="D18" s="54" t="n">
        <f aca="false">SUM(D11:D17)</f>
        <v>-165316</v>
      </c>
      <c r="E18" s="54" t="n">
        <f aca="false">SUM(E11:E17)</f>
        <v>-460626</v>
      </c>
      <c r="F18" s="54" t="n">
        <f aca="false">SUM(F11:F17)</f>
        <v>140924</v>
      </c>
      <c r="G18" s="54" t="n">
        <f aca="false">SUM(G11:G17)</f>
        <v>350220</v>
      </c>
      <c r="H18" s="54" t="n">
        <f aca="false">SUM(H11:H17)</f>
        <v>19471</v>
      </c>
      <c r="I18" s="54" t="n">
        <f aca="false">SUM(I11:I17)</f>
        <v>-219693</v>
      </c>
      <c r="J18" s="54" t="n">
        <f aca="false">SUM(J11:J17)</f>
        <v>-1028164</v>
      </c>
      <c r="K18" s="54" t="n">
        <f aca="false">SUM(K11:K17)</f>
        <v>1115954</v>
      </c>
      <c r="L18" s="54" t="n">
        <f aca="false">SUM(L11:L17)</f>
        <v>-1306730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36035</v>
      </c>
      <c r="D19" s="51" t="n">
        <f aca="false">RC!C53-RC!D53</f>
        <v>-59027</v>
      </c>
      <c r="E19" s="51" t="n">
        <f aca="false">RC!D53-RC!E53</f>
        <v>17084</v>
      </c>
      <c r="F19" s="51" t="n">
        <f aca="false">RC!E53-RC!F53</f>
        <v>45405</v>
      </c>
      <c r="G19" s="51" t="n">
        <f aca="false">RC!F53-RC!G53</f>
        <v>-11755</v>
      </c>
      <c r="H19" s="51" t="n">
        <f aca="false">RC!G53-RC!H53</f>
        <v>19782</v>
      </c>
      <c r="I19" s="51" t="n">
        <f aca="false">RC!H53-RC!I53</f>
        <v>27971</v>
      </c>
      <c r="J19" s="51" t="n">
        <f aca="false">RC!I53-RC!J53</f>
        <v>-3122</v>
      </c>
      <c r="K19" s="51" t="n">
        <f aca="false">RC!J53-RC!K53</f>
        <v>26781</v>
      </c>
      <c r="L19" s="51" t="n">
        <f aca="false">RC!K53-RC!L53</f>
        <v>155271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15500</v>
      </c>
      <c r="D20" s="51" t="n">
        <f aca="false">-1*(RC!C15-RC!D15)</f>
        <v>25472</v>
      </c>
      <c r="E20" s="51" t="n">
        <f aca="false">-1*(RC!D15-RC!E15)</f>
        <v>70928</v>
      </c>
      <c r="F20" s="51" t="n">
        <f aca="false">-1*(RC!E15-RC!F15)</f>
        <v>-0</v>
      </c>
      <c r="G20" s="51" t="n">
        <f aca="false">-1*(RC!F15-RC!G15)</f>
        <v>600</v>
      </c>
      <c r="H20" s="51" t="n">
        <f aca="false">-1*(RC!G15-RC!H15)</f>
        <v>28186</v>
      </c>
      <c r="I20" s="51" t="n">
        <f aca="false">-1*(RC!H15-RC!I15)</f>
        <v>-99282</v>
      </c>
      <c r="J20" s="51" t="n">
        <f aca="false">-1*(RC!I15-RC!J15)</f>
        <v>99763</v>
      </c>
      <c r="K20" s="51" t="n">
        <f aca="false">-1*(RC!J15-RC!K15)</f>
        <v>-202667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-92230</v>
      </c>
      <c r="L21" s="51" t="n">
        <f aca="false">RC!K54-RC!L54</f>
        <v>93230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341486</v>
      </c>
      <c r="D22" s="51" t="n">
        <f aca="false">SUM(D18:D21)</f>
        <v>-198871</v>
      </c>
      <c r="E22" s="51" t="n">
        <f aca="false">SUM(E18:E21)</f>
        <v>-372614</v>
      </c>
      <c r="F22" s="51" t="n">
        <f aca="false">SUM(F18:F21)</f>
        <v>186329</v>
      </c>
      <c r="G22" s="51" t="n">
        <f aca="false">SUM(G18:G21)</f>
        <v>339065</v>
      </c>
      <c r="H22" s="51" t="n">
        <f aca="false">SUM(H18:H21)</f>
        <v>67439</v>
      </c>
      <c r="I22" s="51" t="n">
        <f aca="false">SUM(I18:I21)</f>
        <v>-291004</v>
      </c>
      <c r="J22" s="51" t="n">
        <f aca="false">SUM(J18:J21)</f>
        <v>-931523</v>
      </c>
      <c r="K22" s="51" t="n">
        <f aca="false">SUM(K18:K21)</f>
        <v>847838</v>
      </c>
      <c r="L22" s="51" t="n">
        <f aca="false">SUM(L18:L21)</f>
        <v>-1058229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733016.79026906</v>
      </c>
      <c r="D23" s="54" t="n">
        <f aca="false">D8+D22</f>
        <v>245920.921137831</v>
      </c>
      <c r="E23" s="54" t="n">
        <f aca="false">E8+E22</f>
        <v>92729.8161522508</v>
      </c>
      <c r="F23" s="54" t="n">
        <f aca="false">F8+F22</f>
        <v>605295.911348873</v>
      </c>
      <c r="G23" s="54" t="n">
        <f aca="false">G8+G22</f>
        <v>624767.524493554</v>
      </c>
      <c r="H23" s="54" t="n">
        <f aca="false">H8+H22</f>
        <v>411825.292323648</v>
      </c>
      <c r="I23" s="54" t="n">
        <f aca="false">I8+I22</f>
        <v>77322.2896880368</v>
      </c>
      <c r="J23" s="54" t="n">
        <f aca="false">J8+J22</f>
        <v>-599623.47517897</v>
      </c>
      <c r="K23" s="54" t="n">
        <f aca="false">K8+K22</f>
        <v>1222141.71359079</v>
      </c>
      <c r="L23" s="54" t="n">
        <f aca="false">L8+L22</f>
        <v>-449647.213278611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139461</v>
      </c>
      <c r="D25" s="51" t="n">
        <f aca="false">-1*(RC!C12-RC!D12)</f>
        <v>-175385</v>
      </c>
      <c r="E25" s="51" t="n">
        <f aca="false">-1*(RC!D12-RC!E12)</f>
        <v>82384</v>
      </c>
      <c r="F25" s="51" t="n">
        <f aca="false">-1*(RC!E12-RC!F12)</f>
        <v>246153</v>
      </c>
      <c r="G25" s="51" t="n">
        <f aca="false">-1*(RC!F12-RC!G12)</f>
        <v>-1786908</v>
      </c>
      <c r="H25" s="51" t="n">
        <f aca="false">-1*(RC!G12-RC!H12)</f>
        <v>49692</v>
      </c>
      <c r="I25" s="51" t="n">
        <f aca="false">-1*(RC!H12-RC!I12)</f>
        <v>61997</v>
      </c>
      <c r="J25" s="51" t="n">
        <f aca="false">-1*(RC!I12-RC!J12)</f>
        <v>87738</v>
      </c>
      <c r="K25" s="51" t="n">
        <f aca="false">-1*(RC!J12-RC!K12)</f>
        <v>-166431</v>
      </c>
      <c r="L25" s="51" t="n">
        <f aca="false">-1*(RC!K12-RC!L12)</f>
        <v>-2143754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-15000</v>
      </c>
      <c r="D26" s="51" t="n">
        <f aca="false">-1*(RC!C27-RC!D27)</f>
        <v>-25000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-0</v>
      </c>
      <c r="H26" s="51" t="n">
        <f aca="false">-1*(RC!G27-RC!H27)</f>
        <v>-30000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-0</v>
      </c>
      <c r="L26" s="51" t="n">
        <f aca="false">-1*(RC!K27-RC!L27)</f>
        <v>-2000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-178212</v>
      </c>
      <c r="D28" s="51" t="n">
        <f aca="false">RC!C124</f>
        <v>-262884</v>
      </c>
      <c r="E28" s="51" t="n">
        <f aca="false">RC!D124</f>
        <v>-284679</v>
      </c>
      <c r="F28" s="51" t="n">
        <f aca="false">RC!E124</f>
        <v>-291427</v>
      </c>
      <c r="G28" s="51" t="n">
        <f aca="false">RC!F124</f>
        <v>-207100</v>
      </c>
      <c r="H28" s="51" t="n">
        <f aca="false">RC!G124</f>
        <v>-250219</v>
      </c>
      <c r="I28" s="51" t="n">
        <f aca="false">RC!H124</f>
        <v>-254982</v>
      </c>
      <c r="J28" s="51" t="n">
        <f aca="false">RC!I124</f>
        <v>-237401</v>
      </c>
      <c r="K28" s="51" t="n">
        <f aca="false">RC!J124</f>
        <v>-218776</v>
      </c>
      <c r="L28" s="51" t="n">
        <f aca="false">RC!K124</f>
        <v>-190385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1841883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-53751</v>
      </c>
      <c r="D30" s="54" t="n">
        <f aca="false">SUM(D25:D29)</f>
        <v>-463269</v>
      </c>
      <c r="E30" s="54" t="n">
        <f aca="false">SUM(E25:E29)</f>
        <v>-202295</v>
      </c>
      <c r="F30" s="54" t="n">
        <f aca="false">SUM(F25:F29)</f>
        <v>-45274</v>
      </c>
      <c r="G30" s="54" t="n">
        <f aca="false">SUM(G25:G29)</f>
        <v>-152125</v>
      </c>
      <c r="H30" s="54" t="n">
        <f aca="false">SUM(H25:H29)</f>
        <v>-230527</v>
      </c>
      <c r="I30" s="54" t="n">
        <f aca="false">SUM(I25:I29)</f>
        <v>-192985</v>
      </c>
      <c r="J30" s="54" t="n">
        <f aca="false">SUM(J25:J29)</f>
        <v>-149663</v>
      </c>
      <c r="K30" s="54" t="n">
        <f aca="false">SUM(K25:K29)</f>
        <v>-385207</v>
      </c>
      <c r="L30" s="54" t="n">
        <f aca="false">SUM(L25:L29)</f>
        <v>-2336139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679265.79026906</v>
      </c>
      <c r="D31" s="54" t="n">
        <f aca="false">D23+D30</f>
        <v>-217348.078862169</v>
      </c>
      <c r="E31" s="54" t="n">
        <f aca="false">E23+E30</f>
        <v>-109565.183847749</v>
      </c>
      <c r="F31" s="54" t="n">
        <f aca="false">F23+F30</f>
        <v>560021.911348873</v>
      </c>
      <c r="G31" s="54" t="n">
        <f aca="false">G23+G30</f>
        <v>472642.524493554</v>
      </c>
      <c r="H31" s="54" t="n">
        <f aca="false">H23+H30</f>
        <v>181298.292323648</v>
      </c>
      <c r="I31" s="54" t="n">
        <f aca="false">I23+I30</f>
        <v>-115662.710311963</v>
      </c>
      <c r="J31" s="54" t="n">
        <f aca="false">J23+J30</f>
        <v>-749286.47517897</v>
      </c>
      <c r="K31" s="54" t="n">
        <f aca="false">K23+K30</f>
        <v>836934.713590785</v>
      </c>
      <c r="L31" s="54" t="n">
        <f aca="false">L23+L30</f>
        <v>-2785786.21327861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-108744</v>
      </c>
      <c r="D34" s="51" t="n">
        <f aca="false">RC!C140</f>
        <v>-99460</v>
      </c>
      <c r="E34" s="51" t="n">
        <f aca="false">RC!D140</f>
        <v>-32150</v>
      </c>
      <c r="F34" s="51" t="n">
        <f aca="false">RC!E140</f>
        <v>-28050</v>
      </c>
      <c r="G34" s="51" t="n">
        <f aca="false">RC!F140</f>
        <v>-38589</v>
      </c>
      <c r="H34" s="51" t="n">
        <f aca="false">RC!G140</f>
        <v>-39669</v>
      </c>
      <c r="I34" s="51" t="n">
        <f aca="false">RC!H140</f>
        <v>-38800</v>
      </c>
      <c r="J34" s="51" t="n">
        <f aca="false">RC!I140</f>
        <v>-49795</v>
      </c>
      <c r="K34" s="51" t="n">
        <f aca="false">RC!J140</f>
        <v>-62525</v>
      </c>
      <c r="L34" s="51" t="n">
        <f aca="false">RC!K140</f>
        <v>-60964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-56583.7902690601</v>
      </c>
      <c r="D35" s="51" t="n">
        <f aca="false">-RC!C157</f>
        <v>-58884.9211378313</v>
      </c>
      <c r="E35" s="51" t="n">
        <f aca="false">-RC!D157</f>
        <v>-10496.8161522508</v>
      </c>
      <c r="F35" s="51" t="n">
        <f aca="false">-RC!E157</f>
        <v>-8556.91134887275</v>
      </c>
      <c r="G35" s="51" t="n">
        <f aca="false">-RC!F157</f>
        <v>-12853.5244935543</v>
      </c>
      <c r="H35" s="51" t="n">
        <f aca="false">-RC!G157</f>
        <v>-12978.2923236481</v>
      </c>
      <c r="I35" s="51" t="n">
        <f aca="false">-RC!H157</f>
        <v>-11836.2896880368</v>
      </c>
      <c r="J35" s="51" t="n">
        <f aca="false">-RC!I157</f>
        <v>-14533.5248210304</v>
      </c>
      <c r="K35" s="51" t="n">
        <f aca="false">-RC!J157</f>
        <v>-19972.7135907854</v>
      </c>
      <c r="L35" s="51" t="n">
        <f aca="false">-RC!K157</f>
        <v>-19958.7867213893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-397980</v>
      </c>
      <c r="D37" s="51" t="n">
        <f aca="false">RC!C69-RC!D69</f>
        <v>-71552</v>
      </c>
      <c r="E37" s="51" t="n">
        <f aca="false">RC!D69-RC!E69</f>
        <v>-174005</v>
      </c>
      <c r="F37" s="51" t="n">
        <f aca="false">RC!E69-RC!F69</f>
        <v>-355160</v>
      </c>
      <c r="G37" s="51" t="n">
        <f aca="false">RC!F69-RC!G69</f>
        <v>972860</v>
      </c>
      <c r="H37" s="51" t="n">
        <f aca="false">RC!G69-RC!H69</f>
        <v>-213085</v>
      </c>
      <c r="I37" s="51" t="n">
        <f aca="false">RC!H69-RC!I69</f>
        <v>-174648</v>
      </c>
      <c r="J37" s="51" t="n">
        <f aca="false">RC!I69-RC!J69</f>
        <v>-204221</v>
      </c>
      <c r="K37" s="51" t="n">
        <f aca="false">RC!J69-RC!K69</f>
        <v>62936</v>
      </c>
      <c r="L37" s="51" t="n">
        <f aca="false">RC!K69-RC!L69</f>
        <v>1316760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-67348</v>
      </c>
      <c r="D38" s="51" t="n">
        <f aca="false">RC!C70-RC!D70</f>
        <v>484822</v>
      </c>
      <c r="E38" s="51" t="n">
        <f aca="false">RC!D70-RC!E70</f>
        <v>59092</v>
      </c>
      <c r="F38" s="51" t="n">
        <f aca="false">RC!E70-RC!F70</f>
        <v>-213288</v>
      </c>
      <c r="G38" s="51" t="n">
        <f aca="false">RC!F70-RC!G70</f>
        <v>-1040287</v>
      </c>
      <c r="H38" s="51" t="n">
        <f aca="false">RC!G70-RC!H70</f>
        <v>88378</v>
      </c>
      <c r="I38" s="51" t="n">
        <f aca="false">RC!H70-RC!I70</f>
        <v>271553</v>
      </c>
      <c r="J38" s="51" t="n">
        <f aca="false">RC!I70-RC!J70</f>
        <v>59944</v>
      </c>
      <c r="K38" s="51" t="n">
        <f aca="false">RC!J70-RC!K70</f>
        <v>230798</v>
      </c>
      <c r="L38" s="51" t="n">
        <f aca="false">RC!K70-RC!L70</f>
        <v>886758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-630655.79026906</v>
      </c>
      <c r="D40" s="54" t="n">
        <f aca="false">SUM(D34:D39)</f>
        <v>254925.078862169</v>
      </c>
      <c r="E40" s="54" t="n">
        <f aca="false">SUM(E34:E39)</f>
        <v>-157559.816152251</v>
      </c>
      <c r="F40" s="54" t="n">
        <f aca="false">SUM(F34:F39)</f>
        <v>-605054.911348873</v>
      </c>
      <c r="G40" s="54" t="n">
        <f aca="false">SUM(G34:G39)</f>
        <v>-118869.524493554</v>
      </c>
      <c r="H40" s="54" t="n">
        <f aca="false">SUM(H34:H39)</f>
        <v>-177354.292323648</v>
      </c>
      <c r="I40" s="54" t="n">
        <f aca="false">SUM(I34:I39)</f>
        <v>46268.7103119632</v>
      </c>
      <c r="J40" s="54" t="n">
        <f aca="false">SUM(J34:J39)</f>
        <v>-208605.52482103</v>
      </c>
      <c r="K40" s="54" t="n">
        <f aca="false">SUM(K34:K39)</f>
        <v>211236.286409215</v>
      </c>
      <c r="L40" s="54" t="n">
        <f aca="false">SUM(L34:L39)</f>
        <v>2122595.21327861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48610</v>
      </c>
      <c r="D41" s="54" t="n">
        <f aca="false">D31+D40</f>
        <v>37577</v>
      </c>
      <c r="E41" s="54" t="n">
        <f aca="false">E31+E40</f>
        <v>-267125</v>
      </c>
      <c r="F41" s="54" t="n">
        <f aca="false">F31+F40</f>
        <v>-45032.9999999999</v>
      </c>
      <c r="G41" s="54" t="n">
        <f aca="false">G31+G40</f>
        <v>353773</v>
      </c>
      <c r="H41" s="54" t="n">
        <f aca="false">H31+H40</f>
        <v>3944.00000000003</v>
      </c>
      <c r="I41" s="54" t="n">
        <f aca="false">I31+I40</f>
        <v>-69394</v>
      </c>
      <c r="J41" s="54" t="n">
        <f aca="false">J31+J40</f>
        <v>-957892</v>
      </c>
      <c r="K41" s="54" t="n">
        <f aca="false">K31+K40</f>
        <v>1048171</v>
      </c>
      <c r="L41" s="54" t="n">
        <f aca="false">L31+L40</f>
        <v>-663191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1395828</v>
      </c>
      <c r="D43" s="51" t="n">
        <f aca="false">RC!C79</f>
        <v>1372267</v>
      </c>
      <c r="E43" s="51" t="n">
        <f aca="false">RC!D79</f>
        <v>1234248</v>
      </c>
      <c r="F43" s="51" t="n">
        <f aca="false">RC!E79</f>
        <v>1143314</v>
      </c>
      <c r="G43" s="51" t="n">
        <f aca="false">RC!F79</f>
        <v>1116155</v>
      </c>
      <c r="H43" s="51" t="n">
        <f aca="false">RC!G79</f>
        <v>1074635</v>
      </c>
      <c r="I43" s="51" t="n">
        <f aca="false">RC!H79</f>
        <v>1011927</v>
      </c>
      <c r="J43" s="51" t="n">
        <f aca="false">RC!I79</f>
        <v>981757</v>
      </c>
      <c r="K43" s="51" t="n">
        <f aca="false">RC!J79</f>
        <v>908727</v>
      </c>
      <c r="L43" s="51" t="n">
        <f aca="false">RC!K79</f>
        <v>571453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0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0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0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110000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1395828</v>
      </c>
      <c r="D48" s="54" t="n">
        <f aca="false">SUM(D43:D47)</f>
        <v>1372267</v>
      </c>
      <c r="E48" s="54" t="n">
        <f aca="false">SUM(E43:E47)</f>
        <v>1234248</v>
      </c>
      <c r="F48" s="54" t="n">
        <f aca="false">SUM(F43:F47)</f>
        <v>1143314</v>
      </c>
      <c r="G48" s="54" t="n">
        <f aca="false">SUM(G43:G47)</f>
        <v>1116155</v>
      </c>
      <c r="H48" s="54" t="n">
        <f aca="false">SUM(H43:H47)</f>
        <v>1074635</v>
      </c>
      <c r="I48" s="54" t="n">
        <f aca="false">SUM(I43:I47)</f>
        <v>1011927</v>
      </c>
      <c r="J48" s="54" t="n">
        <f aca="false">SUM(J43:J47)</f>
        <v>981757</v>
      </c>
      <c r="K48" s="54" t="n">
        <f aca="false">SUM(K43:K47)</f>
        <v>908727</v>
      </c>
      <c r="L48" s="54" t="n">
        <f aca="false">SUM(L43:L47)</f>
        <v>681453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1444438</v>
      </c>
      <c r="D49" s="54" t="n">
        <f aca="false">D41+D48</f>
        <v>1409844</v>
      </c>
      <c r="E49" s="54" t="n">
        <f aca="false">E41+E48</f>
        <v>967123</v>
      </c>
      <c r="F49" s="54" t="n">
        <f aca="false">F41+F48</f>
        <v>1098281</v>
      </c>
      <c r="G49" s="54" t="n">
        <f aca="false">G41+G48</f>
        <v>1469928</v>
      </c>
      <c r="H49" s="54" t="n">
        <f aca="false">H41+H48</f>
        <v>1078579</v>
      </c>
      <c r="I49" s="54" t="n">
        <f aca="false">I41+I48</f>
        <v>942533</v>
      </c>
      <c r="J49" s="54" t="n">
        <f aca="false">J41+J48</f>
        <v>23865</v>
      </c>
      <c r="K49" s="54" t="n">
        <f aca="false">K41+K48</f>
        <v>1956898</v>
      </c>
      <c r="L49" s="54" t="n">
        <f aca="false">L41+L48</f>
        <v>18262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48608</v>
      </c>
      <c r="D52" s="51" t="n">
        <f aca="false">RC!C31-RC!D31</f>
        <v>37578</v>
      </c>
      <c r="E52" s="51" t="n">
        <f aca="false">RC!D31-RC!E31</f>
        <v>-267124</v>
      </c>
      <c r="F52" s="51" t="n">
        <f aca="false">RC!E31-RC!F31</f>
        <v>-45034</v>
      </c>
      <c r="G52" s="51" t="n">
        <f aca="false">RC!F31-RC!G31</f>
        <v>353773</v>
      </c>
      <c r="H52" s="51" t="n">
        <f aca="false">RC!G31-RC!H31</f>
        <v>3944</v>
      </c>
      <c r="I52" s="51" t="n">
        <f aca="false">RC!H31-RC!I31</f>
        <v>-69394</v>
      </c>
      <c r="J52" s="51" t="n">
        <f aca="false">RC!I31-RC!J31</f>
        <v>108541</v>
      </c>
      <c r="K52" s="51" t="n">
        <f aca="false">RC!J31-RC!K31</f>
        <v>0</v>
      </c>
      <c r="L52" s="51" t="n">
        <f aca="false">RC!K31-RC!L31</f>
        <v>0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48608</v>
      </c>
      <c r="D54" s="51" t="n">
        <f aca="false">D52+D53</f>
        <v>37578</v>
      </c>
      <c r="E54" s="51" t="n">
        <f aca="false">E52+E53</f>
        <v>-267124</v>
      </c>
      <c r="F54" s="51" t="n">
        <f aca="false">F52+F53</f>
        <v>-45034</v>
      </c>
      <c r="G54" s="51" t="n">
        <f aca="false">G52+G53</f>
        <v>353773</v>
      </c>
      <c r="H54" s="51" t="n">
        <f aca="false">H52+H53</f>
        <v>3944</v>
      </c>
      <c r="I54" s="51" t="n">
        <f aca="false">I52+I53</f>
        <v>-69394</v>
      </c>
      <c r="J54" s="51" t="n">
        <f aca="false">J52+J53</f>
        <v>108541</v>
      </c>
      <c r="K54" s="51" t="n">
        <f aca="false">K52+K53</f>
        <v>0</v>
      </c>
      <c r="L54" s="51" t="n">
        <f aca="false">L52+L53</f>
        <v>0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1444438</v>
      </c>
      <c r="D55" s="54" t="n">
        <f aca="false">D49</f>
        <v>1409844</v>
      </c>
      <c r="E55" s="54" t="n">
        <f aca="false">E49</f>
        <v>967123</v>
      </c>
      <c r="F55" s="54" t="n">
        <f aca="false">F49</f>
        <v>1098281</v>
      </c>
      <c r="G55" s="54" t="n">
        <f aca="false">G49</f>
        <v>1469928</v>
      </c>
      <c r="H55" s="54" t="n">
        <f aca="false">H49</f>
        <v>1078579</v>
      </c>
      <c r="I55" s="54" t="n">
        <f aca="false">I49</f>
        <v>942533</v>
      </c>
      <c r="J55" s="54" t="n">
        <f aca="false">J49</f>
        <v>23865</v>
      </c>
      <c r="K55" s="54" t="n">
        <f aca="false">K49</f>
        <v>1956898</v>
      </c>
      <c r="L55" s="54" t="n">
        <f aca="false">L49</f>
        <v>18262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-1395830</v>
      </c>
      <c r="D56" s="54" t="n">
        <f aca="false">D54-D55</f>
        <v>-1372266</v>
      </c>
      <c r="E56" s="54" t="n">
        <f aca="false">E54-E55</f>
        <v>-1234247</v>
      </c>
      <c r="F56" s="54" t="n">
        <f aca="false">F54-F55</f>
        <v>-1143315</v>
      </c>
      <c r="G56" s="54" t="n">
        <f aca="false">G54-G55</f>
        <v>-1116155</v>
      </c>
      <c r="H56" s="54" t="n">
        <f aca="false">H54-H55</f>
        <v>-1074635</v>
      </c>
      <c r="I56" s="54" t="n">
        <f aca="false">I54-I55</f>
        <v>-1011927</v>
      </c>
      <c r="J56" s="54" t="n">
        <f aca="false">J54-J55</f>
        <v>84676</v>
      </c>
      <c r="K56" s="54" t="n">
        <f aca="false">K54-K55</f>
        <v>-1956898</v>
      </c>
      <c r="L56" s="54" t="n">
        <f aca="false">L54-L55</f>
        <v>-18262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391530.79026906</v>
      </c>
      <c r="D58" s="51" t="n">
        <f aca="false">D8</f>
        <v>444791.921137831</v>
      </c>
      <c r="E58" s="51" t="n">
        <f aca="false">E8</f>
        <v>465343.816152251</v>
      </c>
      <c r="F58" s="51" t="n">
        <f aca="false">F8</f>
        <v>418966.911348873</v>
      </c>
      <c r="G58" s="51" t="n">
        <f aca="false">G8</f>
        <v>285702.524493554</v>
      </c>
      <c r="H58" s="51" t="n">
        <f aca="false">H8</f>
        <v>344386.292323648</v>
      </c>
      <c r="I58" s="51" t="n">
        <f aca="false">I8</f>
        <v>368326.289688037</v>
      </c>
      <c r="J58" s="51" t="n">
        <f aca="false">J8</f>
        <v>331899.52482103</v>
      </c>
      <c r="K58" s="51" t="n">
        <f aca="false">K8</f>
        <v>374303.713590785</v>
      </c>
      <c r="L58" s="51" t="n">
        <f aca="false">L8</f>
        <v>608581.786721389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-178212</v>
      </c>
      <c r="D59" s="51" t="n">
        <f aca="false">-D6</f>
        <v>-262884</v>
      </c>
      <c r="E59" s="51" t="n">
        <f aca="false">-E6</f>
        <v>-284679</v>
      </c>
      <c r="F59" s="51" t="n">
        <f aca="false">-F6</f>
        <v>-291427</v>
      </c>
      <c r="G59" s="51" t="n">
        <f aca="false">-G6</f>
        <v>-207100</v>
      </c>
      <c r="H59" s="51" t="n">
        <f aca="false">-H6</f>
        <v>-250219</v>
      </c>
      <c r="I59" s="51" t="n">
        <f aca="false">-I6</f>
        <v>-254982</v>
      </c>
      <c r="J59" s="51" t="n">
        <f aca="false">-J6</f>
        <v>-237401</v>
      </c>
      <c r="K59" s="51" t="n">
        <f aca="false">-K6</f>
        <v>-218776</v>
      </c>
      <c r="L59" s="51" t="n">
        <f aca="false">-L6</f>
        <v>-190385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480947</v>
      </c>
      <c r="D60" s="51" t="n">
        <f aca="false">(RC!C162-RC!D162)*-1</f>
        <v>-374256</v>
      </c>
      <c r="E60" s="51" t="n">
        <f aca="false">(RC!D162-RC!E162)*-1</f>
        <v>-290230</v>
      </c>
      <c r="F60" s="51" t="n">
        <f aca="false">(RC!E162-RC!F162)*-1</f>
        <v>432482</v>
      </c>
      <c r="G60" s="51" t="n">
        <f aca="false">(RC!F162-RC!G162)*-1</f>
        <v>-1447843</v>
      </c>
      <c r="H60" s="51" t="n">
        <f aca="false">(RC!G162-RC!H162)*-1</f>
        <v>117131</v>
      </c>
      <c r="I60" s="51" t="n">
        <f aca="false">(RC!H162-RC!I162)*-1</f>
        <v>-229007</v>
      </c>
      <c r="J60" s="51" t="n">
        <f aca="false">(RC!I162-RC!J162)*-1</f>
        <v>-843785</v>
      </c>
      <c r="K60" s="51" t="n">
        <f aca="false">(RC!J162-RC!K162)*-1</f>
        <v>681407</v>
      </c>
      <c r="L60" s="51" t="n">
        <f aca="false">(RC!K162-RC!L162)*-1</f>
        <v>-3201983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-15000</v>
      </c>
      <c r="D61" s="51" t="n">
        <f aca="false">(RC!C27-RC!D27)*-1</f>
        <v>-25000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-0</v>
      </c>
      <c r="H61" s="51" t="n">
        <f aca="false">(RC!G27-RC!H27)*-1</f>
        <v>-30000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-0</v>
      </c>
      <c r="L61" s="51" t="n">
        <f aca="false">(RC!K27-RC!L27)*-1</f>
        <v>-2000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1841883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679265.79026906</v>
      </c>
      <c r="D64" s="51" t="n">
        <f aca="false">SUM(D58:D63)</f>
        <v>-217348.078862169</v>
      </c>
      <c r="E64" s="51" t="n">
        <f aca="false">SUM(E58:E63)</f>
        <v>-109565.183847749</v>
      </c>
      <c r="F64" s="51" t="n">
        <f aca="false">SUM(F58:F63)</f>
        <v>560021.911348873</v>
      </c>
      <c r="G64" s="51" t="n">
        <f aca="false">SUM(G58:G63)</f>
        <v>472642.524493554</v>
      </c>
      <c r="H64" s="51" t="n">
        <f aca="false">SUM(H58:H63)</f>
        <v>181298.292323648</v>
      </c>
      <c r="I64" s="51" t="n">
        <f aca="false">SUM(I58:I63)</f>
        <v>-115662.710311963</v>
      </c>
      <c r="J64" s="51" t="n">
        <f aca="false">SUM(J58:J63)</f>
        <v>-749286.47517897</v>
      </c>
      <c r="K64" s="51" t="n">
        <f aca="false">SUM(K58:K63)</f>
        <v>836934.713590785</v>
      </c>
      <c r="L64" s="51" t="n">
        <f aca="false">SUM(L58:L63)</f>
        <v>-2785786.21327861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679265.79026906</v>
      </c>
      <c r="D65" s="54" t="n">
        <f aca="false">D31</f>
        <v>-217348.078862169</v>
      </c>
      <c r="E65" s="54" t="n">
        <f aca="false">E31</f>
        <v>-109565.183847749</v>
      </c>
      <c r="F65" s="54" t="n">
        <f aca="false">F31</f>
        <v>560021.911348873</v>
      </c>
      <c r="G65" s="54" t="n">
        <f aca="false">G31</f>
        <v>472642.524493554</v>
      </c>
      <c r="H65" s="54" t="n">
        <f aca="false">H31</f>
        <v>181298.292323648</v>
      </c>
      <c r="I65" s="54" t="n">
        <f aca="false">I31</f>
        <v>-115662.710311963</v>
      </c>
      <c r="J65" s="54" t="n">
        <f aca="false">J31</f>
        <v>-749286.47517897</v>
      </c>
      <c r="K65" s="54" t="n">
        <f aca="false">K31</f>
        <v>836934.713590785</v>
      </c>
      <c r="L65" s="54" t="n">
        <f aca="false">L31</f>
        <v>-2785786.21327861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47991</v>
      </c>
      <c r="D68" s="51" t="n">
        <f aca="false">RC!C150</f>
        <v>23563</v>
      </c>
      <c r="E68" s="51" t="n">
        <f aca="false">RC!D150</f>
        <v>138018</v>
      </c>
      <c r="F68" s="51" t="n">
        <f aca="false">RC!E150</f>
        <v>90933</v>
      </c>
      <c r="G68" s="51" t="n">
        <f aca="false">RC!F150</f>
        <v>27160</v>
      </c>
      <c r="H68" s="51" t="n">
        <f aca="false">RC!G150</f>
        <v>41520</v>
      </c>
      <c r="I68" s="51" t="n">
        <f aca="false">RC!H150</f>
        <v>62708</v>
      </c>
      <c r="J68" s="51" t="n">
        <f aca="false">RC!I150</f>
        <v>30170</v>
      </c>
      <c r="K68" s="51" t="n">
        <f aca="false">RC!J150</f>
        <v>73030</v>
      </c>
      <c r="L68" s="51" t="n">
        <f aca="false">RC!K150</f>
        <v>337274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465947</v>
      </c>
      <c r="D69" s="51" t="n">
        <f aca="false">SUM(D60:D63)</f>
        <v>-399256</v>
      </c>
      <c r="E69" s="51" t="n">
        <f aca="false">SUM(E60:E63)</f>
        <v>-290230</v>
      </c>
      <c r="F69" s="51" t="n">
        <f aca="false">SUM(F60:F63)</f>
        <v>432482</v>
      </c>
      <c r="G69" s="51" t="n">
        <f aca="false">SUM(G60:G63)</f>
        <v>394040</v>
      </c>
      <c r="H69" s="51" t="n">
        <f aca="false">SUM(H60:H63)</f>
        <v>87131</v>
      </c>
      <c r="I69" s="51" t="n">
        <f aca="false">SUM(I60:I63)</f>
        <v>-229007</v>
      </c>
      <c r="J69" s="51" t="n">
        <f aca="false">SUM(J60:J63)</f>
        <v>-843785</v>
      </c>
      <c r="K69" s="51" t="n">
        <f aca="false">SUM(K60:K63)</f>
        <v>681407</v>
      </c>
      <c r="L69" s="51" t="n">
        <f aca="false">SUM(L60:L63)</f>
        <v>-3203983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-465328</v>
      </c>
      <c r="D70" s="51" t="n">
        <f aca="false">SUM(D71:D74)</f>
        <v>413270</v>
      </c>
      <c r="E70" s="51" t="n">
        <f aca="false">SUM(E71:E74)</f>
        <v>-114913</v>
      </c>
      <c r="F70" s="51" t="n">
        <f aca="false">SUM(F71:F74)</f>
        <v>-568448</v>
      </c>
      <c r="G70" s="51" t="n">
        <f aca="false">SUM(G71:G74)</f>
        <v>-67427</v>
      </c>
      <c r="H70" s="51" t="n">
        <f aca="false">SUM(H71:H74)</f>
        <v>-124707</v>
      </c>
      <c r="I70" s="51" t="n">
        <f aca="false">SUM(I71:I74)</f>
        <v>96905</v>
      </c>
      <c r="J70" s="51" t="n">
        <f aca="false">SUM(J71:J74)</f>
        <v>-144277</v>
      </c>
      <c r="K70" s="51" t="n">
        <f aca="false">SUM(K71:K74)</f>
        <v>293734</v>
      </c>
      <c r="L70" s="51" t="n">
        <f aca="false">SUM(L71:L74)</f>
        <v>2203518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-465328</v>
      </c>
      <c r="D71" s="51" t="n">
        <f aca="false">RC!C69+RC!C70-RC!D69-RC!D70</f>
        <v>413270</v>
      </c>
      <c r="E71" s="51" t="n">
        <f aca="false">RC!D69+RC!D70-RC!E69-RC!E70</f>
        <v>-114913</v>
      </c>
      <c r="F71" s="51" t="n">
        <f aca="false">RC!E69+RC!E70-RC!F69-RC!F70</f>
        <v>-568448</v>
      </c>
      <c r="G71" s="51" t="n">
        <f aca="false">RC!F69+RC!F70-RC!G69-RC!G70</f>
        <v>-67427</v>
      </c>
      <c r="H71" s="51" t="n">
        <f aca="false">RC!G69+RC!G70-RC!H69-RC!H70</f>
        <v>-124707</v>
      </c>
      <c r="I71" s="51" t="n">
        <f aca="false">RC!H69+RC!H70-RC!I69-RC!I70</f>
        <v>96905</v>
      </c>
      <c r="J71" s="51" t="n">
        <f aca="false">RC!I69+RC!I70-RC!J69-RC!J70</f>
        <v>-144277</v>
      </c>
      <c r="K71" s="51" t="n">
        <f aca="false">RC!J69+RC!J70-RC!K69-RC!K70</f>
        <v>293734</v>
      </c>
      <c r="L71" s="51" t="n">
        <f aca="false">RC!K69+RC!K70-RC!L69-RC!L70</f>
        <v>2203518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48610</v>
      </c>
      <c r="D75" s="51" t="n">
        <f aca="false">SUM(D68:D70)</f>
        <v>37577</v>
      </c>
      <c r="E75" s="51" t="n">
        <f aca="false">SUM(E68:E70)</f>
        <v>-267125</v>
      </c>
      <c r="F75" s="51" t="n">
        <f aca="false">SUM(F68:F70)</f>
        <v>-45033</v>
      </c>
      <c r="G75" s="51" t="n">
        <f aca="false">SUM(G68:G70)</f>
        <v>353773</v>
      </c>
      <c r="H75" s="51" t="n">
        <f aca="false">SUM(H68:H70)</f>
        <v>3944</v>
      </c>
      <c r="I75" s="51" t="n">
        <f aca="false">SUM(I68:I70)</f>
        <v>-69394</v>
      </c>
      <c r="J75" s="51" t="n">
        <f aca="false">SUM(J68:J70)</f>
        <v>-957892</v>
      </c>
      <c r="K75" s="51" t="n">
        <f aca="false">SUM(K68:K70)</f>
        <v>1048171</v>
      </c>
      <c r="L75" s="51" t="n">
        <f aca="false">SUM(L68:L70)</f>
        <v>-663191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48610</v>
      </c>
      <c r="D76" s="54" t="n">
        <f aca="false">D41</f>
        <v>37577</v>
      </c>
      <c r="E76" s="54" t="n">
        <f aca="false">E41</f>
        <v>-267125</v>
      </c>
      <c r="F76" s="54" t="n">
        <f aca="false">F41</f>
        <v>-45032.9999999999</v>
      </c>
      <c r="G76" s="54" t="n">
        <f aca="false">G41</f>
        <v>353773</v>
      </c>
      <c r="H76" s="54" t="n">
        <f aca="false">H41</f>
        <v>3944.00000000003</v>
      </c>
      <c r="I76" s="54" t="n">
        <f aca="false">I41</f>
        <v>-69394</v>
      </c>
      <c r="J76" s="54" t="n">
        <f aca="false">J41</f>
        <v>-957892</v>
      </c>
      <c r="K76" s="54" t="n">
        <f aca="false">K41</f>
        <v>1048171</v>
      </c>
      <c r="L76" s="54" t="n">
        <f aca="false">L41</f>
        <v>-663191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-2.91038304567337E-011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100052</v>
      </c>
      <c r="C3" s="71" t="n">
        <f aca="false">RC!C131+RC!C140+RC!C144</f>
        <v>57759</v>
      </c>
      <c r="D3" s="71" t="n">
        <f aca="false">RC!D131+RC!D140+RC!D144</f>
        <v>204925</v>
      </c>
      <c r="E3" s="71" t="n">
        <f aca="false">RC!E131+RC!E140+RC!E144</f>
        <v>130850</v>
      </c>
      <c r="F3" s="71" t="n">
        <f aca="false">RC!F131+RC!F140+RC!F144</f>
        <v>40725</v>
      </c>
      <c r="G3" s="71" t="n">
        <f aca="false">RC!G131+RC!G140+RC!G144</f>
        <v>61709</v>
      </c>
      <c r="H3" s="71" t="n">
        <f aca="false">RC!H131+RC!H140+RC!H144</f>
        <v>90235</v>
      </c>
      <c r="I3" s="71" t="n">
        <f aca="false">RC!I131+RC!I140+RC!I144</f>
        <v>42605</v>
      </c>
      <c r="J3" s="71" t="n">
        <f aca="false">RC!J131+RC!J140+RC!J144</f>
        <v>107308</v>
      </c>
      <c r="K3" s="71" t="n">
        <f aca="false">RC!K131+RC!K140+RC!K144</f>
        <v>501438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208796</v>
      </c>
      <c r="C4" s="71" t="n">
        <f aca="false">RC!C131</f>
        <v>157219</v>
      </c>
      <c r="D4" s="71" t="n">
        <f aca="false">RC!D131</f>
        <v>237075</v>
      </c>
      <c r="E4" s="71" t="n">
        <f aca="false">RC!E131</f>
        <v>158900</v>
      </c>
      <c r="F4" s="71" t="n">
        <f aca="false">RC!F131</f>
        <v>79314</v>
      </c>
      <c r="G4" s="71" t="n">
        <f aca="false">RC!G131</f>
        <v>101378</v>
      </c>
      <c r="H4" s="71" t="n">
        <f aca="false">RC!H131</f>
        <v>129035</v>
      </c>
      <c r="I4" s="71" t="n">
        <f aca="false">RC!I131</f>
        <v>92400</v>
      </c>
      <c r="J4" s="71" t="n">
        <f aca="false">RC!J131</f>
        <v>169833</v>
      </c>
      <c r="K4" s="71" t="n">
        <f aca="false">RC!K131</f>
        <v>562402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425646</v>
      </c>
      <c r="C5" s="71" t="n">
        <f aca="false">RC!C123</f>
        <v>478043</v>
      </c>
      <c r="D5" s="71" t="n">
        <f aca="false">RC!D123</f>
        <v>508402</v>
      </c>
      <c r="E5" s="71" t="n">
        <f aca="false">RC!E123</f>
        <v>485379</v>
      </c>
      <c r="F5" s="71" t="n">
        <f aca="false">RC!F123</f>
        <v>323613</v>
      </c>
      <c r="G5" s="71" t="n">
        <f aca="false">RC!G123</f>
        <v>392247</v>
      </c>
      <c r="H5" s="71" t="n">
        <f aca="false">RC!H123</f>
        <v>423438</v>
      </c>
      <c r="I5" s="71" t="n">
        <f aca="false">RC!I123</f>
        <v>355258</v>
      </c>
      <c r="J5" s="71" t="n">
        <f aca="false">RC!J123</f>
        <v>419621</v>
      </c>
      <c r="K5" s="71" t="n">
        <f aca="false">RC!K123</f>
        <v>792171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47991</v>
      </c>
      <c r="C6" s="71" t="n">
        <f aca="false">RC!C150</f>
        <v>23563</v>
      </c>
      <c r="D6" s="71" t="n">
        <f aca="false">RC!D150</f>
        <v>138018</v>
      </c>
      <c r="E6" s="71" t="n">
        <f aca="false">RC!E150</f>
        <v>90933</v>
      </c>
      <c r="F6" s="71" t="n">
        <f aca="false">RC!F150</f>
        <v>27160</v>
      </c>
      <c r="G6" s="71" t="n">
        <f aca="false">RC!G150</f>
        <v>41520</v>
      </c>
      <c r="H6" s="71" t="n">
        <f aca="false">RC!H150</f>
        <v>62708</v>
      </c>
      <c r="I6" s="71" t="n">
        <f aca="false">RC!I150</f>
        <v>30170</v>
      </c>
      <c r="J6" s="71" t="n">
        <f aca="false">RC!J150</f>
        <v>73030</v>
      </c>
      <c r="K6" s="71" t="n">
        <f aca="false">RC!K150</f>
        <v>337274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10781972</v>
      </c>
      <c r="C7" s="71" t="n">
        <f aca="false">RC!C111</f>
        <v>10502251</v>
      </c>
      <c r="D7" s="71" t="n">
        <f aca="false">RC!D111</f>
        <v>9797336</v>
      </c>
      <c r="E7" s="71" t="n">
        <f aca="false">RC!E111</f>
        <v>8086488</v>
      </c>
      <c r="F7" s="71" t="n">
        <f aca="false">RC!F111</f>
        <v>7349721</v>
      </c>
      <c r="G7" s="71" t="n">
        <f aca="false">RC!G111</f>
        <v>8370970</v>
      </c>
      <c r="H7" s="71" t="n">
        <f aca="false">RC!H111</f>
        <v>7727686</v>
      </c>
      <c r="I7" s="71" t="n">
        <f aca="false">RC!I111</f>
        <v>7677878</v>
      </c>
      <c r="J7" s="71" t="n">
        <f aca="false">RC!J111</f>
        <v>7424443</v>
      </c>
      <c r="K7" s="71" t="n">
        <f aca="false">RC!K111</f>
        <v>6901829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10502251</v>
      </c>
      <c r="C8" s="71" t="n">
        <f aca="false">RC!D111</f>
        <v>9797336</v>
      </c>
      <c r="D8" s="71" t="n">
        <f aca="false">RC!E111</f>
        <v>8086488</v>
      </c>
      <c r="E8" s="71" t="n">
        <f aca="false">RC!F111</f>
        <v>7349721</v>
      </c>
      <c r="F8" s="71" t="n">
        <f aca="false">RC!G111</f>
        <v>8370970</v>
      </c>
      <c r="G8" s="71" t="n">
        <f aca="false">RC!H111</f>
        <v>7727686</v>
      </c>
      <c r="H8" s="71" t="n">
        <f aca="false">RC!I111</f>
        <v>7677878</v>
      </c>
      <c r="I8" s="71" t="n">
        <f aca="false">RC!J111</f>
        <v>7424443</v>
      </c>
      <c r="J8" s="71" t="n">
        <f aca="false">RC!K111</f>
        <v>6901829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36038.3721643836</v>
      </c>
      <c r="C9" s="71" t="n">
        <f aca="false">C7*1.22/365</f>
        <v>35103.4143013699</v>
      </c>
      <c r="D9" s="71" t="n">
        <f aca="false">D7*1.22/365</f>
        <v>32747.2600547945</v>
      </c>
      <c r="E9" s="71" t="n">
        <f aca="false">E7*1.22/365</f>
        <v>27028.8092054795</v>
      </c>
      <c r="F9" s="71" t="n">
        <f aca="false">F7*1.22/365</f>
        <v>24566.190739726</v>
      </c>
      <c r="G9" s="71" t="n">
        <f aca="false">G7*1.22/365</f>
        <v>27979.6805479452</v>
      </c>
      <c r="H9" s="71" t="n">
        <f aca="false">H7*1.22/365</f>
        <v>25829.5258082192</v>
      </c>
      <c r="I9" s="71" t="n">
        <f aca="false">I7*1.22/365</f>
        <v>25663.0442739726</v>
      </c>
      <c r="J9" s="71" t="n">
        <f aca="false">J7*1.22/365</f>
        <v>24815.9464657534</v>
      </c>
      <c r="K9" s="71" t="n">
        <f aca="false">K7*1.22/365</f>
        <v>23069.1270684931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-9103208</v>
      </c>
      <c r="C10" s="71" t="n">
        <f aca="false">RC!C116</f>
        <v>-8982781</v>
      </c>
      <c r="D10" s="71" t="n">
        <f aca="false">RC!D116</f>
        <v>-8702682</v>
      </c>
      <c r="E10" s="71" t="n">
        <f aca="false">RC!E116</f>
        <v>-6481970</v>
      </c>
      <c r="F10" s="71" t="n">
        <f aca="false">RC!F116</f>
        <v>-6180455</v>
      </c>
      <c r="G10" s="71" t="n">
        <f aca="false">RC!G116</f>
        <v>-6952573</v>
      </c>
      <c r="H10" s="71" t="n">
        <f aca="false">RC!H116</f>
        <v>-6523415</v>
      </c>
      <c r="I10" s="71" t="n">
        <f aca="false">RC!I116</f>
        <v>-6536916</v>
      </c>
      <c r="J10" s="71" t="n">
        <f aca="false">RC!J116</f>
        <v>-6342406</v>
      </c>
      <c r="K10" s="71" t="n">
        <f aca="false">RC!K116</f>
        <v>-5593293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-30427.1609863014</v>
      </c>
      <c r="C11" s="71" t="n">
        <f aca="false">RC!C116*1.22/365</f>
        <v>-30024.6378630137</v>
      </c>
      <c r="D11" s="71" t="n">
        <f aca="false">RC!D116*1.22/365</f>
        <v>-29088.4165479452</v>
      </c>
      <c r="E11" s="71" t="n">
        <f aca="false">RC!E116*1.22/365</f>
        <v>-21665.762739726</v>
      </c>
      <c r="F11" s="71" t="n">
        <f aca="false">RC!F116*1.22/365</f>
        <v>-20657.9591780822</v>
      </c>
      <c r="G11" s="71" t="n">
        <f aca="false">RC!G116*1.22/365</f>
        <v>-23238.7371506849</v>
      </c>
      <c r="H11" s="71" t="n">
        <f aca="false">RC!H116*1.22/365</f>
        <v>-21804.2912328767</v>
      </c>
      <c r="I11" s="71" t="n">
        <f aca="false">RC!I116*1.22/365</f>
        <v>-21849.4178630137</v>
      </c>
      <c r="J11" s="71" t="n">
        <f aca="false">RC!J116*1.22/365</f>
        <v>-21199.2748493151</v>
      </c>
      <c r="K11" s="71" t="n">
        <f aca="false">RC!K116*1.22/365</f>
        <v>-18695.3903013699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-24961.2493150685</v>
      </c>
      <c r="C12" s="71" t="n">
        <f aca="false">AVERAGE(RC!C120:D120)/365</f>
        <v>-23479.7876712329</v>
      </c>
      <c r="D12" s="71" t="n">
        <f aca="false">AVERAGE(RC!D120:E120)/365</f>
        <v>-20402.8520547945</v>
      </c>
      <c r="E12" s="71" t="n">
        <f aca="false">AVERAGE(RC!E120:F120)/365</f>
        <v>-17607.2082191781</v>
      </c>
      <c r="F12" s="71" t="n">
        <f aca="false">AVERAGE(RC!F120:G120)/365</f>
        <v>-18117.8397260274</v>
      </c>
      <c r="G12" s="71" t="n">
        <f aca="false">AVERAGE(RC!G120:H120)/365</f>
        <v>-18460.0575342466</v>
      </c>
      <c r="H12" s="71" t="n">
        <f aca="false">AVERAGE(RC!H120:I120)/365</f>
        <v>-17787.0904109589</v>
      </c>
      <c r="I12" s="71" t="n">
        <f aca="false">AVERAGE(RC!I120:J120)/365</f>
        <v>-17629.3479452055</v>
      </c>
      <c r="J12" s="71" t="n">
        <f aca="false">AVERAGE(RC!J120:K120)/365</f>
        <v>-15960.7301369863</v>
      </c>
      <c r="K12" s="71" t="n">
        <f aca="false">AVERAGE(RC!K120:L120)/365</f>
        <v>-14652.2493150685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-2957.2904109589</v>
      </c>
      <c r="C13" s="71" t="n">
        <f aca="false">AVERAGE(RC!C122:D122)/365</f>
        <v>-2976.57123287671</v>
      </c>
      <c r="D13" s="71" t="n">
        <f aca="false">AVERAGE(RC!D122:E122)/365</f>
        <v>-2734.19315068493</v>
      </c>
      <c r="E13" s="71" t="n">
        <f aca="false">AVERAGE(RC!E122:F122)/365</f>
        <v>-2430.07534246575</v>
      </c>
      <c r="F13" s="71" t="n">
        <f aca="false">AVERAGE(RC!F122:G122)/365</f>
        <v>-2436.72328767123</v>
      </c>
      <c r="G13" s="71" t="n">
        <f aca="false">AVERAGE(RC!G122:H122)/365</f>
        <v>-2475.51917808219</v>
      </c>
      <c r="H13" s="71" t="n">
        <f aca="false">AVERAGE(RC!H122:I122)/365</f>
        <v>-2249.71506849315</v>
      </c>
      <c r="I13" s="71" t="n">
        <f aca="false">AVERAGE(RC!I122:J122)/365</f>
        <v>-1997.28493150685</v>
      </c>
      <c r="J13" s="71" t="n">
        <f aca="false">AVERAGE(RC!J122:K122)/365</f>
        <v>-2004.31095890411</v>
      </c>
      <c r="K13" s="71" t="n">
        <f aca="false">AVERAGE(RC!K122:L122)/365</f>
        <v>-2086.5397260274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4915610.5</v>
      </c>
      <c r="C14" s="71" t="n">
        <f aca="false">AVERAGE(RC!C93,RC!D93)</f>
        <v>4968956</v>
      </c>
      <c r="D14" s="71" t="n">
        <f aca="false">AVERAGE(RC!D93,RC!E93)</f>
        <v>4636713</v>
      </c>
      <c r="E14" s="71" t="n">
        <f aca="false">AVERAGE(RC!E93,RC!F93)</f>
        <v>4707839</v>
      </c>
      <c r="F14" s="71" t="n">
        <f aca="false">AVERAGE(RC!F93,RC!G93)</f>
        <v>4200158.5</v>
      </c>
      <c r="G14" s="71" t="n">
        <f aca="false">AVERAGE(RC!G93,RC!H93)</f>
        <v>3534802.5</v>
      </c>
      <c r="H14" s="71" t="n">
        <f aca="false">AVERAGE(RC!H93,RC!I93)</f>
        <v>3478864.5</v>
      </c>
      <c r="I14" s="71" t="n">
        <f aca="false">AVERAGE(RC!I93,RC!J93)</f>
        <v>2942468.5</v>
      </c>
      <c r="J14" s="71" t="n">
        <f aca="false">AVERAGE(RC!J93,RC!K93)</f>
        <v>2861279.5</v>
      </c>
      <c r="K14" s="71" t="n">
        <f aca="false">AVERAGE(RC!K93,RC!L93)</f>
        <v>3201983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5156084</v>
      </c>
      <c r="C15" s="71" t="n">
        <f aca="false">RC!D93</f>
        <v>4781828</v>
      </c>
      <c r="D15" s="71" t="n">
        <f aca="false">RC!E93</f>
        <v>4491598</v>
      </c>
      <c r="E15" s="71" t="n">
        <f aca="false">RC!F93</f>
        <v>4924080</v>
      </c>
      <c r="F15" s="71" t="n">
        <f aca="false">RC!G93</f>
        <v>3476237</v>
      </c>
      <c r="G15" s="71" t="n">
        <f aca="false">RC!H93</f>
        <v>3593368</v>
      </c>
      <c r="H15" s="71" t="n">
        <f aca="false">RC!I93</f>
        <v>3364361</v>
      </c>
      <c r="I15" s="71" t="n">
        <f aca="false">RC!J93</f>
        <v>2520576</v>
      </c>
      <c r="J15" s="71" t="n">
        <f aca="false">RC!K93</f>
        <v>3201983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4675137</v>
      </c>
      <c r="C16" s="71" t="n">
        <f aca="false">RC!C93</f>
        <v>5156084</v>
      </c>
      <c r="D16" s="71" t="n">
        <f aca="false">RC!D93</f>
        <v>4781828</v>
      </c>
      <c r="E16" s="71" t="n">
        <f aca="false">RC!E93</f>
        <v>4491598</v>
      </c>
      <c r="F16" s="71" t="n">
        <f aca="false">RC!F93</f>
        <v>4924080</v>
      </c>
      <c r="G16" s="71" t="n">
        <f aca="false">RC!G93</f>
        <v>3476237</v>
      </c>
      <c r="H16" s="71" t="n">
        <f aca="false">RC!H93</f>
        <v>3593368</v>
      </c>
      <c r="I16" s="71" t="n">
        <f aca="false">RC!I93</f>
        <v>3364361</v>
      </c>
      <c r="J16" s="71" t="n">
        <f aca="false">RC!J93</f>
        <v>2520576</v>
      </c>
      <c r="K16" s="71" t="n">
        <f aca="false">RC!K93</f>
        <v>3201983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64500</v>
      </c>
      <c r="C18" s="71" t="n">
        <f aca="false">AVERAGE(RC!C94,RC!D94)</f>
        <v>44500</v>
      </c>
      <c r="D18" s="71" t="n">
        <f aca="false">AVERAGE(RC!D94,RC!E94)</f>
        <v>32000</v>
      </c>
      <c r="E18" s="71" t="n">
        <f aca="false">AVERAGE(RC!E94,RC!F94)</f>
        <v>32000</v>
      </c>
      <c r="F18" s="71" t="n">
        <f aca="false">AVERAGE(RC!F94,RC!G94)</f>
        <v>32000</v>
      </c>
      <c r="G18" s="71" t="n">
        <f aca="false">AVERAGE(RC!G94,RC!H94)</f>
        <v>17000</v>
      </c>
      <c r="H18" s="71" t="n">
        <f aca="false">AVERAGE(RC!H94,RC!I94)</f>
        <v>2000</v>
      </c>
      <c r="I18" s="71" t="n">
        <f aca="false">AVERAGE(RC!I94,RC!J94)</f>
        <v>2000</v>
      </c>
      <c r="J18" s="71" t="n">
        <f aca="false">AVERAGE(RC!J94,RC!K94)</f>
        <v>2000</v>
      </c>
      <c r="K18" s="71" t="n">
        <f aca="false">AVERAGE(RC!K94,RC!L94)</f>
        <v>2000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64500</v>
      </c>
      <c r="C19" s="71" t="n">
        <f aca="false">AVERAGE(RC!C27,RC!D27)</f>
        <v>44500</v>
      </c>
      <c r="D19" s="71" t="n">
        <f aca="false">AVERAGE(RC!D27,RC!E27)</f>
        <v>32000</v>
      </c>
      <c r="E19" s="71" t="n">
        <f aca="false">AVERAGE(RC!E27,RC!F27)</f>
        <v>32000</v>
      </c>
      <c r="F19" s="71" t="n">
        <f aca="false">AVERAGE(RC!F27,RC!G27)</f>
        <v>32000</v>
      </c>
      <c r="G19" s="71" t="n">
        <f aca="false">AVERAGE(RC!G27,RC!H27)</f>
        <v>17000</v>
      </c>
      <c r="H19" s="71" t="n">
        <f aca="false">AVERAGE(RC!H27,RC!I27)</f>
        <v>2000</v>
      </c>
      <c r="I19" s="71" t="n">
        <f aca="false">AVERAGE(RC!I27,RC!J27)</f>
        <v>2000</v>
      </c>
      <c r="J19" s="71" t="n">
        <f aca="false">AVERAGE(RC!J27,RC!K27)</f>
        <v>2000</v>
      </c>
      <c r="K19" s="71" t="n">
        <f aca="false">AVERAGE(RC!K27,RC!L27)</f>
        <v>2000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72000</v>
      </c>
      <c r="C20" s="71" t="n">
        <f aca="false">RC!C27</f>
        <v>57000</v>
      </c>
      <c r="D20" s="71" t="n">
        <f aca="false">RC!D27</f>
        <v>32000</v>
      </c>
      <c r="E20" s="71" t="n">
        <f aca="false">RC!E27</f>
        <v>32000</v>
      </c>
      <c r="F20" s="71" t="n">
        <f aca="false">RC!F27</f>
        <v>32000</v>
      </c>
      <c r="G20" s="71" t="n">
        <f aca="false">RC!G27</f>
        <v>32000</v>
      </c>
      <c r="H20" s="71" t="n">
        <f aca="false">RC!H27</f>
        <v>2000</v>
      </c>
      <c r="I20" s="71" t="n">
        <f aca="false">RC!I27</f>
        <v>2000</v>
      </c>
      <c r="J20" s="71" t="n">
        <f aca="false">RC!J27</f>
        <v>2000</v>
      </c>
      <c r="K20" s="71" t="n">
        <f aca="false">RC!K27</f>
        <v>2000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0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1608403</v>
      </c>
      <c r="C24" s="71" t="n">
        <f aca="false">C30-C31</f>
        <v>1677525</v>
      </c>
      <c r="D24" s="71" t="n">
        <f aca="false">D30-D31</f>
        <v>1413573.5</v>
      </c>
      <c r="E24" s="71" t="n">
        <f aca="false">E30-E31</f>
        <v>1599175</v>
      </c>
      <c r="F24" s="71" t="n">
        <f aca="false">F30-F31</f>
        <v>2071482</v>
      </c>
      <c r="G24" s="71" t="n">
        <f aca="false">G30-G31</f>
        <v>2346407.5</v>
      </c>
      <c r="H24" s="71" t="n">
        <f aca="false">H30-H31</f>
        <v>2327583.5</v>
      </c>
      <c r="I24" s="71" t="n">
        <f aca="false">I30-I31</f>
        <v>2370843</v>
      </c>
      <c r="J24" s="71" t="n">
        <f aca="false">J30-J31</f>
        <v>2350385</v>
      </c>
      <c r="K24" s="71" t="n">
        <f aca="false">K30-K31</f>
        <v>2203518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1608403</v>
      </c>
      <c r="C25" s="71" t="n">
        <f aca="false">IF(C24&gt;0, C24, 0)</f>
        <v>1677525</v>
      </c>
      <c r="D25" s="71" t="n">
        <f aca="false">IF(D24&gt;0, D24, 0)</f>
        <v>1413573.5</v>
      </c>
      <c r="E25" s="71" t="n">
        <f aca="false">IF(E24&gt;0, E24, 0)</f>
        <v>1599175</v>
      </c>
      <c r="F25" s="71" t="n">
        <f aca="false">IF(F24&gt;0, F24, 0)</f>
        <v>2071482</v>
      </c>
      <c r="G25" s="71" t="n">
        <f aca="false">IF(G24&gt;0, G24, 0)</f>
        <v>2346407.5</v>
      </c>
      <c r="H25" s="71" t="n">
        <f aca="false">IF(H24&gt;0, H24, 0)</f>
        <v>2327583.5</v>
      </c>
      <c r="I25" s="71" t="n">
        <f aca="false">IF(I24&gt;0, I24, 0)</f>
        <v>2370843</v>
      </c>
      <c r="J25" s="71" t="n">
        <f aca="false">IF(J24&gt;0, J24, 0)</f>
        <v>2350385</v>
      </c>
      <c r="K25" s="71" t="n">
        <f aca="false">IF(K24&gt;0, K24, 0)</f>
        <v>2203518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-110269</v>
      </c>
      <c r="C27" s="71" t="n">
        <f aca="false">RC!C138</f>
        <v>-101600</v>
      </c>
      <c r="D27" s="71" t="n">
        <f aca="false">RC!D138</f>
        <v>-34715</v>
      </c>
      <c r="E27" s="71" t="n">
        <f aca="false">RC!E138</f>
        <v>-32939</v>
      </c>
      <c r="F27" s="71" t="n">
        <f aca="false">RC!F138</f>
        <v>-42003</v>
      </c>
      <c r="G27" s="71" t="n">
        <f aca="false">RC!G138</f>
        <v>-43669</v>
      </c>
      <c r="H27" s="71" t="n">
        <f aca="false">RC!H138</f>
        <v>-40987</v>
      </c>
      <c r="I27" s="71" t="n">
        <f aca="false">RC!I138</f>
        <v>-52706</v>
      </c>
      <c r="J27" s="71" t="n">
        <f aca="false">RC!J138</f>
        <v>-65192</v>
      </c>
      <c r="K27" s="71" t="n">
        <f aca="false">RC!K138</f>
        <v>-60976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1525</v>
      </c>
      <c r="C28" s="71" t="n">
        <f aca="false">RC!C137</f>
        <v>2140</v>
      </c>
      <c r="D28" s="71" t="n">
        <f aca="false">RC!D137</f>
        <v>2565</v>
      </c>
      <c r="E28" s="71" t="n">
        <f aca="false">RC!E137</f>
        <v>4889</v>
      </c>
      <c r="F28" s="71" t="n">
        <f aca="false">RC!F137</f>
        <v>3414</v>
      </c>
      <c r="G28" s="71" t="n">
        <f aca="false">RC!G137</f>
        <v>4000</v>
      </c>
      <c r="H28" s="71" t="n">
        <f aca="false">RC!H137</f>
        <v>2187</v>
      </c>
      <c r="I28" s="71" t="n">
        <f aca="false">RC!I137</f>
        <v>2911</v>
      </c>
      <c r="J28" s="71" t="n">
        <f aca="false">RC!J137</f>
        <v>2667</v>
      </c>
      <c r="K28" s="71" t="n">
        <f aca="false">RC!K137</f>
        <v>12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-52061</v>
      </c>
      <c r="C29" s="71" t="n">
        <f aca="false">RC!C149</f>
        <v>-34196</v>
      </c>
      <c r="D29" s="71" t="n">
        <f aca="false">RC!D149</f>
        <v>-66907</v>
      </c>
      <c r="E29" s="71" t="n">
        <f aca="false">RC!E149</f>
        <v>-39917</v>
      </c>
      <c r="F29" s="71" t="n">
        <f aca="false">RC!F149</f>
        <v>-13565</v>
      </c>
      <c r="G29" s="71" t="n">
        <f aca="false">RC!G149</f>
        <v>-20189</v>
      </c>
      <c r="H29" s="71" t="n">
        <f aca="false">RC!H149</f>
        <v>-27527</v>
      </c>
      <c r="I29" s="71" t="n">
        <f aca="false">RC!I149</f>
        <v>-12435</v>
      </c>
      <c r="J29" s="71" t="n">
        <f aca="false">RC!J149</f>
        <v>-34278</v>
      </c>
      <c r="K29" s="71" t="n">
        <f aca="false">RC!K149</f>
        <v>-164164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1754991</v>
      </c>
      <c r="C30" s="71" t="n">
        <f aca="false">AVERAGE(RC!C73,RC!D73)</f>
        <v>1781020</v>
      </c>
      <c r="D30" s="71" t="n">
        <f aca="false">AVERAGE(RC!D73,RC!E73)</f>
        <v>1631841.5</v>
      </c>
      <c r="E30" s="71" t="n">
        <f aca="false">AVERAGE(RC!E73,RC!F73)</f>
        <v>1973522</v>
      </c>
      <c r="F30" s="71" t="n">
        <f aca="false">AVERAGE(RC!F73,RC!G73)</f>
        <v>2291459.5</v>
      </c>
      <c r="G30" s="71" t="n">
        <f aca="false">AVERAGE(RC!G73,RC!H73)</f>
        <v>2387526.5</v>
      </c>
      <c r="H30" s="71" t="n">
        <f aca="false">AVERAGE(RC!H73,RC!I73)</f>
        <v>2401427.5</v>
      </c>
      <c r="I30" s="71" t="n">
        <f aca="false">AVERAGE(RC!I73,RC!J73)</f>
        <v>2425113.5</v>
      </c>
      <c r="J30" s="71" t="n">
        <f aca="false">AVERAGE(RC!J73,RC!K73)</f>
        <v>2350385</v>
      </c>
      <c r="K30" s="71" t="n">
        <f aca="false">AVERAGE(RC!K73,RC!L73)</f>
        <v>2203518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146588</v>
      </c>
      <c r="C31" s="71" t="n">
        <f aca="false">AVERAGE(RC!C33,RC!D33)</f>
        <v>103495</v>
      </c>
      <c r="D31" s="71" t="n">
        <f aca="false">AVERAGE(RC!D33,RC!E33)</f>
        <v>218268</v>
      </c>
      <c r="E31" s="71" t="n">
        <f aca="false">AVERAGE(RC!E33,RC!F33)</f>
        <v>374347</v>
      </c>
      <c r="F31" s="71" t="n">
        <f aca="false">AVERAGE(RC!F33,RC!G33)</f>
        <v>219977.5</v>
      </c>
      <c r="G31" s="71" t="n">
        <f aca="false">AVERAGE(RC!G33,RC!H33)</f>
        <v>41119</v>
      </c>
      <c r="H31" s="71" t="n">
        <f aca="false">AVERAGE(RC!H33,RC!I33)</f>
        <v>73844</v>
      </c>
      <c r="I31" s="71" t="n">
        <f aca="false">AVERAGE(RC!I33,RC!J33)</f>
        <v>54270.5</v>
      </c>
      <c r="J31" s="71" t="n">
        <f aca="false">AVERAGE(RC!J33,RC!K33)</f>
        <v>0</v>
      </c>
      <c r="K31" s="71" t="n">
        <f aca="false">AVERAGE(RC!K33,RC!L33)</f>
        <v>0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1364807.5</v>
      </c>
      <c r="C32" s="71" t="n">
        <f aca="false">AVERAGE(RC!C5:D5)</f>
        <v>1326245</v>
      </c>
      <c r="D32" s="71" t="n">
        <f aca="false">AVERAGE(RC!D5:E5)</f>
        <v>1182449</v>
      </c>
      <c r="E32" s="71" t="n">
        <f aca="false">AVERAGE(RC!E5:F5)</f>
        <v>871810.5</v>
      </c>
      <c r="F32" s="71" t="n">
        <f aca="false">AVERAGE(RC!F5:G5)</f>
        <v>892609</v>
      </c>
      <c r="G32" s="71" t="n">
        <f aca="false">AVERAGE(RC!G5:H5)</f>
        <v>1038561</v>
      </c>
      <c r="H32" s="71" t="n">
        <f aca="false">AVERAGE(RC!H5:I5)</f>
        <v>910853</v>
      </c>
      <c r="I32" s="71" t="n">
        <f aca="false">AVERAGE(RC!I5:J5)</f>
        <v>807385</v>
      </c>
      <c r="J32" s="71" t="n">
        <f aca="false">AVERAGE(RC!J5:K5)</f>
        <v>767015</v>
      </c>
      <c r="K32" s="71" t="n">
        <f aca="false">AVERAGE(RC!K5:L5)</f>
        <v>795525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1012072.5</v>
      </c>
      <c r="C33" s="71" t="n">
        <f aca="false">AVERAGE(RC!C48,RC!D48)</f>
        <v>1047930.5</v>
      </c>
      <c r="D33" s="71" t="n">
        <f aca="false">AVERAGE(RC!D48,RC!E48)</f>
        <v>946133.5</v>
      </c>
      <c r="E33" s="71" t="n">
        <f aca="false">AVERAGE(RC!E48,RC!F48)</f>
        <v>639978</v>
      </c>
      <c r="F33" s="71" t="n">
        <f aca="false">AVERAGE(RC!F48,RC!G48)</f>
        <v>539441.5</v>
      </c>
      <c r="G33" s="71" t="n">
        <f aca="false">AVERAGE(RC!G48,RC!H48)</f>
        <v>588493.5</v>
      </c>
      <c r="H33" s="71" t="n">
        <f aca="false">AVERAGE(RC!H48,RC!I48)</f>
        <v>615389</v>
      </c>
      <c r="I33" s="71" t="n">
        <f aca="false">AVERAGE(RC!I48,RC!J48)</f>
        <v>625322</v>
      </c>
      <c r="J33" s="71" t="n">
        <f aca="false">AVERAGE(RC!J48,RC!K48)</f>
        <v>600417.5</v>
      </c>
      <c r="K33" s="71" t="n">
        <f aca="false">AVERAGE(RC!K48,RC!L48)</f>
        <v>622035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1257418.5</v>
      </c>
      <c r="C34" s="71" t="n">
        <f aca="false">AVERAGE(RC!C6,RC!D6)</f>
        <v>1325280</v>
      </c>
      <c r="D34" s="71" t="n">
        <f aca="false">AVERAGE(RC!D6,RC!E6)</f>
        <v>1052671.5</v>
      </c>
      <c r="E34" s="71" t="n">
        <f aca="false">AVERAGE(RC!E6,RC!F6)</f>
        <v>907386.5</v>
      </c>
      <c r="F34" s="71" t="n">
        <f aca="false">AVERAGE(RC!F6,RC!G6)</f>
        <v>1002805</v>
      </c>
      <c r="G34" s="71" t="n">
        <f aca="false">AVERAGE(RC!G6,RC!H6)</f>
        <v>1049302.5</v>
      </c>
      <c r="H34" s="71" t="n">
        <f aca="false">AVERAGE(RC!H6,RC!I6)</f>
        <v>1049229</v>
      </c>
      <c r="I34" s="71" t="n">
        <f aca="false">AVERAGE(RC!I6,RC!J6)</f>
        <v>498364</v>
      </c>
      <c r="J34" s="71" t="n">
        <f aca="false">AVERAGE(RC!J6,RC!K6)</f>
        <v>493415.5</v>
      </c>
      <c r="K34" s="71" t="n">
        <f aca="false">AVERAGE(RC!K6,RC!L6)</f>
        <v>986831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1163582</v>
      </c>
      <c r="C35" s="71" t="n">
        <f aca="false">RC!C6</f>
        <v>1351255</v>
      </c>
      <c r="D35" s="71" t="n">
        <f aca="false">RC!D6</f>
        <v>1299305</v>
      </c>
      <c r="E35" s="71" t="n">
        <f aca="false">RC!E6</f>
        <v>806038</v>
      </c>
      <c r="F35" s="71" t="n">
        <f aca="false">RC!F6</f>
        <v>1008735</v>
      </c>
      <c r="G35" s="71" t="n">
        <f aca="false">RC!G6</f>
        <v>996875</v>
      </c>
      <c r="H35" s="71" t="n">
        <f aca="false">RC!H6</f>
        <v>1101730</v>
      </c>
      <c r="I35" s="71" t="n">
        <f aca="false">RC!I6</f>
        <v>996728</v>
      </c>
      <c r="J35" s="71" t="n">
        <f aca="false">RC!J6</f>
        <v>0</v>
      </c>
      <c r="K35" s="71" t="n">
        <f aca="false">RC!K6</f>
        <v>986831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2749317.5</v>
      </c>
      <c r="C36" s="71" t="n">
        <f aca="false">AVERAGE(RC!C8:D8)+AVERAGE(RC!C19:D19)+AVERAGE(RC!C30:D30)</f>
        <v>2829118.5</v>
      </c>
      <c r="D36" s="71" t="n">
        <f aca="false">AVERAGE(RC!D8:E8)+AVERAGE(RC!D19:E19)+AVERAGE(RC!D30:E30)</f>
        <v>2375333.5</v>
      </c>
      <c r="E36" s="71" t="n">
        <f aca="false">AVERAGE(RC!E8:F8)+AVERAGE(RC!E19:F19)+AVERAGE(RC!E30:F30)</f>
        <v>1917385.5</v>
      </c>
      <c r="F36" s="71" t="n">
        <f aca="false">AVERAGE(RC!F8:G8)+AVERAGE(RC!F19:G19)+AVERAGE(RC!F30:G30)</f>
        <v>2036517.5</v>
      </c>
      <c r="G36" s="71" t="n">
        <f aca="false">AVERAGE(RC!G8:H8)+AVERAGE(RC!G19:H19)+AVERAGE(RC!G30:H30)</f>
        <v>2231275.5</v>
      </c>
      <c r="H36" s="71" t="n">
        <f aca="false">AVERAGE(RC!H8:I8)+AVERAGE(RC!H19:I19)+AVERAGE(RC!H30:I30)</f>
        <v>2129390.5</v>
      </c>
      <c r="I36" s="71" t="n">
        <f aca="false">AVERAGE(RC!I8:J8)+AVERAGE(RC!I19:J19)+AVERAGE(RC!I30:J30)</f>
        <v>1494554.5</v>
      </c>
      <c r="J36" s="71" t="n">
        <f aca="false">AVERAGE(RC!J8:K8)+AVERAGE(RC!J19:K19)+AVERAGE(RC!J30:K30)</f>
        <v>1472796</v>
      </c>
      <c r="K36" s="71" t="n">
        <f aca="false">AVERAGE(RC!K8:L8)+AVERAGE(RC!K19:L19)+AVERAGE(RC!K30:L30)</f>
        <v>2012254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2569788</v>
      </c>
      <c r="C37" s="71" t="n">
        <f aca="false">RC!C8+RC!C19+RC!C30</f>
        <v>2928847</v>
      </c>
      <c r="D37" s="71" t="n">
        <f aca="false">RC!D8+RC!D19+RC!D30</f>
        <v>2729390</v>
      </c>
      <c r="E37" s="71" t="n">
        <f aca="false">RC!E8+RC!E19+RC!E30</f>
        <v>2021277</v>
      </c>
      <c r="F37" s="71" t="n">
        <f aca="false">RC!F8+RC!F19+RC!F30</f>
        <v>1813494</v>
      </c>
      <c r="G37" s="71" t="n">
        <f aca="false">RC!G8+RC!G19+RC!G30</f>
        <v>2259541</v>
      </c>
      <c r="H37" s="71" t="n">
        <f aca="false">RC!H8+RC!H19+RC!H30</f>
        <v>2203010</v>
      </c>
      <c r="I37" s="71" t="n">
        <f aca="false">RC!I8+RC!I19+RC!I30</f>
        <v>2055771</v>
      </c>
      <c r="J37" s="71" t="n">
        <f aca="false">RC!J8+RC!J19+RC!J30</f>
        <v>933338</v>
      </c>
      <c r="K37" s="71" t="n">
        <f aca="false">RC!K8+RC!K19+RC!K30</f>
        <v>2012254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2127108.5</v>
      </c>
      <c r="C38" s="71" t="n">
        <f aca="false">AVERAGE(RC!C51:D51)+AVERAGE(RC!C59:D59)+AVERAGE(RC!C70:D70)</f>
        <v>1933434.5</v>
      </c>
      <c r="D38" s="71" t="n">
        <f aca="false">AVERAGE(RC!D51:E51)+AVERAGE(RC!D59:E59)+AVERAGE(RC!D70:E70)</f>
        <v>1518948.5</v>
      </c>
      <c r="E38" s="71" t="n">
        <f aca="false">AVERAGE(RC!E51:F51)+AVERAGE(RC!E59:F59)+AVERAGE(RC!E70:F70)</f>
        <v>1298891</v>
      </c>
      <c r="F38" s="71" t="n">
        <f aca="false">AVERAGE(RC!F51:G51)+AVERAGE(RC!F59:G59)+AVERAGE(RC!F70:G70)</f>
        <v>1804966.5</v>
      </c>
      <c r="G38" s="71" t="n">
        <f aca="false">AVERAGE(RC!G51:H51)+AVERAGE(RC!G59:H59)+AVERAGE(RC!G70:H70)</f>
        <v>2295620</v>
      </c>
      <c r="H38" s="71" t="n">
        <f aca="false">AVERAGE(RC!H51:I51)+AVERAGE(RC!H59:I59)+AVERAGE(RC!H70:I70)</f>
        <v>2113880.5</v>
      </c>
      <c r="I38" s="71" t="n">
        <f aca="false">AVERAGE(RC!I51:J51)+AVERAGE(RC!I59:J59)+AVERAGE(RC!I70:J70)</f>
        <v>1937224.5</v>
      </c>
      <c r="J38" s="71" t="n">
        <f aca="false">AVERAGE(RC!J51:K51)+AVERAGE(RC!J59:K59)+AVERAGE(RC!J70:K70)</f>
        <v>1726200</v>
      </c>
      <c r="K38" s="71" t="n">
        <f aca="false">AVERAGE(RC!K51:L51)+AVERAGE(RC!K59:L59)+AVERAGE(RC!K70:L70)</f>
        <v>1592282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2059586</v>
      </c>
      <c r="C39" s="71" t="n">
        <f aca="false">RC!C51+RC!C59+RC!C70</f>
        <v>2194631</v>
      </c>
      <c r="D39" s="71" t="n">
        <f aca="false">RC!D51+RC!D59+RC!D70</f>
        <v>1672238</v>
      </c>
      <c r="E39" s="71" t="n">
        <f aca="false">RC!E51+RC!E59+RC!E70</f>
        <v>1365659</v>
      </c>
      <c r="F39" s="71" t="n">
        <f aca="false">RC!F51+RC!F59+RC!F70</f>
        <v>1232123</v>
      </c>
      <c r="G39" s="71" t="n">
        <f aca="false">RC!G51+RC!G59+RC!G70</f>
        <v>2377810</v>
      </c>
      <c r="H39" s="71" t="n">
        <f aca="false">RC!H51+RC!H59+RC!H70</f>
        <v>2213430</v>
      </c>
      <c r="I39" s="71" t="n">
        <f aca="false">RC!I51+RC!I59+RC!I70</f>
        <v>2014331</v>
      </c>
      <c r="J39" s="71" t="n">
        <f aca="false">RC!J51+RC!J59+RC!J70</f>
        <v>1860118</v>
      </c>
      <c r="K39" s="71" t="n">
        <f aca="false">RC!K51+RC!K59+RC!K70</f>
        <v>1592282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960895</v>
      </c>
      <c r="C42" s="71" t="n">
        <f aca="false">AVERAGE(RC!C69,RC!D69)</f>
        <v>1195661</v>
      </c>
      <c r="D42" s="71" t="n">
        <f aca="false">AVERAGE(RC!D69,RC!E69)</f>
        <v>1318439.5</v>
      </c>
      <c r="E42" s="71" t="n">
        <f aca="false">AVERAGE(RC!E69,RC!F69)</f>
        <v>1583022</v>
      </c>
      <c r="F42" s="71" t="n">
        <f aca="false">AVERAGE(RC!F69,RC!G69)</f>
        <v>1274172</v>
      </c>
      <c r="G42" s="71" t="n">
        <f aca="false">AVERAGE(RC!G69,RC!H69)</f>
        <v>894284.5</v>
      </c>
      <c r="H42" s="71" t="n">
        <f aca="false">AVERAGE(RC!H69,RC!I69)</f>
        <v>1088151</v>
      </c>
      <c r="I42" s="71" t="n">
        <f aca="false">AVERAGE(RC!I69,RC!J69)</f>
        <v>1277585.5</v>
      </c>
      <c r="J42" s="71" t="n">
        <f aca="false">AVERAGE(RC!J69,RC!K69)</f>
        <v>1348228</v>
      </c>
      <c r="K42" s="71" t="n">
        <f aca="false">AVERAGE(RC!K69,RC!L69)</f>
        <v>1316760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761905</v>
      </c>
      <c r="C43" s="71" t="n">
        <f aca="false">RC!C69</f>
        <v>1159885</v>
      </c>
      <c r="D43" s="71" t="n">
        <f aca="false">RC!D69</f>
        <v>1231437</v>
      </c>
      <c r="E43" s="71" t="n">
        <f aca="false">RC!E69</f>
        <v>1405442</v>
      </c>
      <c r="F43" s="71" t="n">
        <f aca="false">RC!F69</f>
        <v>1760602</v>
      </c>
      <c r="G43" s="71" t="n">
        <f aca="false">RC!G69</f>
        <v>787742</v>
      </c>
      <c r="H43" s="71" t="n">
        <f aca="false">RC!H69</f>
        <v>1000827</v>
      </c>
      <c r="I43" s="71" t="n">
        <f aca="false">RC!I69</f>
        <v>1175475</v>
      </c>
      <c r="J43" s="71" t="n">
        <f aca="false">RC!J69</f>
        <v>1379696</v>
      </c>
      <c r="K43" s="71" t="n">
        <f aca="false">RC!K69</f>
        <v>1316760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3744033.5</v>
      </c>
      <c r="C44" s="71" t="n">
        <f aca="false">((RC!C12+RC!C15)+RC!D12+RC!D15)/2</f>
        <v>3746557.5</v>
      </c>
      <c r="D44" s="71" t="n">
        <f aca="false">((RC!D12+RC!D15)+RC!E12+RC!E15)/2</f>
        <v>3748257</v>
      </c>
      <c r="E44" s="71" t="n">
        <f aca="false">((RC!E12+RC!E15)+RC!F12+RC!F15)/2</f>
        <v>3947989.5</v>
      </c>
      <c r="F44" s="71" t="n">
        <f aca="false">((RC!F12+RC!F15)+RC!G12+RC!G15)/2</f>
        <v>3177912</v>
      </c>
      <c r="G44" s="71" t="n">
        <f aca="false">((RC!G12+RC!G15)+RC!H12+RC!H15)/2</f>
        <v>2323697</v>
      </c>
      <c r="H44" s="71" t="n">
        <f aca="false">((RC!H12+RC!H15)+RC!I12+RC!I15)/2</f>
        <v>2343993.5</v>
      </c>
      <c r="I44" s="71" t="n">
        <f aca="false">((RC!I12+RC!I15)+RC!J12+RC!J15)/2</f>
        <v>2419101.5</v>
      </c>
      <c r="J44" s="71" t="n">
        <f aca="false">((RC!J12+RC!J15)+RC!K12+RC!K15)/2</f>
        <v>2328303</v>
      </c>
      <c r="K44" s="71" t="n">
        <f aca="false">((RC!K12+RC!K15)+RC!L12+RC!L15)/2</f>
        <v>1071877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3605053</v>
      </c>
      <c r="C45" s="71" t="n">
        <f aca="false">RC!C12</f>
        <v>3744514</v>
      </c>
      <c r="D45" s="71" t="n">
        <f aca="false">RC!D12</f>
        <v>3569129</v>
      </c>
      <c r="E45" s="71" t="n">
        <f aca="false">RC!E12</f>
        <v>3651513</v>
      </c>
      <c r="F45" s="71" t="n">
        <f aca="false">RC!F12</f>
        <v>3897666</v>
      </c>
      <c r="G45" s="71" t="n">
        <f aca="false">RC!G12</f>
        <v>2110758</v>
      </c>
      <c r="H45" s="71" t="n">
        <f aca="false">RC!H12</f>
        <v>2160450</v>
      </c>
      <c r="I45" s="71" t="n">
        <f aca="false">RC!I12</f>
        <v>2222447</v>
      </c>
      <c r="J45" s="71" t="n">
        <f aca="false">RC!J12</f>
        <v>2310185</v>
      </c>
      <c r="K45" s="71" t="n">
        <f aca="false">RC!K12</f>
        <v>2143754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3371707.5</v>
      </c>
      <c r="C46" s="71" t="n">
        <f aca="false">AVERAGE(RC!C84,RC!D84)</f>
        <v>3335931</v>
      </c>
      <c r="D46" s="71" t="n">
        <f aca="false">AVERAGE(RC!D84,RC!E84)</f>
        <v>3255139.5</v>
      </c>
      <c r="E46" s="71" t="n">
        <f aca="false">AVERAGE(RC!E84,RC!F84)</f>
        <v>3140664</v>
      </c>
      <c r="F46" s="71" t="n">
        <f aca="false">AVERAGE(RC!F84,RC!G84)</f>
        <v>2160676.5</v>
      </c>
      <c r="G46" s="71" t="n">
        <f aca="false">AVERAGE(RC!G84,RC!H84)</f>
        <v>1205395</v>
      </c>
      <c r="H46" s="71" t="n">
        <f aca="false">AVERAGE(RC!H84,RC!I84)</f>
        <v>1153281</v>
      </c>
      <c r="I46" s="71" t="n">
        <f aca="false">AVERAGE(RC!I84,RC!J84)</f>
        <v>1106842</v>
      </c>
      <c r="J46" s="71" t="n">
        <f aca="false">AVERAGE(RC!J84,RC!K84)</f>
        <v>1055242</v>
      </c>
      <c r="K46" s="71" t="n">
        <f aca="false">AVERAGE(RC!K84,RC!L84)</f>
        <v>1018727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3347713</v>
      </c>
      <c r="C47" s="71" t="n">
        <f aca="false">RC!D84</f>
        <v>3324149</v>
      </c>
      <c r="D47" s="71" t="n">
        <f aca="false">RC!E84</f>
        <v>3186130</v>
      </c>
      <c r="E47" s="71" t="n">
        <f aca="false">RC!F84</f>
        <v>3095198</v>
      </c>
      <c r="F47" s="71" t="n">
        <f aca="false">RC!G84</f>
        <v>1226155</v>
      </c>
      <c r="G47" s="71" t="n">
        <f aca="false">RC!H84</f>
        <v>1184635</v>
      </c>
      <c r="H47" s="71" t="n">
        <f aca="false">RC!I84</f>
        <v>1121927</v>
      </c>
      <c r="I47" s="71" t="n">
        <f aca="false">RC!J84</f>
        <v>1091757</v>
      </c>
      <c r="J47" s="71" t="n">
        <f aca="false">RC!K84</f>
        <v>1018727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3395702</v>
      </c>
      <c r="C48" s="71" t="n">
        <f aca="false">RC!C84</f>
        <v>3347713</v>
      </c>
      <c r="D48" s="71" t="n">
        <f aca="false">RC!D84</f>
        <v>3324149</v>
      </c>
      <c r="E48" s="71" t="n">
        <f aca="false">RC!E84</f>
        <v>3186130</v>
      </c>
      <c r="F48" s="71" t="n">
        <f aca="false">RC!F84</f>
        <v>3095198</v>
      </c>
      <c r="G48" s="71" t="n">
        <f aca="false">RC!G84</f>
        <v>1226155</v>
      </c>
      <c r="H48" s="71" t="n">
        <f aca="false">RC!H84</f>
        <v>1184635</v>
      </c>
      <c r="I48" s="71" t="n">
        <f aca="false">RC!I84</f>
        <v>1121927</v>
      </c>
      <c r="J48" s="71" t="n">
        <f aca="false">RC!J84</f>
        <v>1091757</v>
      </c>
      <c r="K48" s="71" t="n">
        <f aca="false">RC!K84</f>
        <v>1018727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2</v>
      </c>
      <c r="C49" s="71" t="n">
        <f aca="false">RC!D82+RC!D79-RC!C79</f>
        <v>-1</v>
      </c>
      <c r="D49" s="71" t="n">
        <f aca="false">RC!E82+RC!E79-RC!D79</f>
        <v>-1</v>
      </c>
      <c r="E49" s="71" t="n">
        <f aca="false">RC!F82+RC!F79-RC!E79</f>
        <v>1</v>
      </c>
      <c r="F49" s="71" t="n">
        <f aca="false">RC!G82+RC!G79-RC!F79</f>
        <v>0</v>
      </c>
      <c r="G49" s="71" t="n">
        <f aca="false">RC!H82+RC!H79-RC!G79</f>
        <v>0</v>
      </c>
      <c r="H49" s="71" t="n">
        <f aca="false">RC!I82+RC!I79-RC!H79</f>
        <v>0</v>
      </c>
      <c r="I49" s="71" t="n">
        <f aca="false">RC!J82+RC!J79-RC!I79</f>
        <v>0</v>
      </c>
      <c r="J49" s="71" t="n">
        <f aca="false">RC!K82+RC!K79-RC!J79</f>
        <v>0</v>
      </c>
      <c r="K49" s="71" t="n">
        <f aca="false">RC!L82+RC!L79-RC!K79</f>
        <v>-571453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0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0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0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23561</v>
      </c>
      <c r="C51" s="71" t="n">
        <f aca="false">RF!D43-RF!E43</f>
        <v>138019</v>
      </c>
      <c r="D51" s="71" t="n">
        <f aca="false">RF!E43-RF!F43</f>
        <v>90934</v>
      </c>
      <c r="E51" s="71" t="n">
        <f aca="false">RF!F43-RF!G43</f>
        <v>27159</v>
      </c>
      <c r="F51" s="71" t="n">
        <f aca="false">RF!G43-RF!H43</f>
        <v>41520</v>
      </c>
      <c r="G51" s="71" t="n">
        <f aca="false">RF!H43-RF!I43</f>
        <v>62708</v>
      </c>
      <c r="H51" s="71" t="n">
        <f aca="false">RF!I43-RF!J43</f>
        <v>30170</v>
      </c>
      <c r="I51" s="71" t="n">
        <f aca="false">RF!J43-RF!K43</f>
        <v>73030</v>
      </c>
      <c r="J51" s="71" t="n">
        <f aca="false">RF!K43-RF!L43</f>
        <v>337274</v>
      </c>
      <c r="K51" s="71" t="n">
        <f aca="false">RF!L43-RF!M43</f>
        <v>571453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24428</v>
      </c>
      <c r="C52" s="71" t="n">
        <f aca="false">RC!C82-RC!D82</f>
        <v>-114455</v>
      </c>
      <c r="D52" s="71" t="n">
        <f aca="false">RC!D82-RC!E82</f>
        <v>47085</v>
      </c>
      <c r="E52" s="71" t="n">
        <f aca="false">RC!E82-RC!F82</f>
        <v>63773</v>
      </c>
      <c r="F52" s="71" t="n">
        <f aca="false">RC!F82-RC!G82</f>
        <v>-14360</v>
      </c>
      <c r="G52" s="71" t="n">
        <f aca="false">RC!G82-RC!H82</f>
        <v>-21188</v>
      </c>
      <c r="H52" s="71" t="n">
        <f aca="false">RC!H82-RC!I82</f>
        <v>32538</v>
      </c>
      <c r="I52" s="71" t="n">
        <f aca="false">RC!I82-RC!J82</f>
        <v>-42860</v>
      </c>
      <c r="J52" s="71" t="n">
        <f aca="false">RC!J82-RC!K82</f>
        <v>-264244</v>
      </c>
      <c r="K52" s="71" t="n">
        <f aca="false">RC!K82-RC!L82</f>
        <v>337274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47989</v>
      </c>
      <c r="C53" s="71" t="n">
        <f aca="false">RC!C77-RC!D77</f>
        <v>23564</v>
      </c>
      <c r="D53" s="71" t="n">
        <f aca="false">RC!D77-RC!E77</f>
        <v>138019</v>
      </c>
      <c r="E53" s="71" t="n">
        <f aca="false">RC!E77-RC!F77</f>
        <v>90932</v>
      </c>
      <c r="F53" s="71" t="n">
        <f aca="false">RC!F77-RC!G77</f>
        <v>1869043</v>
      </c>
      <c r="G53" s="71" t="n">
        <f aca="false">RC!G77-RC!H77</f>
        <v>41520</v>
      </c>
      <c r="H53" s="71" t="n">
        <f aca="false">RC!H77-RC!I77</f>
        <v>62708</v>
      </c>
      <c r="I53" s="71" t="n">
        <f aca="false">RC!I77-RC!J77</f>
        <v>30170</v>
      </c>
      <c r="J53" s="71" t="n">
        <f aca="false">RC!J77-RC!K77</f>
        <v>73030</v>
      </c>
      <c r="K53" s="71" t="n">
        <f aca="false">RC!K77-RC!L77</f>
        <v>1018727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208796</v>
      </c>
      <c r="C58" s="74" t="n">
        <f aca="false">C4</f>
        <v>157219</v>
      </c>
      <c r="D58" s="74" t="n">
        <f aca="false">D4</f>
        <v>237075</v>
      </c>
      <c r="E58" s="74" t="n">
        <f aca="false">E4</f>
        <v>158900</v>
      </c>
      <c r="F58" s="74" t="n">
        <f aca="false">F4</f>
        <v>79314</v>
      </c>
      <c r="G58" s="74" t="n">
        <f aca="false">G4</f>
        <v>101378</v>
      </c>
      <c r="H58" s="74" t="n">
        <f aca="false">H4</f>
        <v>129035</v>
      </c>
      <c r="I58" s="74" t="n">
        <f aca="false">I4</f>
        <v>92400</v>
      </c>
      <c r="J58" s="74" t="n">
        <f aca="false">J4</f>
        <v>169833</v>
      </c>
      <c r="K58" s="74" t="n">
        <f aca="false">K4</f>
        <v>562402</v>
      </c>
    </row>
    <row r="59" customFormat="false" ht="15.75" hidden="false" customHeight="true" outlineLevel="0" collapsed="false">
      <c r="A59" s="44" t="s">
        <v>508</v>
      </c>
      <c r="B59" s="74" t="n">
        <f aca="false">B7</f>
        <v>10781972</v>
      </c>
      <c r="C59" s="74" t="n">
        <f aca="false">C7</f>
        <v>10502251</v>
      </c>
      <c r="D59" s="74" t="n">
        <f aca="false">D7</f>
        <v>9797336</v>
      </c>
      <c r="E59" s="74" t="n">
        <f aca="false">E7</f>
        <v>8086488</v>
      </c>
      <c r="F59" s="74" t="n">
        <f aca="false">F7</f>
        <v>7349721</v>
      </c>
      <c r="G59" s="74" t="n">
        <f aca="false">G7</f>
        <v>8370970</v>
      </c>
      <c r="H59" s="74" t="n">
        <f aca="false">H7</f>
        <v>7727686</v>
      </c>
      <c r="I59" s="74" t="n">
        <f aca="false">I7</f>
        <v>7677878</v>
      </c>
      <c r="J59" s="74" t="n">
        <f aca="false">J7</f>
        <v>7424443</v>
      </c>
      <c r="K59" s="74" t="n">
        <f aca="false">K7</f>
        <v>6901829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0.0193652886503508</v>
      </c>
      <c r="C60" s="75" t="n">
        <f aca="false">C58/C59</f>
        <v>0.0149700288062055</v>
      </c>
      <c r="D60" s="75" t="n">
        <f aca="false">D58/D59</f>
        <v>0.0241979044099335</v>
      </c>
      <c r="E60" s="75" t="n">
        <f aca="false">E58/E59</f>
        <v>0.0196500631671005</v>
      </c>
      <c r="F60" s="75" t="n">
        <f aca="false">F58/F59</f>
        <v>0.0107914300420383</v>
      </c>
      <c r="G60" s="75" t="n">
        <f aca="false">G58/G59</f>
        <v>0.012110663399821</v>
      </c>
      <c r="H60" s="75" t="n">
        <f aca="false">H58/H59</f>
        <v>0.0166977540236495</v>
      </c>
      <c r="I60" s="75" t="n">
        <f aca="false">I58/I59</f>
        <v>0.0120345751781938</v>
      </c>
      <c r="J60" s="75" t="n">
        <f aca="false">J58/J59</f>
        <v>0.0228748473117781</v>
      </c>
      <c r="K60" s="75" t="n">
        <f aca="false">K58/K59</f>
        <v>0.0814859365539193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208796</v>
      </c>
      <c r="C62" s="74" t="n">
        <f aca="false">C4</f>
        <v>157219</v>
      </c>
      <c r="D62" s="74" t="n">
        <f aca="false">D4</f>
        <v>237075</v>
      </c>
      <c r="E62" s="74" t="n">
        <f aca="false">E4</f>
        <v>158900</v>
      </c>
      <c r="F62" s="74" t="n">
        <f aca="false">F4</f>
        <v>79314</v>
      </c>
      <c r="G62" s="74" t="n">
        <f aca="false">G4</f>
        <v>101378</v>
      </c>
      <c r="H62" s="74" t="n">
        <f aca="false">H4</f>
        <v>129035</v>
      </c>
      <c r="I62" s="74" t="n">
        <f aca="false">I4</f>
        <v>92400</v>
      </c>
      <c r="J62" s="74" t="n">
        <f aca="false">J4</f>
        <v>169833</v>
      </c>
      <c r="K62" s="74" t="n">
        <f aca="false">K4</f>
        <v>562402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4915610.5</v>
      </c>
      <c r="C63" s="74" t="n">
        <f aca="false">C14</f>
        <v>4968956</v>
      </c>
      <c r="D63" s="74" t="n">
        <f aca="false">D14</f>
        <v>4636713</v>
      </c>
      <c r="E63" s="74" t="n">
        <f aca="false">E14</f>
        <v>4707839</v>
      </c>
      <c r="F63" s="74" t="n">
        <f aca="false">F14</f>
        <v>4200158.5</v>
      </c>
      <c r="G63" s="74" t="n">
        <f aca="false">G14</f>
        <v>3534802.5</v>
      </c>
      <c r="H63" s="74" t="n">
        <f aca="false">H14</f>
        <v>3478864.5</v>
      </c>
      <c r="I63" s="74" t="n">
        <f aca="false">I14</f>
        <v>2942468.5</v>
      </c>
      <c r="J63" s="74" t="n">
        <f aca="false">J14</f>
        <v>2861279.5</v>
      </c>
      <c r="K63" s="74" t="n">
        <f aca="false">K14</f>
        <v>3201983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0.0424761074946845</v>
      </c>
      <c r="C64" s="75" t="n">
        <f aca="false">C62/C63</f>
        <v>0.0316402479716061</v>
      </c>
      <c r="D64" s="75" t="n">
        <f aca="false">D62/D63</f>
        <v>0.0511299707357346</v>
      </c>
      <c r="E64" s="75" t="n">
        <f aca="false">E62/E63</f>
        <v>0.0337522162503858</v>
      </c>
      <c r="F64" s="75" t="n">
        <f aca="false">F62/F63</f>
        <v>0.0188835730842062</v>
      </c>
      <c r="G64" s="75" t="n">
        <f aca="false">G62/G63</f>
        <v>0.0286799616103021</v>
      </c>
      <c r="H64" s="75" t="n">
        <f aca="false">H62/H63</f>
        <v>0.0370911255669774</v>
      </c>
      <c r="I64" s="75" t="n">
        <f aca="false">I62/I63</f>
        <v>0.0314022053252227</v>
      </c>
      <c r="J64" s="75" t="n">
        <f aca="false">J62/J63</f>
        <v>0.0593556134589438</v>
      </c>
      <c r="K64" s="75" t="n">
        <f aca="false">K62/K63</f>
        <v>0.175641781983227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110269</v>
      </c>
      <c r="C66" s="74" t="n">
        <f aca="false">-C27</f>
        <v>101600</v>
      </c>
      <c r="D66" s="74" t="n">
        <f aca="false">-D27</f>
        <v>34715</v>
      </c>
      <c r="E66" s="74" t="n">
        <f aca="false">-E27</f>
        <v>32939</v>
      </c>
      <c r="F66" s="74" t="n">
        <f aca="false">-F27</f>
        <v>42003</v>
      </c>
      <c r="G66" s="74" t="n">
        <f aca="false">-G27</f>
        <v>43669</v>
      </c>
      <c r="H66" s="74" t="n">
        <f aca="false">-H27</f>
        <v>40987</v>
      </c>
      <c r="I66" s="74" t="n">
        <f aca="false">-I27</f>
        <v>52706</v>
      </c>
      <c r="J66" s="74" t="n">
        <f aca="false">-J27</f>
        <v>65192</v>
      </c>
      <c r="K66" s="74" t="n">
        <f aca="false">-K27</f>
        <v>60976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1754991</v>
      </c>
      <c r="C67" s="74" t="n">
        <f aca="false">C30</f>
        <v>1781020</v>
      </c>
      <c r="D67" s="74" t="n">
        <f aca="false">D30</f>
        <v>1631841.5</v>
      </c>
      <c r="E67" s="74" t="n">
        <f aca="false">E30</f>
        <v>1973522</v>
      </c>
      <c r="F67" s="74" t="n">
        <f aca="false">F30</f>
        <v>2291459.5</v>
      </c>
      <c r="G67" s="74" t="n">
        <f aca="false">G30</f>
        <v>2387526.5</v>
      </c>
      <c r="H67" s="74" t="n">
        <f aca="false">H30</f>
        <v>2401427.5</v>
      </c>
      <c r="I67" s="74" t="n">
        <f aca="false">I30</f>
        <v>2425113.5</v>
      </c>
      <c r="J67" s="74" t="n">
        <f aca="false">J30</f>
        <v>2350385</v>
      </c>
      <c r="K67" s="74" t="n">
        <f aca="false">K30</f>
        <v>2203518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0.0628316612449864</v>
      </c>
      <c r="C68" s="75" t="n">
        <f aca="false">C66/C67</f>
        <v>0.0570459624260255</v>
      </c>
      <c r="D68" s="75" t="n">
        <f aca="false">D66/D67</f>
        <v>0.0212735121640184</v>
      </c>
      <c r="E68" s="75" t="n">
        <f aca="false">E66/E67</f>
        <v>0.0166904650670223</v>
      </c>
      <c r="F68" s="75" t="n">
        <f aca="false">F66/F67</f>
        <v>0.0183302388717758</v>
      </c>
      <c r="G68" s="75" t="n">
        <f aca="false">G66/G67</f>
        <v>0.0182904776135469</v>
      </c>
      <c r="H68" s="75" t="n">
        <f aca="false">H66/H67</f>
        <v>0.0170677649023341</v>
      </c>
      <c r="I68" s="75" t="n">
        <f aca="false">I66/I67</f>
        <v>0.0217334157762101</v>
      </c>
      <c r="J68" s="75" t="n">
        <f aca="false">J66/J67</f>
        <v>0.0277367324927618</v>
      </c>
      <c r="K68" s="75" t="n">
        <f aca="false">K66/K67</f>
        <v>0.0276721134113722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1525</v>
      </c>
      <c r="C70" s="74" t="n">
        <f aca="false">C28</f>
        <v>2140</v>
      </c>
      <c r="D70" s="74" t="n">
        <f aca="false">D28</f>
        <v>2565</v>
      </c>
      <c r="E70" s="74" t="n">
        <f aca="false">E28</f>
        <v>4889</v>
      </c>
      <c r="F70" s="74" t="n">
        <f aca="false">F28</f>
        <v>3414</v>
      </c>
      <c r="G70" s="74" t="n">
        <f aca="false">G28</f>
        <v>4000</v>
      </c>
      <c r="H70" s="74" t="n">
        <f aca="false">H28</f>
        <v>2187</v>
      </c>
      <c r="I70" s="74" t="n">
        <f aca="false">I28</f>
        <v>2911</v>
      </c>
      <c r="J70" s="74" t="n">
        <f aca="false">J28</f>
        <v>2667</v>
      </c>
      <c r="K70" s="74" t="n">
        <f aca="false">K28</f>
        <v>12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146588</v>
      </c>
      <c r="C71" s="74" t="n">
        <f aca="false">C31</f>
        <v>103495</v>
      </c>
      <c r="D71" s="74" t="n">
        <f aca="false">D31</f>
        <v>218268</v>
      </c>
      <c r="E71" s="74" t="n">
        <f aca="false">E31</f>
        <v>374347</v>
      </c>
      <c r="F71" s="74" t="n">
        <f aca="false">F31</f>
        <v>219977.5</v>
      </c>
      <c r="G71" s="74" t="n">
        <f aca="false">G31</f>
        <v>41119</v>
      </c>
      <c r="H71" s="74" t="n">
        <f aca="false">H31</f>
        <v>73844</v>
      </c>
      <c r="I71" s="74" t="n">
        <f aca="false">I31</f>
        <v>54270.5</v>
      </c>
      <c r="J71" s="74" t="n">
        <f aca="false">J31</f>
        <v>0</v>
      </c>
      <c r="K71" s="74" t="n">
        <f aca="false">K31</f>
        <v>0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0.0104033072284225</v>
      </c>
      <c r="C72" s="75" t="n">
        <f aca="false">C70/C71</f>
        <v>0.0206773274071211</v>
      </c>
      <c r="D72" s="75" t="n">
        <f aca="false">D70/D71</f>
        <v>0.0117516081147947</v>
      </c>
      <c r="E72" s="75" t="n">
        <f aca="false">E70/E71</f>
        <v>0.0130600752777503</v>
      </c>
      <c r="F72" s="75" t="n">
        <f aca="false">F70/F71</f>
        <v>0.015519769067291</v>
      </c>
      <c r="G72" s="75" t="n">
        <f aca="false">G70/G71</f>
        <v>0.0972786303168851</v>
      </c>
      <c r="H72" s="75" t="n">
        <f aca="false">H70/H71</f>
        <v>0.0296164888142571</v>
      </c>
      <c r="I72" s="75" t="n">
        <f aca="false">I70/I71</f>
        <v>0.0536387171667849</v>
      </c>
      <c r="J72" s="75" t="e">
        <f aca="false">J70/J71</f>
        <v>#DIV/0!</v>
      </c>
      <c r="K72" s="75" t="e">
        <f aca="false">K70/K71</f>
        <v>#DIV/0!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64500</v>
      </c>
      <c r="C75" s="74" t="n">
        <f aca="false">C18</f>
        <v>44500</v>
      </c>
      <c r="D75" s="74" t="n">
        <f aca="false">D18</f>
        <v>32000</v>
      </c>
      <c r="E75" s="74" t="n">
        <f aca="false">E18</f>
        <v>32000</v>
      </c>
      <c r="F75" s="74" t="n">
        <f aca="false">F18</f>
        <v>32000</v>
      </c>
      <c r="G75" s="74" t="n">
        <f aca="false">G18</f>
        <v>17000</v>
      </c>
      <c r="H75" s="74" t="n">
        <f aca="false">H18</f>
        <v>2000</v>
      </c>
      <c r="I75" s="74" t="n">
        <f aca="false">I18</f>
        <v>2000</v>
      </c>
      <c r="J75" s="74" t="n">
        <f aca="false">J18</f>
        <v>2000</v>
      </c>
      <c r="K75" s="74" t="n">
        <f aca="false">K18</f>
        <v>2000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</v>
      </c>
      <c r="C76" s="75" t="n">
        <f aca="false">C74/C75</f>
        <v>0</v>
      </c>
      <c r="D76" s="75" t="n">
        <f aca="false">D74/D75</f>
        <v>0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0</v>
      </c>
      <c r="K76" s="75" t="n">
        <f aca="false">K74/K75</f>
        <v>0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47991</v>
      </c>
      <c r="C78" s="74" t="n">
        <f aca="false">C6</f>
        <v>23563</v>
      </c>
      <c r="D78" s="74" t="n">
        <f aca="false">D6</f>
        <v>138018</v>
      </c>
      <c r="E78" s="74" t="n">
        <f aca="false">E6</f>
        <v>90933</v>
      </c>
      <c r="F78" s="74" t="n">
        <f aca="false">F6</f>
        <v>27160</v>
      </c>
      <c r="G78" s="74" t="n">
        <f aca="false">G6</f>
        <v>41520</v>
      </c>
      <c r="H78" s="74" t="n">
        <f aca="false">H6</f>
        <v>62708</v>
      </c>
      <c r="I78" s="74" t="n">
        <f aca="false">I6</f>
        <v>30170</v>
      </c>
      <c r="J78" s="74" t="n">
        <f aca="false">J6</f>
        <v>73030</v>
      </c>
      <c r="K78" s="74" t="n">
        <f aca="false">K6</f>
        <v>337274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3371707.5</v>
      </c>
      <c r="C79" s="74" t="n">
        <f aca="false">C46</f>
        <v>3335931</v>
      </c>
      <c r="D79" s="74" t="n">
        <f aca="false">D46</f>
        <v>3255139.5</v>
      </c>
      <c r="E79" s="74" t="n">
        <f aca="false">E46</f>
        <v>3140664</v>
      </c>
      <c r="F79" s="74" t="n">
        <f aca="false">F46</f>
        <v>2160676.5</v>
      </c>
      <c r="G79" s="74" t="n">
        <f aca="false">G46</f>
        <v>1205395</v>
      </c>
      <c r="H79" s="74" t="n">
        <f aca="false">H46</f>
        <v>1153281</v>
      </c>
      <c r="I79" s="74" t="n">
        <f aca="false">I46</f>
        <v>1106842</v>
      </c>
      <c r="J79" s="74" t="n">
        <f aca="false">J46</f>
        <v>1055242</v>
      </c>
      <c r="K79" s="74" t="n">
        <f aca="false">K46</f>
        <v>1018727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0.0142334410680642</v>
      </c>
      <c r="C80" s="75" t="n">
        <f aca="false">C78/C79</f>
        <v>0.00706339549589005</v>
      </c>
      <c r="D80" s="75" t="n">
        <f aca="false">D78/D79</f>
        <v>0.0424000261739935</v>
      </c>
      <c r="E80" s="75" t="n">
        <f aca="false">E78/E79</f>
        <v>0.0289534315036566</v>
      </c>
      <c r="F80" s="75" t="n">
        <f aca="false">F78/F79</f>
        <v>0.0125701371769444</v>
      </c>
      <c r="G80" s="75" t="n">
        <f aca="false">G78/G79</f>
        <v>0.0344451403896648</v>
      </c>
      <c r="H80" s="75" t="n">
        <f aca="false">H78/H79</f>
        <v>0.054373565505718</v>
      </c>
      <c r="I80" s="75" t="n">
        <f aca="false">I78/I79</f>
        <v>0.0272577296488568</v>
      </c>
      <c r="J80" s="75" t="n">
        <f aca="false">J78/J79</f>
        <v>0.0692068738734812</v>
      </c>
      <c r="K80" s="75" t="n">
        <f aca="false">K78/K79</f>
        <v>0.33107397762109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100052</v>
      </c>
      <c r="C82" s="74" t="n">
        <f aca="false">C3</f>
        <v>57759</v>
      </c>
      <c r="D82" s="74" t="n">
        <f aca="false">D3</f>
        <v>204925</v>
      </c>
      <c r="E82" s="74" t="n">
        <f aca="false">E3</f>
        <v>130850</v>
      </c>
      <c r="F82" s="74" t="n">
        <f aca="false">F3</f>
        <v>40725</v>
      </c>
      <c r="G82" s="74" t="n">
        <f aca="false">G3</f>
        <v>61709</v>
      </c>
      <c r="H82" s="74" t="n">
        <f aca="false">H3</f>
        <v>90235</v>
      </c>
      <c r="I82" s="74" t="n">
        <f aca="false">I3</f>
        <v>42605</v>
      </c>
      <c r="J82" s="74" t="n">
        <f aca="false">J3</f>
        <v>107308</v>
      </c>
      <c r="K82" s="74" t="n">
        <f aca="false">K3</f>
        <v>501438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3371707.5</v>
      </c>
      <c r="C83" s="74" t="n">
        <f aca="false">C46</f>
        <v>3335931</v>
      </c>
      <c r="D83" s="74" t="n">
        <f aca="false">D46</f>
        <v>3255139.5</v>
      </c>
      <c r="E83" s="74" t="n">
        <f aca="false">E46</f>
        <v>3140664</v>
      </c>
      <c r="F83" s="74" t="n">
        <f aca="false">F46</f>
        <v>2160676.5</v>
      </c>
      <c r="G83" s="74" t="n">
        <f aca="false">G46</f>
        <v>1205395</v>
      </c>
      <c r="H83" s="74" t="n">
        <f aca="false">H46</f>
        <v>1153281</v>
      </c>
      <c r="I83" s="74" t="n">
        <f aca="false">I46</f>
        <v>1106842</v>
      </c>
      <c r="J83" s="74" t="n">
        <f aca="false">J46</f>
        <v>1055242</v>
      </c>
      <c r="K83" s="74" t="n">
        <f aca="false">K46</f>
        <v>1018727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0.0296739856586018</v>
      </c>
      <c r="C84" s="75" t="n">
        <f aca="false">C82/C83</f>
        <v>0.0173142070384549</v>
      </c>
      <c r="D84" s="75" t="n">
        <f aca="false">D82/D83</f>
        <v>0.0629542912062601</v>
      </c>
      <c r="E84" s="75" t="n">
        <f aca="false">E82/E83</f>
        <v>0.0416631642225975</v>
      </c>
      <c r="F84" s="75" t="n">
        <f aca="false">F82/F83</f>
        <v>0.0188482634952525</v>
      </c>
      <c r="G84" s="75" t="n">
        <f aca="false">G82/G83</f>
        <v>0.0511940069437819</v>
      </c>
      <c r="H84" s="75" t="n">
        <f aca="false">H82/H83</f>
        <v>0.0782419895931694</v>
      </c>
      <c r="I84" s="75" t="n">
        <f aca="false">I82/I83</f>
        <v>0.0384923954819206</v>
      </c>
      <c r="J84" s="75" t="n">
        <f aca="false">J82/J83</f>
        <v>0.101690417932569</v>
      </c>
      <c r="K84" s="75" t="n">
        <f aca="false">K82/K83</f>
        <v>0.492220192455879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0.0424761074946845</v>
      </c>
      <c r="C87" s="74" t="n">
        <f aca="false">C64</f>
        <v>0.0316402479716061</v>
      </c>
      <c r="D87" s="74" t="n">
        <f aca="false">D64</f>
        <v>0.0511299707357346</v>
      </c>
      <c r="E87" s="74" t="n">
        <f aca="false">E64</f>
        <v>0.0337522162503858</v>
      </c>
      <c r="F87" s="74" t="n">
        <f aca="false">F64</f>
        <v>0.0188835730842062</v>
      </c>
      <c r="G87" s="74" t="n">
        <f aca="false">G64</f>
        <v>0.0286799616103021</v>
      </c>
      <c r="H87" s="74" t="n">
        <f aca="false">H64</f>
        <v>0.0370911255669774</v>
      </c>
      <c r="I87" s="74" t="n">
        <f aca="false">I64</f>
        <v>0.0314022053252227</v>
      </c>
      <c r="J87" s="74" t="n">
        <f aca="false">J64</f>
        <v>0.0593556134589438</v>
      </c>
      <c r="K87" s="74" t="n">
        <f aca="false">K64</f>
        <v>0.175641781983227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-0.0105951698454851</v>
      </c>
      <c r="C88" s="74" t="n">
        <f aca="false">(C87-C68)*(C30/C46)</f>
        <v>-0.013563855354805</v>
      </c>
      <c r="D88" s="74" t="n">
        <f aca="false">(D87-D68)*(D30/D46)</f>
        <v>0.0149674101955868</v>
      </c>
      <c r="E88" s="74" t="n">
        <f aca="false">(E87-E68)*(E30/E46)</f>
        <v>0.0107212173345808</v>
      </c>
      <c r="F88" s="74" t="n">
        <f aca="false">(F87-F68)*(F30/F46)</f>
        <v>0.000586826828425567</v>
      </c>
      <c r="G88" s="74" t="n">
        <f aca="false">(G87-G68)*(G30/G46)</f>
        <v>0.020578456326415</v>
      </c>
      <c r="H88" s="74" t="n">
        <f aca="false">(H87-H68)*(H30/H46)</f>
        <v>0.0416937840322459</v>
      </c>
      <c r="I88" s="74" t="n">
        <f aca="false">(I87-I68)*(I30/I46)</f>
        <v>0.0211845160049668</v>
      </c>
      <c r="J88" s="74" t="n">
        <f aca="false">(J87-J68)*(J30/J46)</f>
        <v>0.0704260667597571</v>
      </c>
      <c r="K88" s="74" t="n">
        <f aca="false">(K87-K68)*(K30/K46)</f>
        <v>0.32006006334584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-0.00139439368492991</v>
      </c>
      <c r="C89" s="74" t="n">
        <f aca="false">(C72-C87)*(C31/C46)</f>
        <v>-0.0003401171858235</v>
      </c>
      <c r="D89" s="74" t="n">
        <f aca="false">(D72-D87)*(D31/D46)</f>
        <v>-0.00264045103214388</v>
      </c>
      <c r="E89" s="74" t="n">
        <f aca="false">(E72-E87)*(E31/E46)</f>
        <v>-0.00246637045436353</v>
      </c>
      <c r="F89" s="74" t="n">
        <f aca="false">(F72-F87)*(F31/F46)</f>
        <v>-0.000342467369886688</v>
      </c>
      <c r="G89" s="74" t="n">
        <f aca="false">(G72-G87)*(G31/G46)</f>
        <v>0.00234006998415124</v>
      </c>
      <c r="H89" s="74" t="n">
        <f aca="false">(H72-H87)*(H31/H46)</f>
        <v>-0.000478597216435438</v>
      </c>
      <c r="I89" s="74" t="n">
        <f aca="false">(I72-I87)*(I31/I46)</f>
        <v>0.00109029709380156</v>
      </c>
      <c r="J89" s="74" t="e">
        <f aca="false">(J72-J87)*(J31/J46)</f>
        <v>#DIV/0!</v>
      </c>
      <c r="K89" s="74" t="e">
        <f aca="false">(K72-K87)*(K31/K46)</f>
        <v>#DIV/0!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-0.000812558305667723</v>
      </c>
      <c r="C90" s="74" t="n">
        <f aca="false">(C76-C87)*(C75/C46)</f>
        <v>-0.000422068392522649</v>
      </c>
      <c r="D90" s="74" t="n">
        <f aca="false">(D76-D87)*(D75/D46)</f>
        <v>-0.00050263869291731</v>
      </c>
      <c r="E90" s="74" t="n">
        <f aca="false">(E76-E87)*(E75/E46)</f>
        <v>-0.000343898908005551</v>
      </c>
      <c r="F90" s="74" t="n">
        <f aca="false">(F76-F87)*(F75/F46)</f>
        <v>-0.000279669047492579</v>
      </c>
      <c r="G90" s="74" t="n">
        <f aca="false">(G76-G87)*(G75/G46)</f>
        <v>-0.000404480977086462</v>
      </c>
      <c r="H90" s="74" t="n">
        <f aca="false">(H76-H87)*(H75/H46)</f>
        <v>-6.43227896184493E-005</v>
      </c>
      <c r="I90" s="74" t="n">
        <f aca="false">(I76-I87)*(I75/I46)</f>
        <v>-5.67419836349229E-005</v>
      </c>
      <c r="J90" s="74" t="n">
        <f aca="false">(J76-J87)*(J75/J46)</f>
        <v>-0.000112496685042756</v>
      </c>
      <c r="K90" s="74" t="n">
        <f aca="false">(K76-K87)*(K75/K46)</f>
        <v>-0.000344826007327237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0.0296739856586018</v>
      </c>
      <c r="C91" s="75" t="n">
        <f aca="false">SUM(C87:C90)</f>
        <v>0.0173142070384549</v>
      </c>
      <c r="D91" s="75" t="n">
        <f aca="false">SUM(D87:D90)</f>
        <v>0.0629542912062601</v>
      </c>
      <c r="E91" s="75" t="n">
        <f aca="false">SUM(E87:E90)</f>
        <v>0.0416631642225975</v>
      </c>
      <c r="F91" s="75" t="n">
        <f aca="false">SUM(F87:F90)</f>
        <v>0.0188482634952525</v>
      </c>
      <c r="G91" s="75" t="n">
        <f aca="false">SUM(G87:G90)</f>
        <v>0.0511940069437819</v>
      </c>
      <c r="H91" s="75" t="n">
        <f aca="false">SUM(H87:H90)</f>
        <v>0.0782419895931694</v>
      </c>
      <c r="I91" s="75" t="n">
        <f aca="false">SUM(I87:I90)</f>
        <v>0.0536202764403561</v>
      </c>
      <c r="J91" s="75" t="e">
        <f aca="false">SUM(J87:J90)</f>
        <v>#DIV/0!</v>
      </c>
      <c r="K91" s="75" t="e">
        <f aca="false">SUM(K87:K90)</f>
        <v>#DIV/0!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0.061925893631046</v>
      </c>
      <c r="C94" s="74" t="n">
        <f aca="false">C64*(C14/C46)</f>
        <v>0.0471289723918151</v>
      </c>
      <c r="D94" s="74" t="n">
        <f aca="false">D64*(D14/D46)</f>
        <v>0.0728309800547718</v>
      </c>
      <c r="E94" s="74" t="n">
        <f aca="false">E64*(E14/E46)</f>
        <v>0.0505943965989358</v>
      </c>
      <c r="F94" s="74" t="n">
        <f aca="false">F64*(F14/F46)</f>
        <v>0.0367079477191519</v>
      </c>
      <c r="G94" s="74" t="n">
        <f aca="false">G64*(G14/G46)</f>
        <v>0.0841035511180982</v>
      </c>
      <c r="H94" s="74" t="n">
        <f aca="false">H64*(H14/H46)</f>
        <v>0.111885134672296</v>
      </c>
      <c r="I94" s="74" t="n">
        <f aca="false">I64*(I14/I46)</f>
        <v>0.0834807497366381</v>
      </c>
      <c r="J94" s="74" t="n">
        <f aca="false">J64*(J14/J46)</f>
        <v>0.160942229365397</v>
      </c>
      <c r="K94" s="74" t="n">
        <f aca="false">K64*(K14/K46)</f>
        <v>0.552063506709845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-0.0327042010613317</v>
      </c>
      <c r="C95" s="74" t="n">
        <f aca="false">-C68*(C30/C46)</f>
        <v>-0.0304562654323486</v>
      </c>
      <c r="D95" s="74" t="n">
        <f aca="false">-D68*(D30/D46)</f>
        <v>-0.0106646735109202</v>
      </c>
      <c r="E95" s="74" t="n">
        <f aca="false">-E68*(E30/E46)</f>
        <v>-0.0104879095630733</v>
      </c>
      <c r="F95" s="74" t="n">
        <f aca="false">-F68*(F30/F46)</f>
        <v>-0.0194397449132251</v>
      </c>
      <c r="G95" s="74" t="n">
        <f aca="false">-G68*(G30/G46)</f>
        <v>-0.0362279584700451</v>
      </c>
      <c r="H95" s="74" t="n">
        <f aca="false">-H68*(H30/H46)</f>
        <v>-0.0355394739009834</v>
      </c>
      <c r="I95" s="74" t="n">
        <f aca="false">-I68*(I30/I46)</f>
        <v>-0.0476183592599486</v>
      </c>
      <c r="J95" s="74" t="n">
        <f aca="false">-J68*(J30/J46)</f>
        <v>-0.0617791937773515</v>
      </c>
      <c r="K95" s="74" t="n">
        <f aca="false">-K68*(K30/K46)</f>
        <v>-0.0598550936610103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0.000452293088887455</v>
      </c>
      <c r="C96" s="74" t="n">
        <f aca="false">C72*(C31/C46)</f>
        <v>0.000641500078988444</v>
      </c>
      <c r="D96" s="74" t="n">
        <f aca="false">D72*(D31/D46)</f>
        <v>0.000787984662408477</v>
      </c>
      <c r="E96" s="74" t="n">
        <f aca="false">E72*(E31/E46)</f>
        <v>0.00155667718673503</v>
      </c>
      <c r="F96" s="74" t="n">
        <f aca="false">F72*(F31/F46)</f>
        <v>0.00158006068932577</v>
      </c>
      <c r="G96" s="74" t="n">
        <f aca="false">G72*(G31/G46)</f>
        <v>0.00331841429572879</v>
      </c>
      <c r="H96" s="74" t="n">
        <f aca="false">H72*(H31/H46)</f>
        <v>0.00189632882185695</v>
      </c>
      <c r="I96" s="74" t="n">
        <f aca="false">I72*(I31/I46)</f>
        <v>0.0026300050052311</v>
      </c>
      <c r="J96" s="74" t="e">
        <f aca="false">J72*(J31/J46)</f>
        <v>#DIV/0!</v>
      </c>
      <c r="K96" s="74" t="e">
        <f aca="false">K72*(K31/K46)</f>
        <v>#DIV/0!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0</v>
      </c>
      <c r="C97" s="74" t="n">
        <f aca="false">C76*(C18/C46)</f>
        <v>0</v>
      </c>
      <c r="D97" s="74" t="n">
        <f aca="false">D76*(D18/D46)</f>
        <v>0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n">
        <f aca="false">K76*(K18/K46)</f>
        <v>0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0.0296739856586018</v>
      </c>
      <c r="C98" s="75" t="n">
        <f aca="false">SUM(C94:C97)</f>
        <v>0.0173142070384549</v>
      </c>
      <c r="D98" s="75" t="n">
        <f aca="false">SUM(D94:D97)</f>
        <v>0.0629542912062601</v>
      </c>
      <c r="E98" s="75" t="n">
        <f aca="false">SUM(E94:E97)</f>
        <v>0.0416631642225975</v>
      </c>
      <c r="F98" s="75" t="n">
        <f aca="false">SUM(F94:F97)</f>
        <v>0.0188482634952525</v>
      </c>
      <c r="G98" s="75" t="n">
        <f aca="false">SUM(G94:G97)</f>
        <v>0.0511940069437819</v>
      </c>
      <c r="H98" s="75" t="n">
        <f aca="false">SUM(H94:H97)</f>
        <v>0.0782419895931694</v>
      </c>
      <c r="I98" s="75" t="n">
        <f aca="false">SUM(I94:I97)</f>
        <v>0.0384923954819207</v>
      </c>
      <c r="J98" s="75" t="e">
        <f aca="false">SUM(J94:J97)</f>
        <v>#DIV/0!</v>
      </c>
      <c r="K98" s="75" t="e">
        <f aca="false">SUM(K94:K97)</f>
        <v>#DIV/0!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0</v>
      </c>
      <c r="E100" s="74" t="n">
        <f aca="false">E84-E91</f>
        <v>0</v>
      </c>
      <c r="F100" s="74" t="n">
        <f aca="false">F84-F91</f>
        <v>0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-0.0151278809584354</v>
      </c>
      <c r="J100" s="74" t="e">
        <f aca="false">J84-J91</f>
        <v>#DIV/0!</v>
      </c>
      <c r="K100" s="74" t="e">
        <f aca="false">K84-K91</f>
        <v>#DIV/0!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0</v>
      </c>
      <c r="E101" s="74" t="n">
        <f aca="false">E84-E98</f>
        <v>0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e">
        <f aca="false">J84-J98</f>
        <v>#DIV/0!</v>
      </c>
      <c r="K101" s="74" t="e">
        <f aca="false">K84-K98</f>
        <v>#DIV/0!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100052</v>
      </c>
      <c r="C104" s="74" t="n">
        <f aca="false">C3</f>
        <v>57759</v>
      </c>
      <c r="D104" s="74" t="n">
        <f aca="false">D3</f>
        <v>204925</v>
      </c>
      <c r="E104" s="74" t="n">
        <f aca="false">E3</f>
        <v>130850</v>
      </c>
      <c r="F104" s="74" t="n">
        <f aca="false">F3</f>
        <v>40725</v>
      </c>
      <c r="G104" s="74" t="n">
        <f aca="false">G3</f>
        <v>61709</v>
      </c>
      <c r="H104" s="74" t="n">
        <f aca="false">H3</f>
        <v>90235</v>
      </c>
      <c r="I104" s="74" t="n">
        <f aca="false">I3</f>
        <v>42605</v>
      </c>
      <c r="J104" s="74" t="n">
        <f aca="false">J3</f>
        <v>107308</v>
      </c>
      <c r="K104" s="74" t="n">
        <f aca="false">K3</f>
        <v>501438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3371707.5</v>
      </c>
      <c r="C105" s="74" t="n">
        <f aca="false">C46</f>
        <v>3335931</v>
      </c>
      <c r="D105" s="74" t="n">
        <f aca="false">D46</f>
        <v>3255139.5</v>
      </c>
      <c r="E105" s="74" t="n">
        <f aca="false">E46</f>
        <v>3140664</v>
      </c>
      <c r="F105" s="74" t="n">
        <f aca="false">F46</f>
        <v>2160676.5</v>
      </c>
      <c r="G105" s="74" t="n">
        <f aca="false">G46</f>
        <v>1205395</v>
      </c>
      <c r="H105" s="74" t="n">
        <f aca="false">H46</f>
        <v>1153281</v>
      </c>
      <c r="I105" s="74" t="n">
        <f aca="false">I46</f>
        <v>1106842</v>
      </c>
      <c r="J105" s="74" t="n">
        <f aca="false">J46</f>
        <v>1055242</v>
      </c>
      <c r="K105" s="74" t="n">
        <f aca="false">K46</f>
        <v>1018727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1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0.47966057650022</v>
      </c>
      <c r="C107" s="74" t="n">
        <f aca="false">(C3+C23+C29)/(C3+C23)</f>
        <v>0.407953738811268</v>
      </c>
      <c r="D107" s="74" t="n">
        <f aca="false">(D3+D23+D29)/(D3+D23)</f>
        <v>0.673504940832012</v>
      </c>
      <c r="E107" s="74" t="n">
        <f aca="false">(E3+E23+E29)/(E3+E23)</f>
        <v>0.694940771876194</v>
      </c>
      <c r="F107" s="74" t="n">
        <f aca="false">(F3+F23+F29)/(F3+F23)</f>
        <v>0.666912216083487</v>
      </c>
      <c r="G107" s="74" t="n">
        <f aca="false">(G3+G23+G29)/(G3+G23)</f>
        <v>0.672835404884215</v>
      </c>
      <c r="H107" s="74" t="n">
        <f aca="false">(H3+H23+H29)/(H3+H23)</f>
        <v>0.694940987421732</v>
      </c>
      <c r="I107" s="74" t="n">
        <f aca="false">(I3+I23+I29)/(I3+I23)</f>
        <v>0.708132848257247</v>
      </c>
      <c r="J107" s="74" t="n">
        <f aca="false">(J3+J23+J29)/(J3+J23)</f>
        <v>0.680564356804712</v>
      </c>
      <c r="K107" s="74" t="n">
        <f aca="false">(K3+K23+K29)/(K3+K23)</f>
        <v>0.672613563391686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0.0142334410680642</v>
      </c>
      <c r="C108" s="74" t="n">
        <f aca="false">C6/C46</f>
        <v>0.00706339549589005</v>
      </c>
      <c r="D108" s="74" t="n">
        <f aca="false">D6/D46</f>
        <v>0.0424000261739935</v>
      </c>
      <c r="E108" s="74" t="n">
        <f aca="false">E6/E46</f>
        <v>0.0289534315036566</v>
      </c>
      <c r="F108" s="74" t="n">
        <f aca="false">F6/F46</f>
        <v>0.0125701371769444</v>
      </c>
      <c r="G108" s="74" t="n">
        <f aca="false">G6/G46</f>
        <v>0.0344451403896648</v>
      </c>
      <c r="H108" s="74" t="n">
        <f aca="false">H6/H46</f>
        <v>0.054373565505718</v>
      </c>
      <c r="I108" s="74" t="n">
        <f aca="false">I6/I46</f>
        <v>0.0272577296488568</v>
      </c>
      <c r="J108" s="74" t="n">
        <f aca="false">J6/J46</f>
        <v>0.0692068738734812</v>
      </c>
      <c r="K108" s="74" t="n">
        <f aca="false">K6/K46</f>
        <v>0.33107397762109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0.0142334410680642</v>
      </c>
      <c r="C109" s="75" t="n">
        <f aca="false">(C104/C105)*C106*C107</f>
        <v>0.00706339549589005</v>
      </c>
      <c r="D109" s="75" t="n">
        <f aca="false">(D104/D105)*D106*D107</f>
        <v>0.0424000261739935</v>
      </c>
      <c r="E109" s="75" t="n">
        <f aca="false">(E104/E105)*E106*E107</f>
        <v>0.0289534315036566</v>
      </c>
      <c r="F109" s="75" t="n">
        <f aca="false">(F104/F105)*F106*F107</f>
        <v>0.0125701371769444</v>
      </c>
      <c r="G109" s="75" t="n">
        <f aca="false">(G104/G105)*G106*G107</f>
        <v>0.0344451403896648</v>
      </c>
      <c r="H109" s="75" t="n">
        <f aca="false">(H104/H105)*H106*H107</f>
        <v>0.054373565505718</v>
      </c>
      <c r="I109" s="75" t="n">
        <f aca="false">(I104/I105)*I106*I107</f>
        <v>0.0272577296488568</v>
      </c>
      <c r="J109" s="75" t="n">
        <f aca="false">(J104/J105)*J106*J107</f>
        <v>0.0692068738734812</v>
      </c>
      <c r="K109" s="75" t="n">
        <f aca="false">(K104/K105)*K106*K107</f>
        <v>0.33107397762109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1364807.5</v>
      </c>
      <c r="C115" s="74" t="n">
        <f aca="false">C32</f>
        <v>1326245</v>
      </c>
      <c r="D115" s="74" t="n">
        <f aca="false">D32</f>
        <v>1182449</v>
      </c>
      <c r="E115" s="74" t="n">
        <f aca="false">E32</f>
        <v>871810.5</v>
      </c>
      <c r="F115" s="74" t="n">
        <f aca="false">F32</f>
        <v>892609</v>
      </c>
      <c r="G115" s="74" t="n">
        <f aca="false">G32</f>
        <v>1038561</v>
      </c>
      <c r="H115" s="74" t="n">
        <f aca="false">H32</f>
        <v>910853</v>
      </c>
      <c r="I115" s="74" t="n">
        <f aca="false">I32</f>
        <v>807385</v>
      </c>
      <c r="J115" s="74" t="n">
        <f aca="false">J32</f>
        <v>767015</v>
      </c>
      <c r="K115" s="74" t="n">
        <f aca="false">K32</f>
        <v>795525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36038.3721643836</v>
      </c>
      <c r="C116" s="74" t="n">
        <f aca="false">C9</f>
        <v>35103.4143013699</v>
      </c>
      <c r="D116" s="74" t="n">
        <f aca="false">D9</f>
        <v>32747.2600547945</v>
      </c>
      <c r="E116" s="74" t="n">
        <f aca="false">E9</f>
        <v>27028.8092054795</v>
      </c>
      <c r="F116" s="74" t="n">
        <f aca="false">F9</f>
        <v>24566.190739726</v>
      </c>
      <c r="G116" s="74" t="n">
        <f aca="false">G9</f>
        <v>27979.6805479452</v>
      </c>
      <c r="H116" s="74" t="n">
        <f aca="false">H9</f>
        <v>25829.5258082192</v>
      </c>
      <c r="I116" s="74" t="n">
        <f aca="false">I9</f>
        <v>25663.0442739726</v>
      </c>
      <c r="J116" s="74" t="n">
        <f aca="false">J9</f>
        <v>24815.9464657534</v>
      </c>
      <c r="K116" s="74" t="n">
        <f aca="false">K9</f>
        <v>23069.1270684931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37.8709530434571</v>
      </c>
      <c r="C117" s="78" t="n">
        <f aca="false">C115/C116</f>
        <v>37.7810827349705</v>
      </c>
      <c r="D117" s="78" t="n">
        <f aca="false">D115/D116</f>
        <v>36.1083338887425</v>
      </c>
      <c r="E117" s="78" t="n">
        <f aca="false">E115/E116</f>
        <v>32.2548615949851</v>
      </c>
      <c r="F117" s="78" t="n">
        <f aca="false">F115/F116</f>
        <v>36.3348558780243</v>
      </c>
      <c r="G117" s="78" t="n">
        <f aca="false">G115/G116</f>
        <v>37.1184009131323</v>
      </c>
      <c r="H117" s="78" t="n">
        <f aca="false">H115/H116</f>
        <v>35.2640233027491</v>
      </c>
      <c r="I117" s="78" t="n">
        <f aca="false">I115/I116</f>
        <v>31.4609986009668</v>
      </c>
      <c r="J117" s="78" t="n">
        <f aca="false">J115/J116</f>
        <v>30.9081501710402</v>
      </c>
      <c r="K117" s="78" t="n">
        <f aca="false">K115/K116</f>
        <v>34.4843997624208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1012072.5</v>
      </c>
      <c r="C119" s="74" t="n">
        <f aca="false">C33</f>
        <v>1047930.5</v>
      </c>
      <c r="D119" s="74" t="n">
        <f aca="false">D33</f>
        <v>946133.5</v>
      </c>
      <c r="E119" s="74" t="n">
        <f aca="false">E33</f>
        <v>639978</v>
      </c>
      <c r="F119" s="74" t="n">
        <f aca="false">F33</f>
        <v>539441.5</v>
      </c>
      <c r="G119" s="74" t="n">
        <f aca="false">G33</f>
        <v>588493.5</v>
      </c>
      <c r="H119" s="74" t="n">
        <f aca="false">H33</f>
        <v>615389</v>
      </c>
      <c r="I119" s="74" t="n">
        <f aca="false">I33</f>
        <v>625322</v>
      </c>
      <c r="J119" s="74" t="n">
        <f aca="false">J33</f>
        <v>600417.5</v>
      </c>
      <c r="K119" s="74" t="n">
        <f aca="false">K33</f>
        <v>622035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30427.1609863014</v>
      </c>
      <c r="C120" s="74" t="n">
        <f aca="false">-C11</f>
        <v>30024.6378630137</v>
      </c>
      <c r="D120" s="74" t="n">
        <f aca="false">-D11</f>
        <v>29088.4165479452</v>
      </c>
      <c r="E120" s="74" t="n">
        <f aca="false">-E11</f>
        <v>21665.762739726</v>
      </c>
      <c r="F120" s="74" t="n">
        <f aca="false">-F11</f>
        <v>20657.9591780822</v>
      </c>
      <c r="G120" s="74" t="n">
        <f aca="false">-G11</f>
        <v>23238.7371506849</v>
      </c>
      <c r="H120" s="74" t="n">
        <f aca="false">-H11</f>
        <v>21804.2912328767</v>
      </c>
      <c r="I120" s="74" t="n">
        <f aca="false">-I11</f>
        <v>21849.4178630137</v>
      </c>
      <c r="J120" s="74" t="n">
        <f aca="false">-J11</f>
        <v>21199.2748493151</v>
      </c>
      <c r="K120" s="74" t="n">
        <f aca="false">-K11</f>
        <v>18695.3903013699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33.2621403770022</v>
      </c>
      <c r="C121" s="78" t="n">
        <f aca="false">C119/C120</f>
        <v>34.9023526871879</v>
      </c>
      <c r="D121" s="78" t="n">
        <f aca="false">D119/D120</f>
        <v>32.5261259388433</v>
      </c>
      <c r="E121" s="78" t="n">
        <f aca="false">E119/E120</f>
        <v>29.5386784987978</v>
      </c>
      <c r="F121" s="78" t="n">
        <f aca="false">F119/F120</f>
        <v>26.1130102615528</v>
      </c>
      <c r="G121" s="78" t="n">
        <f aca="false">G119/G120</f>
        <v>25.3238158418025</v>
      </c>
      <c r="H121" s="78" t="n">
        <f aca="false">H119/H120</f>
        <v>28.2232975806208</v>
      </c>
      <c r="I121" s="78" t="n">
        <f aca="false">I119/I120</f>
        <v>28.6196183312753</v>
      </c>
      <c r="J121" s="78" t="n">
        <f aca="false">J119/J120</f>
        <v>28.3225489677256</v>
      </c>
      <c r="K121" s="78" t="n">
        <f aca="false">K119/K120</f>
        <v>33.2721055817926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1257418.5</v>
      </c>
      <c r="C123" s="74" t="n">
        <f aca="false">C34</f>
        <v>1325280</v>
      </c>
      <c r="D123" s="74" t="n">
        <f aca="false">D34</f>
        <v>1052671.5</v>
      </c>
      <c r="E123" s="74" t="n">
        <f aca="false">E34</f>
        <v>907386.5</v>
      </c>
      <c r="F123" s="74" t="n">
        <f aca="false">F34</f>
        <v>1002805</v>
      </c>
      <c r="G123" s="74" t="n">
        <f aca="false">G34</f>
        <v>1049302.5</v>
      </c>
      <c r="H123" s="74" t="n">
        <f aca="false">H34</f>
        <v>1049229</v>
      </c>
      <c r="I123" s="74" t="n">
        <f aca="false">I34</f>
        <v>498364</v>
      </c>
      <c r="J123" s="74" t="n">
        <f aca="false">J34</f>
        <v>493415.5</v>
      </c>
      <c r="K123" s="74" t="n">
        <f aca="false">K34</f>
        <v>986831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24961.2493150685</v>
      </c>
      <c r="C124" s="74" t="n">
        <f aca="false">-C12</f>
        <v>23479.7876712329</v>
      </c>
      <c r="D124" s="74" t="n">
        <f aca="false">-D12</f>
        <v>20402.8520547945</v>
      </c>
      <c r="E124" s="74" t="n">
        <f aca="false">-E12</f>
        <v>17607.2082191781</v>
      </c>
      <c r="F124" s="74" t="n">
        <f aca="false">-F12</f>
        <v>18117.8397260274</v>
      </c>
      <c r="G124" s="74" t="n">
        <f aca="false">-G12</f>
        <v>18460.0575342466</v>
      </c>
      <c r="H124" s="74" t="n">
        <f aca="false">-H12</f>
        <v>17787.0904109589</v>
      </c>
      <c r="I124" s="74" t="n">
        <f aca="false">-I12</f>
        <v>17629.3479452055</v>
      </c>
      <c r="J124" s="74" t="n">
        <f aca="false">-J12</f>
        <v>15960.7301369863</v>
      </c>
      <c r="K124" s="74" t="n">
        <f aca="false">-K12</f>
        <v>14652.2493150685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2957.2904109589</v>
      </c>
      <c r="C125" s="74" t="n">
        <f aca="false">-C13</f>
        <v>2976.57123287671</v>
      </c>
      <c r="D125" s="74" t="n">
        <f aca="false">-D13</f>
        <v>2734.19315068493</v>
      </c>
      <c r="E125" s="74" t="n">
        <f aca="false">-E13</f>
        <v>2430.07534246575</v>
      </c>
      <c r="F125" s="74" t="n">
        <f aca="false">-F13</f>
        <v>2436.72328767123</v>
      </c>
      <c r="G125" s="74" t="n">
        <f aca="false">-G13</f>
        <v>2475.51917808219</v>
      </c>
      <c r="H125" s="74" t="n">
        <f aca="false">-H13</f>
        <v>2249.71506849315</v>
      </c>
      <c r="I125" s="74" t="n">
        <f aca="false">-I13</f>
        <v>1997.28493150685</v>
      </c>
      <c r="J125" s="74" t="n">
        <f aca="false">-J13</f>
        <v>2004.31095890411</v>
      </c>
      <c r="K125" s="74" t="n">
        <f aca="false">-K13</f>
        <v>2086.5397260274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45.0388348509416</v>
      </c>
      <c r="C126" s="78" t="n">
        <f aca="false">C123/(C124+C125)</f>
        <v>50.0930609840698</v>
      </c>
      <c r="D126" s="78" t="n">
        <f aca="false">D123/(D124+D125)</f>
        <v>45.4972314161663</v>
      </c>
      <c r="E126" s="78" t="n">
        <f aca="false">E123/(E124+E125)</f>
        <v>45.2849058710211</v>
      </c>
      <c r="F126" s="78" t="n">
        <f aca="false">F123/(F124+F125)</f>
        <v>48.7874638508091</v>
      </c>
      <c r="G126" s="78" t="n">
        <f aca="false">G123/(G124+G125)</f>
        <v>50.1205442973097</v>
      </c>
      <c r="H126" s="78" t="n">
        <f aca="false">H123/(H124+H125)</f>
        <v>52.3650838990275</v>
      </c>
      <c r="I126" s="78" t="n">
        <f aca="false">I123/(I124+I125)</f>
        <v>25.3922312161515</v>
      </c>
      <c r="J126" s="78" t="n">
        <f aca="false">J123/(J124+J125)</f>
        <v>27.4653142938187</v>
      </c>
      <c r="K126" s="78" t="n">
        <f aca="false">K123/(K124+K125)</f>
        <v>58.9547426386223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10781972</v>
      </c>
      <c r="C128" s="74" t="n">
        <f aca="false">C7</f>
        <v>10502251</v>
      </c>
      <c r="D128" s="74" t="n">
        <f aca="false">D7</f>
        <v>9797336</v>
      </c>
      <c r="E128" s="74" t="n">
        <f aca="false">E7</f>
        <v>8086488</v>
      </c>
      <c r="F128" s="74" t="n">
        <f aca="false">F7</f>
        <v>7349721</v>
      </c>
      <c r="G128" s="74" t="n">
        <f aca="false">G7</f>
        <v>8370970</v>
      </c>
      <c r="H128" s="74" t="n">
        <f aca="false">H7</f>
        <v>7727686</v>
      </c>
      <c r="I128" s="74" t="n">
        <f aca="false">I7</f>
        <v>7677878</v>
      </c>
      <c r="J128" s="74" t="n">
        <f aca="false">J7</f>
        <v>7424443</v>
      </c>
      <c r="K128" s="74" t="n">
        <f aca="false">K7</f>
        <v>6901829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1257418.5</v>
      </c>
      <c r="C129" s="74" t="n">
        <f aca="false">C123</f>
        <v>1325280</v>
      </c>
      <c r="D129" s="74" t="n">
        <f aca="false">D123</f>
        <v>1052671.5</v>
      </c>
      <c r="E129" s="74" t="n">
        <f aca="false">E123</f>
        <v>907386.5</v>
      </c>
      <c r="F129" s="74" t="n">
        <f aca="false">F123</f>
        <v>1002805</v>
      </c>
      <c r="G129" s="74" t="n">
        <f aca="false">G123</f>
        <v>1049302.5</v>
      </c>
      <c r="H129" s="74" t="n">
        <f aca="false">H123</f>
        <v>1049229</v>
      </c>
      <c r="I129" s="74" t="n">
        <f aca="false">I123</f>
        <v>498364</v>
      </c>
      <c r="J129" s="74" t="n">
        <f aca="false">J123</f>
        <v>493415.5</v>
      </c>
      <c r="K129" s="74" t="n">
        <f aca="false">K123</f>
        <v>986831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8.57468853846194</v>
      </c>
      <c r="C130" s="78" t="n">
        <f aca="false">C128/C129</f>
        <v>7.92455254738621</v>
      </c>
      <c r="D130" s="78" t="n">
        <f aca="false">D128/D129</f>
        <v>9.30711622761707</v>
      </c>
      <c r="E130" s="78" t="n">
        <f aca="false">E128/E129</f>
        <v>8.91184517292245</v>
      </c>
      <c r="F130" s="78" t="n">
        <f aca="false">F128/F129</f>
        <v>7.32916269863034</v>
      </c>
      <c r="G130" s="78" t="n">
        <f aca="false">G128/G129</f>
        <v>7.97765182109068</v>
      </c>
      <c r="H130" s="78" t="n">
        <f aca="false">H128/H129</f>
        <v>7.36510904673813</v>
      </c>
      <c r="I130" s="78" t="n">
        <f aca="false">I128/I129</f>
        <v>15.4061649717877</v>
      </c>
      <c r="J130" s="78" t="n">
        <f aca="false">J128/J129</f>
        <v>15.0470404760288</v>
      </c>
      <c r="K130" s="78" t="n">
        <f aca="false">K128/K129</f>
        <v>6.99393209171581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10781972</v>
      </c>
      <c r="C132" s="74" t="n">
        <f aca="false">C128</f>
        <v>10502251</v>
      </c>
      <c r="D132" s="74" t="n">
        <f aca="false">D128</f>
        <v>9797336</v>
      </c>
      <c r="E132" s="74" t="n">
        <f aca="false">E128</f>
        <v>8086488</v>
      </c>
      <c r="F132" s="74" t="n">
        <f aca="false">F128</f>
        <v>7349721</v>
      </c>
      <c r="G132" s="74" t="n">
        <f aca="false">G128</f>
        <v>8370970</v>
      </c>
      <c r="H132" s="74" t="n">
        <f aca="false">H128</f>
        <v>7727686</v>
      </c>
      <c r="I132" s="74" t="n">
        <f aca="false">I128</f>
        <v>7677878</v>
      </c>
      <c r="J132" s="74" t="n">
        <f aca="false">J128</f>
        <v>7424443</v>
      </c>
      <c r="K132" s="74" t="n">
        <f aca="false">K128</f>
        <v>6901829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4988094</v>
      </c>
      <c r="C133" s="74" t="n">
        <f aca="false">AVERAGE(RC!C102:D102)</f>
        <v>4981678.5</v>
      </c>
      <c r="D133" s="74" t="n">
        <f aca="false">AVERAGE(RC!D102:E102)</f>
        <v>4673246.5</v>
      </c>
      <c r="E133" s="74" t="n">
        <f aca="false">AVERAGE(RC!E102:F102)</f>
        <v>4757224.5</v>
      </c>
      <c r="F133" s="74" t="n">
        <f aca="false">AVERAGE(RC!F102:G102)</f>
        <v>4225776.5</v>
      </c>
      <c r="G133" s="74" t="n">
        <f aca="false">AVERAGE(RC!G102:H102)</f>
        <v>3531073.5</v>
      </c>
      <c r="H133" s="74" t="n">
        <f aca="false">AVERAGE(RC!H102:I102)</f>
        <v>3445403</v>
      </c>
      <c r="I133" s="74" t="n">
        <f aca="false">AVERAGE(RC!I102:J102)</f>
        <v>2888323</v>
      </c>
      <c r="J133" s="74" t="n">
        <f aca="false">AVERAGE(RC!J102:K102)</f>
        <v>2842340.5</v>
      </c>
      <c r="K133" s="74" t="n">
        <f aca="false">AVERAGE(RC!K102:L102)</f>
        <v>3218957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2.16154146253058</v>
      </c>
      <c r="C134" s="78" t="n">
        <f aca="false">C132/C133</f>
        <v>2.10817518633529</v>
      </c>
      <c r="D134" s="78" t="n">
        <f aca="false">D132/D133</f>
        <v>2.09647319053253</v>
      </c>
      <c r="E134" s="78" t="n">
        <f aca="false">E132/E133</f>
        <v>1.69983316952984</v>
      </c>
      <c r="F134" s="78" t="n">
        <f aca="false">F132/F133</f>
        <v>1.73925928169651</v>
      </c>
      <c r="G134" s="78" t="n">
        <f aca="false">G132/G133</f>
        <v>2.37065866796599</v>
      </c>
      <c r="H134" s="78" t="n">
        <f aca="false">H132/H133</f>
        <v>2.24289756524854</v>
      </c>
      <c r="I134" s="78" t="n">
        <f aca="false">I132/I133</f>
        <v>2.65824770983024</v>
      </c>
      <c r="J134" s="78" t="n">
        <f aca="false">J132/J133</f>
        <v>2.61208781987943</v>
      </c>
      <c r="K134" s="78" t="n">
        <f aca="false">K132/K133</f>
        <v>2.14411966360532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10781972</v>
      </c>
      <c r="C136" s="74" t="n">
        <f aca="false">C132</f>
        <v>10502251</v>
      </c>
      <c r="D136" s="74" t="n">
        <f aca="false">D132</f>
        <v>9797336</v>
      </c>
      <c r="E136" s="74" t="n">
        <f aca="false">E132</f>
        <v>8086488</v>
      </c>
      <c r="F136" s="74" t="n">
        <f aca="false">F132</f>
        <v>7349721</v>
      </c>
      <c r="G136" s="74" t="n">
        <f aca="false">G132</f>
        <v>8370970</v>
      </c>
      <c r="H136" s="74" t="n">
        <f aca="false">H132</f>
        <v>7727686</v>
      </c>
      <c r="I136" s="74" t="n">
        <f aca="false">I132</f>
        <v>7677878</v>
      </c>
      <c r="J136" s="74" t="n">
        <f aca="false">J132</f>
        <v>7424443</v>
      </c>
      <c r="K136" s="74" t="n">
        <f aca="false">K132</f>
        <v>6901829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4915610.5</v>
      </c>
      <c r="C137" s="74" t="n">
        <f aca="false">C14</f>
        <v>4968956</v>
      </c>
      <c r="D137" s="74" t="n">
        <f aca="false">D14</f>
        <v>4636713</v>
      </c>
      <c r="E137" s="74" t="n">
        <f aca="false">E14</f>
        <v>4707839</v>
      </c>
      <c r="F137" s="74" t="n">
        <f aca="false">F14</f>
        <v>4200158.5</v>
      </c>
      <c r="G137" s="74" t="n">
        <f aca="false">G14</f>
        <v>3534802.5</v>
      </c>
      <c r="H137" s="74" t="n">
        <f aca="false">H14</f>
        <v>3478864.5</v>
      </c>
      <c r="I137" s="74" t="n">
        <f aca="false">I14</f>
        <v>2942468.5</v>
      </c>
      <c r="J137" s="74" t="n">
        <f aca="false">J14</f>
        <v>2861279.5</v>
      </c>
      <c r="K137" s="74" t="n">
        <f aca="false">K14</f>
        <v>3201983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2.19341463283147</v>
      </c>
      <c r="C138" s="78" t="n">
        <f aca="false">C136/C137</f>
        <v>2.11357295174278</v>
      </c>
      <c r="D138" s="78" t="n">
        <f aca="false">D136/D137</f>
        <v>2.11299168182288</v>
      </c>
      <c r="E138" s="78" t="n">
        <f aca="false">E136/E137</f>
        <v>1.71766451656482</v>
      </c>
      <c r="F138" s="78" t="n">
        <f aca="false">F136/F137</f>
        <v>1.74986753476089</v>
      </c>
      <c r="G138" s="78" t="n">
        <f aca="false">G136/G137</f>
        <v>2.36815776836188</v>
      </c>
      <c r="H138" s="78" t="n">
        <f aca="false">H136/H137</f>
        <v>2.2213242280635</v>
      </c>
      <c r="I138" s="78" t="n">
        <f aca="false">I136/I137</f>
        <v>2.60933226642868</v>
      </c>
      <c r="J138" s="78" t="n">
        <f aca="false">J136/J137</f>
        <v>2.59479823624361</v>
      </c>
      <c r="K138" s="78" t="n">
        <f aca="false">K136/K137</f>
        <v>2.1554858348717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0.0424761074946845</v>
      </c>
      <c r="C140" s="74" t="n">
        <f aca="false">C64</f>
        <v>0.0316402479716061</v>
      </c>
      <c r="D140" s="74" t="n">
        <f aca="false">D64</f>
        <v>0.0511299707357346</v>
      </c>
      <c r="E140" s="74" t="n">
        <f aca="false">E64</f>
        <v>0.0337522162503858</v>
      </c>
      <c r="F140" s="74" t="n">
        <f aca="false">F64</f>
        <v>0.0188835730842062</v>
      </c>
      <c r="G140" s="74" t="n">
        <f aca="false">G64</f>
        <v>0.0286799616103021</v>
      </c>
      <c r="H140" s="74" t="n">
        <f aca="false">H64</f>
        <v>0.0370911255669774</v>
      </c>
      <c r="I140" s="74" t="n">
        <f aca="false">I64</f>
        <v>0.0314022053252227</v>
      </c>
      <c r="J140" s="74" t="n">
        <f aca="false">J64</f>
        <v>0.0593556134589438</v>
      </c>
      <c r="K140" s="74" t="n">
        <f aca="false">K64</f>
        <v>0.175641781983227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0.0193652886503508</v>
      </c>
      <c r="C141" s="74" t="n">
        <f aca="false">C60</f>
        <v>0.0149700288062055</v>
      </c>
      <c r="D141" s="74" t="n">
        <f aca="false">D60</f>
        <v>0.0241979044099335</v>
      </c>
      <c r="E141" s="74" t="n">
        <f aca="false">E60</f>
        <v>0.0196500631671005</v>
      </c>
      <c r="F141" s="74" t="n">
        <f aca="false">F60</f>
        <v>0.0107914300420383</v>
      </c>
      <c r="G141" s="74" t="n">
        <f aca="false">G60</f>
        <v>0.012110663399821</v>
      </c>
      <c r="H141" s="74" t="n">
        <f aca="false">H60</f>
        <v>0.0166977540236495</v>
      </c>
      <c r="I141" s="74" t="n">
        <f aca="false">I60</f>
        <v>0.0120345751781938</v>
      </c>
      <c r="J141" s="74" t="n">
        <f aca="false">J60</f>
        <v>0.0228748473117781</v>
      </c>
      <c r="K141" s="74" t="n">
        <f aca="false">K60</f>
        <v>0.0814859365539193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2.19341463283147</v>
      </c>
      <c r="C142" s="78" t="n">
        <f aca="false">C140/C141</f>
        <v>2.11357295174278</v>
      </c>
      <c r="D142" s="78" t="n">
        <f aca="false">D140/D141</f>
        <v>2.11299168182288</v>
      </c>
      <c r="E142" s="78" t="n">
        <f aca="false">E140/E141</f>
        <v>1.71766451656482</v>
      </c>
      <c r="F142" s="78" t="n">
        <f aca="false">F140/F141</f>
        <v>1.74986753476089</v>
      </c>
      <c r="G142" s="78" t="n">
        <f aca="false">G140/G141</f>
        <v>2.36815776836188</v>
      </c>
      <c r="H142" s="78" t="n">
        <f aca="false">H140/H141</f>
        <v>2.2213242280635</v>
      </c>
      <c r="I142" s="78" t="n">
        <f aca="false">I140/I141</f>
        <v>2.60933226642868</v>
      </c>
      <c r="J142" s="78" t="n">
        <f aca="false">J140/J141</f>
        <v>2.59479823624361</v>
      </c>
      <c r="K142" s="78" t="n">
        <f aca="false">K140/K141</f>
        <v>2.1554858348717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2569788</v>
      </c>
      <c r="C147" s="74" t="n">
        <f aca="false">C37</f>
        <v>2928847</v>
      </c>
      <c r="D147" s="74" t="n">
        <f aca="false">D37</f>
        <v>2729390</v>
      </c>
      <c r="E147" s="74" t="n">
        <f aca="false">E37</f>
        <v>2021277</v>
      </c>
      <c r="F147" s="74" t="n">
        <f aca="false">F37</f>
        <v>1813494</v>
      </c>
      <c r="G147" s="74" t="n">
        <f aca="false">G37</f>
        <v>2259541</v>
      </c>
      <c r="H147" s="74" t="n">
        <f aca="false">H37</f>
        <v>2203010</v>
      </c>
      <c r="I147" s="74" t="n">
        <f aca="false">I37</f>
        <v>2055771</v>
      </c>
      <c r="J147" s="74" t="n">
        <f aca="false">J37</f>
        <v>933338</v>
      </c>
      <c r="K147" s="74" t="n">
        <f aca="false">K37</f>
        <v>2012254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2059586</v>
      </c>
      <c r="C148" s="74" t="n">
        <f aca="false">C39</f>
        <v>2194631</v>
      </c>
      <c r="D148" s="74" t="n">
        <f aca="false">D39</f>
        <v>1672238</v>
      </c>
      <c r="E148" s="74" t="n">
        <f aca="false">E39</f>
        <v>1365659</v>
      </c>
      <c r="F148" s="74" t="n">
        <f aca="false">F39</f>
        <v>1232123</v>
      </c>
      <c r="G148" s="74" t="n">
        <f aca="false">G39</f>
        <v>2377810</v>
      </c>
      <c r="H148" s="74" t="n">
        <f aca="false">H39</f>
        <v>2213430</v>
      </c>
      <c r="I148" s="74" t="n">
        <f aca="false">I39</f>
        <v>2014331</v>
      </c>
      <c r="J148" s="74" t="n">
        <f aca="false">J39</f>
        <v>1860118</v>
      </c>
      <c r="K148" s="74" t="n">
        <f aca="false">K39</f>
        <v>1592282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1.24772065842359</v>
      </c>
      <c r="C149" s="78" t="n">
        <f aca="false">C147/C148</f>
        <v>1.33455100196798</v>
      </c>
      <c r="D149" s="78" t="n">
        <f aca="false">D147/D148</f>
        <v>1.63217795553025</v>
      </c>
      <c r="E149" s="78" t="n">
        <f aca="false">E147/E148</f>
        <v>1.48007445489687</v>
      </c>
      <c r="F149" s="78" t="n">
        <f aca="false">F147/F148</f>
        <v>1.47184493755899</v>
      </c>
      <c r="G149" s="78" t="n">
        <f aca="false">G147/G148</f>
        <v>0.950261374962676</v>
      </c>
      <c r="H149" s="78" t="n">
        <f aca="false">H147/H148</f>
        <v>0.995292374278834</v>
      </c>
      <c r="I149" s="78" t="n">
        <f aca="false">I147/I148</f>
        <v>1.02057258712694</v>
      </c>
      <c r="J149" s="78" t="n">
        <f aca="false">J147/J148</f>
        <v>0.501762791392804</v>
      </c>
      <c r="K149" s="78" t="n">
        <f aca="false">K147/K148</f>
        <v>1.26375478715454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1406206</v>
      </c>
      <c r="C151" s="74" t="n">
        <f aca="false">C37-C35</f>
        <v>1577592</v>
      </c>
      <c r="D151" s="74" t="n">
        <f aca="false">D37-D35</f>
        <v>1430085</v>
      </c>
      <c r="E151" s="74" t="n">
        <f aca="false">E37-E35</f>
        <v>1215239</v>
      </c>
      <c r="F151" s="74" t="n">
        <f aca="false">F37-F35</f>
        <v>804759</v>
      </c>
      <c r="G151" s="74" t="n">
        <f aca="false">G37-G35</f>
        <v>1262666</v>
      </c>
      <c r="H151" s="74" t="n">
        <f aca="false">H37-H35</f>
        <v>1101280</v>
      </c>
      <c r="I151" s="74" t="n">
        <f aca="false">I37-I35</f>
        <v>1059043</v>
      </c>
      <c r="J151" s="74" t="n">
        <f aca="false">J37-J35</f>
        <v>933338</v>
      </c>
      <c r="K151" s="74" t="n">
        <f aca="false">K37-K35</f>
        <v>1025423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2059586</v>
      </c>
      <c r="C152" s="74" t="n">
        <f aca="false">C148</f>
        <v>2194631</v>
      </c>
      <c r="D152" s="74" t="n">
        <f aca="false">D148</f>
        <v>1672238</v>
      </c>
      <c r="E152" s="74" t="n">
        <f aca="false">E148</f>
        <v>1365659</v>
      </c>
      <c r="F152" s="74" t="n">
        <f aca="false">F148</f>
        <v>1232123</v>
      </c>
      <c r="G152" s="74" t="n">
        <f aca="false">G148</f>
        <v>2377810</v>
      </c>
      <c r="H152" s="74" t="n">
        <f aca="false">H148</f>
        <v>2213430</v>
      </c>
      <c r="I152" s="74" t="n">
        <f aca="false">I148</f>
        <v>2014331</v>
      </c>
      <c r="J152" s="74" t="n">
        <f aca="false">J148</f>
        <v>1860118</v>
      </c>
      <c r="K152" s="74" t="n">
        <f aca="false">K148</f>
        <v>1592282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0.682761487017294</v>
      </c>
      <c r="C153" s="78" t="n">
        <f aca="false">C151/C152</f>
        <v>0.718841572911346</v>
      </c>
      <c r="D153" s="78" t="n">
        <f aca="false">D151/D152</f>
        <v>0.855192263302233</v>
      </c>
      <c r="E153" s="78" t="n">
        <f aca="false">E151/E152</f>
        <v>0.889855373852477</v>
      </c>
      <c r="F153" s="78" t="n">
        <f aca="false">F151/F152</f>
        <v>0.653148265230014</v>
      </c>
      <c r="G153" s="78" t="n">
        <f aca="false">G151/G152</f>
        <v>0.531020560936324</v>
      </c>
      <c r="H153" s="78" t="n">
        <f aca="false">H151/H152</f>
        <v>0.49754453495254</v>
      </c>
      <c r="I153" s="78" t="n">
        <f aca="false">I151/I152</f>
        <v>0.525754208220993</v>
      </c>
      <c r="J153" s="78" t="n">
        <f aca="false">J151/J152</f>
        <v>0.501762791392804</v>
      </c>
      <c r="K153" s="78" t="n">
        <f aca="false">K151/K152</f>
        <v>0.643995849981348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3395702</v>
      </c>
      <c r="C155" s="74" t="n">
        <f aca="false">C48</f>
        <v>3347713</v>
      </c>
      <c r="D155" s="74" t="n">
        <f aca="false">D48</f>
        <v>3324149</v>
      </c>
      <c r="E155" s="74" t="n">
        <f aca="false">E48</f>
        <v>3186130</v>
      </c>
      <c r="F155" s="74" t="n">
        <f aca="false">F48</f>
        <v>3095198</v>
      </c>
      <c r="G155" s="74" t="n">
        <f aca="false">G48</f>
        <v>1226155</v>
      </c>
      <c r="H155" s="74" t="n">
        <f aca="false">H48</f>
        <v>1184635</v>
      </c>
      <c r="I155" s="74" t="n">
        <f aca="false">I48</f>
        <v>1121927</v>
      </c>
      <c r="J155" s="74" t="n">
        <f aca="false">J48</f>
        <v>1091757</v>
      </c>
      <c r="K155" s="74" t="n">
        <f aca="false">K48</f>
        <v>1018727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3677053</v>
      </c>
      <c r="C156" s="74" t="n">
        <f aca="false">C45+C20</f>
        <v>3801514</v>
      </c>
      <c r="D156" s="74" t="n">
        <f aca="false">D45+D20</f>
        <v>3601129</v>
      </c>
      <c r="E156" s="74" t="n">
        <f aca="false">E45+E20</f>
        <v>3683513</v>
      </c>
      <c r="F156" s="74" t="n">
        <f aca="false">F45+F20</f>
        <v>3929666</v>
      </c>
      <c r="G156" s="74" t="n">
        <f aca="false">G45+G20</f>
        <v>2142758</v>
      </c>
      <c r="H156" s="74" t="n">
        <f aca="false">H45+H20</f>
        <v>2162450</v>
      </c>
      <c r="I156" s="74" t="n">
        <f aca="false">I45+I20</f>
        <v>2224447</v>
      </c>
      <c r="J156" s="74" t="n">
        <f aca="false">J45+J20</f>
        <v>2312185</v>
      </c>
      <c r="K156" s="74" t="n">
        <f aca="false">K45+K20</f>
        <v>2145754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-281351</v>
      </c>
      <c r="C157" s="78" t="n">
        <f aca="false">C155-C156</f>
        <v>-453801</v>
      </c>
      <c r="D157" s="78" t="n">
        <f aca="false">D155-D156</f>
        <v>-276980</v>
      </c>
      <c r="E157" s="78" t="n">
        <f aca="false">E155-E156</f>
        <v>-497383</v>
      </c>
      <c r="F157" s="78" t="n">
        <f aca="false">F155-F156</f>
        <v>-834468</v>
      </c>
      <c r="G157" s="78" t="n">
        <f aca="false">G155-G156</f>
        <v>-916603</v>
      </c>
      <c r="H157" s="78" t="n">
        <f aca="false">H155-H156</f>
        <v>-977815</v>
      </c>
      <c r="I157" s="78" t="n">
        <f aca="false">I155-I156</f>
        <v>-1102520</v>
      </c>
      <c r="J157" s="78" t="n">
        <f aca="false">J155-J156</f>
        <v>-1220428</v>
      </c>
      <c r="K157" s="78" t="n">
        <f aca="false">K155-K156</f>
        <v>-1127027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3395702</v>
      </c>
      <c r="C159" s="74" t="n">
        <f aca="false">C155</f>
        <v>3347713</v>
      </c>
      <c r="D159" s="74" t="n">
        <f aca="false">D155</f>
        <v>3324149</v>
      </c>
      <c r="E159" s="74" t="n">
        <f aca="false">E155</f>
        <v>3186130</v>
      </c>
      <c r="F159" s="74" t="n">
        <f aca="false">F155</f>
        <v>3095198</v>
      </c>
      <c r="G159" s="74" t="n">
        <f aca="false">G155</f>
        <v>1226155</v>
      </c>
      <c r="H159" s="74" t="n">
        <f aca="false">H155</f>
        <v>1184635</v>
      </c>
      <c r="I159" s="74" t="n">
        <f aca="false">I155</f>
        <v>1121927</v>
      </c>
      <c r="J159" s="74" t="n">
        <f aca="false">J155</f>
        <v>1091757</v>
      </c>
      <c r="K159" s="74" t="n">
        <f aca="false">K155</f>
        <v>1018727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761905</v>
      </c>
      <c r="C160" s="74" t="n">
        <f aca="false">C41+C22+C43</f>
        <v>1159885</v>
      </c>
      <c r="D160" s="74" t="n">
        <f aca="false">D41+D22+D43</f>
        <v>1231437</v>
      </c>
      <c r="E160" s="74" t="n">
        <f aca="false">E41+E22+E43</f>
        <v>1405442</v>
      </c>
      <c r="F160" s="74" t="n">
        <f aca="false">F41+F22+F43</f>
        <v>1760602</v>
      </c>
      <c r="G160" s="74" t="n">
        <f aca="false">G41+G22+G43</f>
        <v>787742</v>
      </c>
      <c r="H160" s="74" t="n">
        <f aca="false">H41+H22+H43</f>
        <v>1000827</v>
      </c>
      <c r="I160" s="74" t="n">
        <f aca="false">I41+I22+I43</f>
        <v>1175475</v>
      </c>
      <c r="J160" s="74" t="n">
        <f aca="false">J41+J22+J43</f>
        <v>1379696</v>
      </c>
      <c r="K160" s="74" t="n">
        <f aca="false">K41+K22+K43</f>
        <v>1316760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3677053</v>
      </c>
      <c r="C161" s="74" t="n">
        <f aca="false">C156</f>
        <v>3801514</v>
      </c>
      <c r="D161" s="74" t="n">
        <f aca="false">D156</f>
        <v>3601129</v>
      </c>
      <c r="E161" s="74" t="n">
        <f aca="false">E156</f>
        <v>3683513</v>
      </c>
      <c r="F161" s="74" t="n">
        <f aca="false">F156</f>
        <v>3929666</v>
      </c>
      <c r="G161" s="74" t="n">
        <f aca="false">G156</f>
        <v>2142758</v>
      </c>
      <c r="H161" s="74" t="n">
        <f aca="false">H156</f>
        <v>2162450</v>
      </c>
      <c r="I161" s="74" t="n">
        <f aca="false">I156</f>
        <v>2224447</v>
      </c>
      <c r="J161" s="74" t="n">
        <f aca="false">J156</f>
        <v>2312185</v>
      </c>
      <c r="K161" s="74" t="n">
        <f aca="false">K156</f>
        <v>2145754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480554</v>
      </c>
      <c r="C162" s="78" t="n">
        <f aca="false">C159+C160-C161</f>
        <v>706084</v>
      </c>
      <c r="D162" s="78" t="n">
        <f aca="false">D159+D160-D161</f>
        <v>954457</v>
      </c>
      <c r="E162" s="78" t="n">
        <f aca="false">E159+E160-E161</f>
        <v>908059</v>
      </c>
      <c r="F162" s="78" t="n">
        <f aca="false">F159+F160-F161</f>
        <v>926134</v>
      </c>
      <c r="G162" s="78" t="n">
        <f aca="false">G159+G160-G161</f>
        <v>-128861</v>
      </c>
      <c r="H162" s="78" t="n">
        <f aca="false">H159+H160-H161</f>
        <v>23012</v>
      </c>
      <c r="I162" s="78" t="n">
        <f aca="false">I159+I160-I161</f>
        <v>72955</v>
      </c>
      <c r="J162" s="78" t="n">
        <f aca="false">J159+J160-J161</f>
        <v>159268</v>
      </c>
      <c r="K162" s="78" t="n">
        <f aca="false">K159+K160-K161</f>
        <v>189733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-480947</v>
      </c>
      <c r="C167" s="74" t="n">
        <f aca="false">C16-C15</f>
        <v>374256</v>
      </c>
      <c r="D167" s="74" t="n">
        <f aca="false">D16-D15</f>
        <v>290230</v>
      </c>
      <c r="E167" s="74" t="n">
        <f aca="false">E16-E15</f>
        <v>-432482</v>
      </c>
      <c r="F167" s="74" t="n">
        <f aca="false">F16-F15</f>
        <v>1447843</v>
      </c>
      <c r="G167" s="74" t="n">
        <f aca="false">G16-G15</f>
        <v>-117131</v>
      </c>
      <c r="H167" s="74" t="n">
        <f aca="false">H16-H15</f>
        <v>229007</v>
      </c>
      <c r="I167" s="74" t="n">
        <f aca="false">I16-I15</f>
        <v>843785</v>
      </c>
      <c r="J167" s="74" t="n">
        <f aca="false">J16-J15</f>
        <v>-681407</v>
      </c>
      <c r="K167" s="74" t="n">
        <f aca="false">K16-K15</f>
        <v>3201983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5156084</v>
      </c>
      <c r="C168" s="74" t="n">
        <f aca="false">C15</f>
        <v>4781828</v>
      </c>
      <c r="D168" s="74" t="n">
        <f aca="false">D15</f>
        <v>4491598</v>
      </c>
      <c r="E168" s="74" t="n">
        <f aca="false">E15</f>
        <v>4924080</v>
      </c>
      <c r="F168" s="74" t="n">
        <f aca="false">F15</f>
        <v>3476237</v>
      </c>
      <c r="G168" s="74" t="n">
        <f aca="false">G15</f>
        <v>3593368</v>
      </c>
      <c r="H168" s="74" t="n">
        <f aca="false">H15</f>
        <v>3364361</v>
      </c>
      <c r="I168" s="74" t="n">
        <f aca="false">I15</f>
        <v>2520576</v>
      </c>
      <c r="J168" s="74" t="n">
        <f aca="false">J15</f>
        <v>3201983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-0.093277572669491</v>
      </c>
      <c r="C169" s="78" t="n">
        <f aca="false">C167/C168</f>
        <v>0.0782663031794535</v>
      </c>
      <c r="D169" s="78" t="n">
        <f aca="false">D167/D168</f>
        <v>0.0646162011827416</v>
      </c>
      <c r="E169" s="78" t="n">
        <f aca="false">E167/E168</f>
        <v>-0.0878300108852821</v>
      </c>
      <c r="F169" s="78" t="n">
        <f aca="false">F167/F168</f>
        <v>0.416497206605879</v>
      </c>
      <c r="G169" s="78" t="n">
        <f aca="false">G167/G168</f>
        <v>-0.0325964387727614</v>
      </c>
      <c r="H169" s="78" t="n">
        <f aca="false">H167/H168</f>
        <v>0.068068498000066</v>
      </c>
      <c r="I169" s="78" t="n">
        <f aca="false">I167/I168</f>
        <v>0.334758801162909</v>
      </c>
      <c r="J169" s="78" t="n">
        <f aca="false">J167/J168</f>
        <v>-0.212807813158283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47989</v>
      </c>
      <c r="C171" s="74" t="n">
        <f aca="false">C48-C47</f>
        <v>23564</v>
      </c>
      <c r="D171" s="74" t="n">
        <f aca="false">D48-D47</f>
        <v>138019</v>
      </c>
      <c r="E171" s="74" t="n">
        <f aca="false">E48-E47</f>
        <v>90932</v>
      </c>
      <c r="F171" s="74" t="n">
        <f aca="false">F48-F47</f>
        <v>1869043</v>
      </c>
      <c r="G171" s="74" t="n">
        <f aca="false">G48-G47</f>
        <v>41520</v>
      </c>
      <c r="H171" s="74" t="n">
        <f aca="false">H48-H47</f>
        <v>62708</v>
      </c>
      <c r="I171" s="74" t="n">
        <f aca="false">I48-I47</f>
        <v>30170</v>
      </c>
      <c r="J171" s="74" t="n">
        <f aca="false">J48-J47</f>
        <v>73030</v>
      </c>
      <c r="K171" s="74" t="n">
        <f aca="false">K48-K47</f>
        <v>1018727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3347713</v>
      </c>
      <c r="C172" s="74" t="n">
        <f aca="false">C47</f>
        <v>3324149</v>
      </c>
      <c r="D172" s="74" t="n">
        <f aca="false">D47</f>
        <v>3186130</v>
      </c>
      <c r="E172" s="74" t="n">
        <f aca="false">E47</f>
        <v>3095198</v>
      </c>
      <c r="F172" s="74" t="n">
        <f aca="false">F47</f>
        <v>1226155</v>
      </c>
      <c r="G172" s="74" t="n">
        <f aca="false">G47</f>
        <v>1184635</v>
      </c>
      <c r="H172" s="74" t="n">
        <f aca="false">H47</f>
        <v>1121927</v>
      </c>
      <c r="I172" s="74" t="n">
        <f aca="false">I47</f>
        <v>1091757</v>
      </c>
      <c r="J172" s="74" t="n">
        <f aca="false">J47</f>
        <v>1018727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0.0143348608438059</v>
      </c>
      <c r="C173" s="78" t="n">
        <f aca="false">C171/C172</f>
        <v>0.00708873158212824</v>
      </c>
      <c r="D173" s="78" t="n">
        <f aca="false">D171/D172</f>
        <v>0.0433186969772106</v>
      </c>
      <c r="E173" s="78" t="n">
        <f aca="false">E171/E172</f>
        <v>0.0293784113326514</v>
      </c>
      <c r="F173" s="78" t="n">
        <f aca="false">F171/F172</f>
        <v>1.52431217912907</v>
      </c>
      <c r="G173" s="78" t="n">
        <f aca="false">G171/G172</f>
        <v>0.035048770296336</v>
      </c>
      <c r="H173" s="78" t="n">
        <f aca="false">H171/H172</f>
        <v>0.0558931196058211</v>
      </c>
      <c r="I173" s="78" t="n">
        <f aca="false">I171/I172</f>
        <v>0.0276343545312739</v>
      </c>
      <c r="J173" s="78" t="n">
        <f aca="false">J171/J172</f>
        <v>0.0716875080369913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-528936</v>
      </c>
      <c r="C175" s="74" t="n">
        <f aca="false">C167-C171</f>
        <v>350692</v>
      </c>
      <c r="D175" s="74" t="n">
        <f aca="false">D167-D171</f>
        <v>152211</v>
      </c>
      <c r="E175" s="74" t="n">
        <f aca="false">E167-E171</f>
        <v>-523414</v>
      </c>
      <c r="F175" s="74" t="n">
        <f aca="false">F167-F171</f>
        <v>-421200</v>
      </c>
      <c r="G175" s="74" t="n">
        <f aca="false">G167-G171</f>
        <v>-158651</v>
      </c>
      <c r="H175" s="74" t="n">
        <f aca="false">H167-H171</f>
        <v>166299</v>
      </c>
      <c r="I175" s="74" t="n">
        <f aca="false">I167-I171</f>
        <v>813615</v>
      </c>
      <c r="J175" s="74" t="n">
        <f aca="false">J167-J171</f>
        <v>-754437</v>
      </c>
      <c r="K175" s="74" t="n">
        <f aca="false">K167-K171</f>
        <v>2183256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-528936</v>
      </c>
      <c r="C177" s="74" t="n">
        <f aca="false">C175</f>
        <v>350692</v>
      </c>
      <c r="D177" s="74" t="n">
        <f aca="false">D175</f>
        <v>152211</v>
      </c>
      <c r="E177" s="74" t="n">
        <f aca="false">E175</f>
        <v>-523414</v>
      </c>
      <c r="F177" s="74" t="n">
        <f aca="false">F175</f>
        <v>-421200</v>
      </c>
      <c r="G177" s="74" t="n">
        <f aca="false">G175</f>
        <v>-158651</v>
      </c>
      <c r="H177" s="74" t="n">
        <f aca="false">H175</f>
        <v>166299</v>
      </c>
      <c r="I177" s="74" t="n">
        <f aca="false">I175</f>
        <v>813615</v>
      </c>
      <c r="J177" s="74" t="n">
        <f aca="false">J175</f>
        <v>-754437</v>
      </c>
      <c r="K177" s="74" t="n">
        <f aca="false">K175</f>
        <v>2183256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47989</v>
      </c>
      <c r="C178" s="74" t="n">
        <f aca="false">C171</f>
        <v>23564</v>
      </c>
      <c r="D178" s="74" t="n">
        <f aca="false">D171</f>
        <v>138019</v>
      </c>
      <c r="E178" s="74" t="n">
        <f aca="false">E171</f>
        <v>90932</v>
      </c>
      <c r="F178" s="74" t="n">
        <f aca="false">F171</f>
        <v>1869043</v>
      </c>
      <c r="G178" s="74" t="n">
        <f aca="false">G171</f>
        <v>41520</v>
      </c>
      <c r="H178" s="74" t="n">
        <f aca="false">H171</f>
        <v>62708</v>
      </c>
      <c r="I178" s="74" t="n">
        <f aca="false">I171</f>
        <v>30170</v>
      </c>
      <c r="J178" s="74" t="n">
        <f aca="false">J171</f>
        <v>73030</v>
      </c>
      <c r="K178" s="74" t="n">
        <f aca="false">K171</f>
        <v>1018727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-11.022025880931</v>
      </c>
      <c r="C179" s="78" t="n">
        <f aca="false">C177/C178</f>
        <v>14.8825326769649</v>
      </c>
      <c r="D179" s="78" t="n">
        <f aca="false">D177/D178</f>
        <v>1.10282642244908</v>
      </c>
      <c r="E179" s="78" t="n">
        <f aca="false">E177/E178</f>
        <v>-5.75610346192759</v>
      </c>
      <c r="F179" s="78" t="n">
        <f aca="false">F177/F178</f>
        <v>-0.225355970943419</v>
      </c>
      <c r="G179" s="78" t="n">
        <f aca="false">G177/G178</f>
        <v>-3.82107418111753</v>
      </c>
      <c r="H179" s="78" t="n">
        <f aca="false">H177/H178</f>
        <v>2.65195828283473</v>
      </c>
      <c r="I179" s="78" t="n">
        <f aca="false">I177/I178</f>
        <v>26.967683128936</v>
      </c>
      <c r="J179" s="78" t="n">
        <f aca="false">J177/J178</f>
        <v>-10.3305080104067</v>
      </c>
      <c r="K179" s="78" t="n">
        <f aca="false">K177/K178</f>
        <v>2.14312175882253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-0.107612433513297</v>
      </c>
      <c r="C181" s="74" t="n">
        <f aca="false">C169-C173</f>
        <v>0.0711775715973253</v>
      </c>
      <c r="D181" s="74" t="n">
        <f aca="false">D169-D173</f>
        <v>0.021297504205531</v>
      </c>
      <c r="E181" s="74" t="n">
        <f aca="false">E169-E173</f>
        <v>-0.117208422217934</v>
      </c>
      <c r="F181" s="74" t="n">
        <f aca="false">F169-F173</f>
        <v>-1.10781497252319</v>
      </c>
      <c r="G181" s="74" t="n">
        <f aca="false">G169-G173</f>
        <v>-0.0676452090690974</v>
      </c>
      <c r="H181" s="74" t="n">
        <f aca="false">H169-H173</f>
        <v>0.0121753783942449</v>
      </c>
      <c r="I181" s="74" t="n">
        <f aca="false">I169-I173</f>
        <v>0.307124446631635</v>
      </c>
      <c r="J181" s="74" t="n">
        <f aca="false">J169-J173</f>
        <v>-0.284495321195275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0.0266343853332014</v>
      </c>
      <c r="C185" s="74" t="n">
        <f aca="false">(C7-C8)/C8</f>
        <v>0.0719496606016166</v>
      </c>
      <c r="D185" s="74" t="n">
        <f aca="false">(D7-D8)/D8</f>
        <v>0.21156873045505</v>
      </c>
      <c r="E185" s="74" t="n">
        <f aca="false">(E7-E8)/E8</f>
        <v>0.100244213351772</v>
      </c>
      <c r="F185" s="74" t="n">
        <f aca="false">(F7-F8)/F8</f>
        <v>-0.121998884239222</v>
      </c>
      <c r="G185" s="74" t="n">
        <f aca="false">(G7-G8)/G8</f>
        <v>0.0832440655585644</v>
      </c>
      <c r="H185" s="74" t="n">
        <f aca="false">(H7-H8)/H8</f>
        <v>0.00648720909605493</v>
      </c>
      <c r="I185" s="74" t="n">
        <f aca="false">(I7-I8)/I8</f>
        <v>0.0341352206488756</v>
      </c>
      <c r="J185" s="74" t="n">
        <f aca="false">(J7-J8)/J8</f>
        <v>0.0757210878449756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-1.71938109759367</v>
      </c>
      <c r="C186" s="74" t="n">
        <f aca="false">C167/(C7-C8)</f>
        <v>0.53092358653171</v>
      </c>
      <c r="D186" s="74" t="n">
        <f aca="false">D167/(D7-D8)</f>
        <v>0.169641020125692</v>
      </c>
      <c r="E186" s="74" t="n">
        <f aca="false">E167/(E7-E8)</f>
        <v>-0.586999689182605</v>
      </c>
      <c r="F186" s="74" t="n">
        <f aca="false">F167/(F7-F8)</f>
        <v>-1.41771791208608</v>
      </c>
      <c r="G186" s="74" t="n">
        <f aca="false">G167/(G7-G8)</f>
        <v>-0.182082874748944</v>
      </c>
      <c r="H186" s="74" t="n">
        <f aca="false">H167/(H7-H8)</f>
        <v>4.59779553485384</v>
      </c>
      <c r="I186" s="74" t="n">
        <f aca="false">I167/(I7-I8)</f>
        <v>3.32939412472626</v>
      </c>
      <c r="J186" s="74" t="n">
        <f aca="false">J167/(J7-J8)</f>
        <v>-1.30384375466405</v>
      </c>
      <c r="K186" s="74" t="n">
        <f aca="false">K167/(K7-K8)</f>
        <v>0.463932531507228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2.0368657686725</v>
      </c>
      <c r="C187" s="74" t="n">
        <f aca="false">C8/C15</f>
        <v>2.0488683407266</v>
      </c>
      <c r="D187" s="74" t="n">
        <f aca="false">D8/D15</f>
        <v>1.80035880325888</v>
      </c>
      <c r="E187" s="74" t="n">
        <f aca="false">E8/E15</f>
        <v>1.4926079592533</v>
      </c>
      <c r="F187" s="74" t="n">
        <f aca="false">F8/F15</f>
        <v>2.40805503192101</v>
      </c>
      <c r="G187" s="74" t="n">
        <f aca="false">G8/G15</f>
        <v>2.15054121926839</v>
      </c>
      <c r="H187" s="74" t="n">
        <f aca="false">H8/H15</f>
        <v>2.28212073555721</v>
      </c>
      <c r="I187" s="74" t="n">
        <f aca="false">I8/I15</f>
        <v>2.94553427470546</v>
      </c>
      <c r="J187" s="74" t="n">
        <f aca="false">J8/J15</f>
        <v>2.1554858348717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-0.093277572669491</v>
      </c>
      <c r="C188" s="78" t="n">
        <f aca="false">C185*C186*C187</f>
        <v>0.0782663031794535</v>
      </c>
      <c r="D188" s="78" t="n">
        <f aca="false">D185*D186*D187</f>
        <v>0.0646162011827416</v>
      </c>
      <c r="E188" s="78" t="n">
        <f aca="false">E185*E186*E187</f>
        <v>-0.0878300108852821</v>
      </c>
      <c r="F188" s="78" t="n">
        <f aca="false">F185*F186*F187</f>
        <v>0.416497206605879</v>
      </c>
      <c r="G188" s="78" t="n">
        <f aca="false">G185*G186*G187</f>
        <v>-0.0325964387727614</v>
      </c>
      <c r="H188" s="78" t="n">
        <f aca="false">H185*H186*H187</f>
        <v>0.068068498000066</v>
      </c>
      <c r="I188" s="78" t="n">
        <f aca="false">I185*I186*I187</f>
        <v>0.334758801162909</v>
      </c>
      <c r="J188" s="78" t="n">
        <f aca="false">J185*J186*J187</f>
        <v>-0.212807813158283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-0.093277572669491</v>
      </c>
      <c r="C189" s="74" t="n">
        <f aca="false">C167/C168</f>
        <v>0.0782663031794535</v>
      </c>
      <c r="D189" s="74" t="n">
        <f aca="false">D167/D168</f>
        <v>0.0646162011827416</v>
      </c>
      <c r="E189" s="74" t="n">
        <f aca="false">E167/E168</f>
        <v>-0.0878300108852821</v>
      </c>
      <c r="F189" s="74" t="n">
        <f aca="false">F167/F168</f>
        <v>0.416497206605879</v>
      </c>
      <c r="G189" s="74" t="n">
        <f aca="false">G167/G168</f>
        <v>-0.0325964387727614</v>
      </c>
      <c r="H189" s="74" t="n">
        <f aca="false">H167/H168</f>
        <v>0.068068498000066</v>
      </c>
      <c r="I189" s="74" t="n">
        <f aca="false">I167/I168</f>
        <v>0.334758801162909</v>
      </c>
      <c r="J189" s="74" t="n">
        <f aca="false">J167/J168</f>
        <v>-0.212807813158283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0.0143354582665838</v>
      </c>
      <c r="C193" s="74" t="n">
        <f aca="false">C6/C47</f>
        <v>0.00708843075325444</v>
      </c>
      <c r="D193" s="74" t="n">
        <f aca="false">D6/D47</f>
        <v>0.043318383116822</v>
      </c>
      <c r="E193" s="74" t="n">
        <f aca="false">E6/E47</f>
        <v>0.0293787344137596</v>
      </c>
      <c r="F193" s="74" t="n">
        <f aca="false">F6/F47</f>
        <v>0.022150543773014</v>
      </c>
      <c r="G193" s="74" t="n">
        <f aca="false">G6/G47</f>
        <v>0.035048770296336</v>
      </c>
      <c r="H193" s="74" t="n">
        <f aca="false">H6/H47</f>
        <v>0.0558931196058211</v>
      </c>
      <c r="I193" s="74" t="n">
        <f aca="false">I6/I47</f>
        <v>0.0276343545312739</v>
      </c>
      <c r="J193" s="74" t="n">
        <f aca="false">J6/J47</f>
        <v>0.0716875080369913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4.16744806317851E-005</v>
      </c>
      <c r="C194" s="74" t="n">
        <f aca="false">C49/C6</f>
        <v>-4.24394177311887E-005</v>
      </c>
      <c r="D194" s="74" t="n">
        <f aca="false">D49/D6</f>
        <v>-7.2454317552783E-006</v>
      </c>
      <c r="E194" s="74" t="n">
        <f aca="false">E49/E6</f>
        <v>1.09971077606589E-005</v>
      </c>
      <c r="F194" s="74" t="n">
        <f aca="false">F49/F6</f>
        <v>0</v>
      </c>
      <c r="G194" s="74" t="n">
        <f aca="false">G49/G6</f>
        <v>0</v>
      </c>
      <c r="H194" s="74" t="n">
        <f aca="false">H49/H6</f>
        <v>0</v>
      </c>
      <c r="I194" s="74" t="n">
        <f aca="false">I49/I6</f>
        <v>0</v>
      </c>
      <c r="J194" s="74" t="n">
        <f aca="false">J49/J6</f>
        <v>0</v>
      </c>
      <c r="K194" s="74" t="n">
        <f aca="false">K49/K6</f>
        <v>-1.69432864673826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0.0143348608438059</v>
      </c>
      <c r="C195" s="74" t="n">
        <f aca="false">C193*(1-C194)</f>
        <v>0.00708873158212824</v>
      </c>
      <c r="D195" s="74" t="n">
        <f aca="false">D193*(1-D194)</f>
        <v>0.0433186969772106</v>
      </c>
      <c r="E195" s="74" t="n">
        <f aca="false">E193*(1-E194)</f>
        <v>0.0293784113326514</v>
      </c>
      <c r="F195" s="74" t="n">
        <f aca="false">F193*(1-F194)</f>
        <v>0.022150543773014</v>
      </c>
      <c r="G195" s="74" t="n">
        <f aca="false">G193*(1-G194)</f>
        <v>0.035048770296336</v>
      </c>
      <c r="H195" s="74" t="n">
        <f aca="false">H193*(1-H194)</f>
        <v>0.0558931196058211</v>
      </c>
      <c r="I195" s="74" t="n">
        <f aca="false">I193*(1-I194)</f>
        <v>0.0276343545312739</v>
      </c>
      <c r="J195" s="74" t="n">
        <f aca="false">J193*(1-J194)</f>
        <v>0.0716875080369913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</v>
      </c>
      <c r="C196" s="74" t="n">
        <f aca="false">C50/C6</f>
        <v>0</v>
      </c>
      <c r="D196" s="74" t="n">
        <f aca="false">D50/D6</f>
        <v>0</v>
      </c>
      <c r="E196" s="74" t="n">
        <f aca="false">E50/E6</f>
        <v>0</v>
      </c>
      <c r="F196" s="74" t="n">
        <f aca="false">F50/F6</f>
        <v>0</v>
      </c>
      <c r="G196" s="74" t="n">
        <f aca="false">G50/G6</f>
        <v>0</v>
      </c>
      <c r="H196" s="74" t="n">
        <f aca="false">H50/H6</f>
        <v>0</v>
      </c>
      <c r="I196" s="74" t="n">
        <f aca="false">I50/I6</f>
        <v>0</v>
      </c>
      <c r="J196" s="74" t="n">
        <f aca="false">J50/J6</f>
        <v>0</v>
      </c>
      <c r="K196" s="74" t="n">
        <f aca="false">K50/K6</f>
        <v>0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0.0143348608438059</v>
      </c>
      <c r="C197" s="78" t="n">
        <f aca="false">C193*(1-C194+C196)</f>
        <v>0.00708873158212824</v>
      </c>
      <c r="D197" s="78" t="n">
        <f aca="false">D193*(1-D194+D196)</f>
        <v>0.0433186969772106</v>
      </c>
      <c r="E197" s="78" t="n">
        <f aca="false">E193*(1-E194+E196)</f>
        <v>0.0293784113326514</v>
      </c>
      <c r="F197" s="78" t="n">
        <f aca="false">F193*(1-F194+F196)</f>
        <v>0.022150543773014</v>
      </c>
      <c r="G197" s="78" t="n">
        <f aca="false">G193*(1-G194+G196)</f>
        <v>0.035048770296336</v>
      </c>
      <c r="H197" s="78" t="n">
        <f aca="false">H193*(1-H194+H196)</f>
        <v>0.0558931196058211</v>
      </c>
      <c r="I197" s="78" t="n">
        <f aca="false">I193*(1-I194+I196)</f>
        <v>0.0276343545312739</v>
      </c>
      <c r="J197" s="78" t="n">
        <f aca="false">J193*(1-J194+J196)</f>
        <v>0.0716875080369913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0.0143348608438059</v>
      </c>
      <c r="C198" s="74" t="n">
        <f aca="false">C173</f>
        <v>0.00708873158212824</v>
      </c>
      <c r="D198" s="74" t="n">
        <f aca="false">D173</f>
        <v>0.0433186969772106</v>
      </c>
      <c r="E198" s="74" t="n">
        <f aca="false">E173</f>
        <v>0.0293784113326514</v>
      </c>
      <c r="F198" s="74" t="n">
        <f aca="false">F173</f>
        <v>1.52431217912907</v>
      </c>
      <c r="G198" s="74" t="n">
        <f aca="false">G173</f>
        <v>0.035048770296336</v>
      </c>
      <c r="H198" s="74" t="n">
        <f aca="false">H173</f>
        <v>0.0558931196058211</v>
      </c>
      <c r="I198" s="74" t="n">
        <f aca="false">I173</f>
        <v>0.0276343545312739</v>
      </c>
      <c r="J198" s="74" t="n">
        <f aca="false">J173</f>
        <v>0.0716875080369913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-1.50216163535605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1608403</v>
      </c>
      <c r="C202" s="74" t="n">
        <f aca="false">C24</f>
        <v>1677525</v>
      </c>
      <c r="D202" s="74" t="n">
        <f aca="false">D24</f>
        <v>1413573.5</v>
      </c>
      <c r="E202" s="74" t="n">
        <f aca="false">E24</f>
        <v>1599175</v>
      </c>
      <c r="F202" s="74" t="n">
        <f aca="false">F24</f>
        <v>2071482</v>
      </c>
      <c r="G202" s="74" t="n">
        <f aca="false">G24</f>
        <v>2346407.5</v>
      </c>
      <c r="H202" s="74" t="n">
        <f aca="false">H24</f>
        <v>2327583.5</v>
      </c>
      <c r="I202" s="74" t="n">
        <f aca="false">I24</f>
        <v>2370843</v>
      </c>
      <c r="J202" s="74" t="n">
        <f aca="false">J24</f>
        <v>2350385</v>
      </c>
      <c r="K202" s="74" t="n">
        <f aca="false">K24</f>
        <v>2203518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3395702</v>
      </c>
      <c r="C203" s="74" t="n">
        <f aca="false">C48</f>
        <v>3347713</v>
      </c>
      <c r="D203" s="74" t="n">
        <f aca="false">D48</f>
        <v>3324149</v>
      </c>
      <c r="E203" s="74" t="n">
        <f aca="false">E48</f>
        <v>3186130</v>
      </c>
      <c r="F203" s="74" t="n">
        <f aca="false">F48</f>
        <v>3095198</v>
      </c>
      <c r="G203" s="74" t="n">
        <f aca="false">G48</f>
        <v>1226155</v>
      </c>
      <c r="H203" s="74" t="n">
        <f aca="false">H48</f>
        <v>1184635</v>
      </c>
      <c r="I203" s="74" t="n">
        <f aca="false">I48</f>
        <v>1121927</v>
      </c>
      <c r="J203" s="74" t="n">
        <f aca="false">J48</f>
        <v>1091757</v>
      </c>
      <c r="K203" s="74" t="n">
        <f aca="false">K48</f>
        <v>1018727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0.473658465907786</v>
      </c>
      <c r="C204" s="78" t="n">
        <f aca="false">C202/C203</f>
        <v>0.501095822730324</v>
      </c>
      <c r="D204" s="78" t="n">
        <f aca="false">D202/D203</f>
        <v>0.425243724032828</v>
      </c>
      <c r="E204" s="78" t="n">
        <f aca="false">E202/E203</f>
        <v>0.50191768697448</v>
      </c>
      <c r="F204" s="78" t="n">
        <f aca="false">F202/F203</f>
        <v>0.669256700217563</v>
      </c>
      <c r="G204" s="78" t="n">
        <f aca="false">G202/G203</f>
        <v>1.91363041377314</v>
      </c>
      <c r="H204" s="78" t="n">
        <f aca="false">H202/H203</f>
        <v>1.96481068008289</v>
      </c>
      <c r="I204" s="78" t="n">
        <f aca="false">I202/I203</f>
        <v>2.11318829121681</v>
      </c>
      <c r="J204" s="78" t="n">
        <f aca="false">J202/J203</f>
        <v>2.15284628355944</v>
      </c>
      <c r="K204" s="78" t="n">
        <f aca="false">K202/K203</f>
        <v>2.1630112876168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-0.155766318717013</v>
      </c>
      <c r="C206" s="74" t="n">
        <f aca="false">C175/C48</f>
        <v>0.104755694409885</v>
      </c>
      <c r="D206" s="74" t="n">
        <f aca="false">D175/D48</f>
        <v>0.0457894637093584</v>
      </c>
      <c r="E206" s="74" t="n">
        <f aca="false">E175/E48</f>
        <v>-0.164278921450161</v>
      </c>
      <c r="F206" s="74" t="n">
        <f aca="false">F175/F48</f>
        <v>-0.136081762782219</v>
      </c>
      <c r="G206" s="74" t="n">
        <f aca="false">G175/G48</f>
        <v>-0.129389025041695</v>
      </c>
      <c r="H206" s="74" t="n">
        <f aca="false">H175/H48</f>
        <v>0.140379948254104</v>
      </c>
      <c r="I206" s="74" t="n">
        <f aca="false">I175/I48</f>
        <v>0.725194241693087</v>
      </c>
      <c r="J206" s="74" t="n">
        <f aca="false">J175/J48</f>
        <v>-0.691030146818385</v>
      </c>
      <c r="K206" s="74" t="n">
        <f aca="false">K175/K48</f>
        <v>2.14312175882253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-0.107612433513297</v>
      </c>
      <c r="C207" s="74" t="n">
        <f aca="false">C169-C173</f>
        <v>0.0711775715973253</v>
      </c>
      <c r="D207" s="74" t="n">
        <f aca="false">D169-D173</f>
        <v>0.021297504205531</v>
      </c>
      <c r="E207" s="74" t="n">
        <f aca="false">E169-E173</f>
        <v>-0.117208422217934</v>
      </c>
      <c r="F207" s="74" t="n">
        <f aca="false">F169-F173</f>
        <v>-1.10781497252319</v>
      </c>
      <c r="G207" s="74" t="n">
        <f aca="false">G169-G173</f>
        <v>-0.0676452090690974</v>
      </c>
      <c r="H207" s="74" t="n">
        <f aca="false">H169-H173</f>
        <v>0.0121753783942449</v>
      </c>
      <c r="I207" s="74" t="n">
        <f aca="false">I169-I173</f>
        <v>0.307124446631635</v>
      </c>
      <c r="J207" s="74" t="n">
        <f aca="false">J169-J173</f>
        <v>-0.284495321195275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15000</v>
      </c>
      <c r="C210" s="74" t="n">
        <f aca="false">RC!C94-RC!D94</f>
        <v>25000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0</v>
      </c>
      <c r="G210" s="74" t="n">
        <f aca="false">RC!G94-RC!H94</f>
        <v>30000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0</v>
      </c>
      <c r="K210" s="74" t="n">
        <f aca="false">RC!K94-RC!L94</f>
        <v>2000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57000</v>
      </c>
      <c r="C211" s="74" t="n">
        <f aca="false">RC!D94</f>
        <v>32000</v>
      </c>
      <c r="D211" s="74" t="n">
        <f aca="false">RC!E94</f>
        <v>32000</v>
      </c>
      <c r="E211" s="74" t="n">
        <f aca="false">RC!F94</f>
        <v>32000</v>
      </c>
      <c r="F211" s="74" t="n">
        <f aca="false">RC!G94</f>
        <v>32000</v>
      </c>
      <c r="G211" s="74" t="n">
        <f aca="false">RC!H94</f>
        <v>2000</v>
      </c>
      <c r="H211" s="74" t="n">
        <f aca="false">RC!I94</f>
        <v>2000</v>
      </c>
      <c r="I211" s="74" t="n">
        <f aca="false">RC!J94</f>
        <v>2000</v>
      </c>
      <c r="J211" s="74" t="n">
        <f aca="false">RC!K94</f>
        <v>2000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0.263157894736842</v>
      </c>
      <c r="C212" s="78" t="n">
        <f aca="false">(RC!C94-RC!D94)/RC!D94</f>
        <v>0.78125</v>
      </c>
      <c r="D212" s="78" t="n">
        <f aca="false">(RC!D94-RC!E94)/RC!E94</f>
        <v>0</v>
      </c>
      <c r="E212" s="78" t="n">
        <f aca="false">(RC!E94-RC!F94)/RC!F94</f>
        <v>0</v>
      </c>
      <c r="F212" s="78" t="n">
        <f aca="false">(RC!F94-RC!G94)/RC!G94</f>
        <v>0</v>
      </c>
      <c r="G212" s="78" t="n">
        <f aca="false">(RC!G94-RC!H94)/RC!H94</f>
        <v>15</v>
      </c>
      <c r="H212" s="78" t="n">
        <f aca="false">(RC!H94-RC!I94)/RC!I94</f>
        <v>0</v>
      </c>
      <c r="I212" s="78" t="n">
        <f aca="false">(RC!I94-RC!J94)/RC!J94</f>
        <v>0</v>
      </c>
      <c r="J212" s="78" t="n">
        <f aca="false">(RC!J94-RC!K94)/RC!K94</f>
        <v>0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208796</v>
      </c>
      <c r="C217" s="74" t="n">
        <f aca="false">C4</f>
        <v>157219</v>
      </c>
      <c r="D217" s="74" t="n">
        <f aca="false">D4</f>
        <v>237075</v>
      </c>
      <c r="E217" s="74" t="n">
        <f aca="false">E4</f>
        <v>158900</v>
      </c>
      <c r="F217" s="74" t="n">
        <f aca="false">F4</f>
        <v>79314</v>
      </c>
      <c r="G217" s="74" t="n">
        <f aca="false">G4</f>
        <v>101378</v>
      </c>
      <c r="H217" s="74" t="n">
        <f aca="false">H4</f>
        <v>129035</v>
      </c>
      <c r="I217" s="74" t="n">
        <f aca="false">I4</f>
        <v>92400</v>
      </c>
      <c r="J217" s="74" t="n">
        <f aca="false">J4</f>
        <v>169833</v>
      </c>
      <c r="K217" s="74" t="n">
        <f aca="false">K4</f>
        <v>562402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110269</v>
      </c>
      <c r="C218" s="74" t="n">
        <f aca="false">-C27</f>
        <v>101600</v>
      </c>
      <c r="D218" s="74" t="n">
        <f aca="false">-D27</f>
        <v>34715</v>
      </c>
      <c r="E218" s="74" t="n">
        <f aca="false">-E27</f>
        <v>32939</v>
      </c>
      <c r="F218" s="74" t="n">
        <f aca="false">-F27</f>
        <v>42003</v>
      </c>
      <c r="G218" s="74" t="n">
        <f aca="false">-G27</f>
        <v>43669</v>
      </c>
      <c r="H218" s="74" t="n">
        <f aca="false">-H27</f>
        <v>40987</v>
      </c>
      <c r="I218" s="74" t="n">
        <f aca="false">-I27</f>
        <v>52706</v>
      </c>
      <c r="J218" s="74" t="n">
        <f aca="false">-J27</f>
        <v>65192</v>
      </c>
      <c r="K218" s="74" t="n">
        <f aca="false">-K27</f>
        <v>60976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1.89351494980457</v>
      </c>
      <c r="C219" s="78" t="n">
        <f aca="false">C217/C218</f>
        <v>1.5474311023622</v>
      </c>
      <c r="D219" s="78" t="n">
        <f aca="false">D217/D218</f>
        <v>6.82918046953766</v>
      </c>
      <c r="E219" s="78" t="n">
        <f aca="false">E217/E218</f>
        <v>4.82406873311272</v>
      </c>
      <c r="F219" s="78" t="n">
        <f aca="false">F217/F218</f>
        <v>1.88829369330762</v>
      </c>
      <c r="G219" s="78" t="n">
        <f aca="false">G217/G218</f>
        <v>2.32150953765829</v>
      </c>
      <c r="H219" s="78" t="n">
        <f aca="false">H217/H218</f>
        <v>3.14819332959231</v>
      </c>
      <c r="I219" s="78" t="n">
        <f aca="false">I217/I218</f>
        <v>1.75312108678329</v>
      </c>
      <c r="J219" s="78" t="n">
        <f aca="false">J217/J218</f>
        <v>2.60512026015462</v>
      </c>
      <c r="K219" s="78" t="n">
        <f aca="false">K217/K218</f>
        <v>9.22333377066387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1608403</v>
      </c>
      <c r="C221" s="74" t="n">
        <f aca="false">C25</f>
        <v>1677525</v>
      </c>
      <c r="D221" s="74" t="n">
        <f aca="false">D25</f>
        <v>1413573.5</v>
      </c>
      <c r="E221" s="74" t="n">
        <f aca="false">E25</f>
        <v>1599175</v>
      </c>
      <c r="F221" s="74" t="n">
        <f aca="false">F25</f>
        <v>2071482</v>
      </c>
      <c r="G221" s="74" t="n">
        <f aca="false">G25</f>
        <v>2346407.5</v>
      </c>
      <c r="H221" s="74" t="n">
        <f aca="false">H25</f>
        <v>2327583.5</v>
      </c>
      <c r="I221" s="74" t="n">
        <f aca="false">I25</f>
        <v>2370843</v>
      </c>
      <c r="J221" s="74" t="n">
        <f aca="false">J25</f>
        <v>2350385</v>
      </c>
      <c r="K221" s="74" t="n">
        <f aca="false">K25</f>
        <v>2203518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425646</v>
      </c>
      <c r="C222" s="74" t="n">
        <f aca="false">C5</f>
        <v>478043</v>
      </c>
      <c r="D222" s="74" t="n">
        <f aca="false">D5</f>
        <v>508402</v>
      </c>
      <c r="E222" s="74" t="n">
        <f aca="false">E5</f>
        <v>485379</v>
      </c>
      <c r="F222" s="74" t="n">
        <f aca="false">F5</f>
        <v>323613</v>
      </c>
      <c r="G222" s="74" t="n">
        <f aca="false">G5</f>
        <v>392247</v>
      </c>
      <c r="H222" s="74" t="n">
        <f aca="false">H5</f>
        <v>423438</v>
      </c>
      <c r="I222" s="74" t="n">
        <f aca="false">I5</f>
        <v>355258</v>
      </c>
      <c r="J222" s="74" t="n">
        <f aca="false">J5</f>
        <v>419621</v>
      </c>
      <c r="K222" s="74" t="n">
        <f aca="false">K5</f>
        <v>792171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3.77873397142226</v>
      </c>
      <c r="C223" s="78" t="n">
        <f aca="false">C221/C222</f>
        <v>3.50915085044651</v>
      </c>
      <c r="D223" s="78" t="n">
        <f aca="false">D221/D222</f>
        <v>2.78042474262493</v>
      </c>
      <c r="E223" s="78" t="n">
        <f aca="false">E221/E222</f>
        <v>3.29469342513788</v>
      </c>
      <c r="F223" s="78" t="n">
        <f aca="false">F221/F222</f>
        <v>6.40110873172586</v>
      </c>
      <c r="G223" s="78" t="n">
        <f aca="false">G221/G222</f>
        <v>5.9819641705354</v>
      </c>
      <c r="H223" s="78" t="n">
        <f aca="false">H221/H222</f>
        <v>5.49686967159301</v>
      </c>
      <c r="I223" s="78" t="n">
        <f aca="false">I221/I222</f>
        <v>6.67358089050774</v>
      </c>
      <c r="J223" s="78" t="n">
        <f aca="false">J221/J222</f>
        <v>5.60120918638486</v>
      </c>
      <c r="K223" s="78" t="n">
        <f aca="false">K221/K222</f>
        <v>2.78161912011422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2026-01-23T13:38:37Z</dcterms:created>
  <dc:creator>openpyxl</dc:creator>
  <dc:description/>
  <dc:language>it-IT</dc:language>
  <cp:lastModifiedBy>Box, Alif Mahajan Fuhad</cp:lastModifiedBy>
  <dcterms:modified xsi:type="dcterms:W3CDTF">2026-01-23T13:38:37Z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