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10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3.xml" ContentType="application/vnd.openxmlformats-officedocument.drawingml.char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8.xml" ContentType="application/vnd.openxmlformats-officedocument.drawingml.chart+xml"/>
  <Override PartName="/xl/charts/chart14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3"/>
  </bookViews>
  <sheets>
    <sheet name="input" sheetId="1" state="visible" r:id="rId3"/>
    <sheet name="case" sheetId="2" state="visible" r:id="rId4"/>
    <sheet name="RC" sheetId="3" state="visible" r:id="rId5"/>
    <sheet name="RF" sheetId="4" state="visible" r:id="rId6"/>
    <sheet name="ind" sheetId="5" state="visible" r:id="rId7"/>
    <sheet name="grph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<sst xmlns="http://schemas.openxmlformats.org/spreadsheetml/2006/main" count="837" uniqueCount="611">
  <si>
    <t xml:space="preserve">Anno</t>
  </si>
  <si>
    <t xml:space="preserve">A. CREDITI VERSO SOCI</t>
  </si>
  <si>
    <t xml:space="preserve">Quota di capitale richiamata</t>
  </si>
  <si>
    <t xml:space="preserve">B. TOTALE IMMOBILIZZAZIONI sep.ind. Di quelle conc. In loc. Finanz.</t>
  </si>
  <si>
    <t xml:space="preserve">B.I. TOTALE IMMOB. IMMATERIALI</t>
  </si>
  <si>
    <t xml:space="preserve">B.I.1. Costi impianto e ampl.</t>
  </si>
  <si>
    <t xml:space="preserve">B.I.2. Costi ricerca e pubb.</t>
  </si>
  <si>
    <t xml:space="preserve">B.I.3. Diritti brevetto ind.</t>
  </si>
  <si>
    <t xml:space="preserve">B.I.4. Concessioni, licenze</t>
  </si>
  <si>
    <t xml:space="preserve">B.I.5. Avviamento/Differenza di consolidamento</t>
  </si>
  <si>
    <t xml:space="preserve">di cui: Avviamento</t>
  </si>
  <si>
    <t xml:space="preserve">B.I.6. Imm. in corso</t>
  </si>
  <si>
    <t xml:space="preserve">B.I.7. Altre immobiliz. Immateriali</t>
  </si>
  <si>
    <t xml:space="preserve">Fondo amm.to Immob. Immateriali</t>
  </si>
  <si>
    <t xml:space="preserve">B.II. TOTALE IMMOB. MATERIALI</t>
  </si>
  <si>
    <t xml:space="preserve">di cui: Beni materiali concessi in locazione finanziaria</t>
  </si>
  <si>
    <t xml:space="preserve">B.II.1. Terreni e fabbricati</t>
  </si>
  <si>
    <t xml:space="preserve">B.II.2. Impianti</t>
  </si>
  <si>
    <t xml:space="preserve">B.II.3. Attrez. industriali</t>
  </si>
  <si>
    <t xml:space="preserve">B.II.4. Altri beni</t>
  </si>
  <si>
    <t xml:space="preserve">B.II.5. Imm. in corso/acconti</t>
  </si>
  <si>
    <t xml:space="preserve">Fondo amm.to Immob. Materiali</t>
  </si>
  <si>
    <t xml:space="preserve">B.III. TOTALE IMMOB. FINANZIARIE</t>
  </si>
  <si>
    <t xml:space="preserve">di cui: esigibili entro l'esercizio successivo</t>
  </si>
  <si>
    <t xml:space="preserve">B.III.1. TOT Partecipazioni</t>
  </si>
  <si>
    <t xml:space="preserve">B.III.1.a. Imprese controllate</t>
  </si>
  <si>
    <t xml:space="preserve">B.III.1.b. Imprese collegate</t>
  </si>
  <si>
    <t xml:space="preserve">B.III.1.c. Imprese controllanti</t>
  </si>
  <si>
    <t xml:space="preserve">B.III.1.d. In imprese sottoposte al controllo delle controllanti</t>
  </si>
  <si>
    <t xml:space="preserve">B.III.1.d.bis. Altre imprese</t>
  </si>
  <si>
    <t xml:space="preserve">B.III.2. TOT CREDITI Imm. Fin.</t>
  </si>
  <si>
    <t xml:space="preserve">B.III.2.a. Cred. vs Controllate entro</t>
  </si>
  <si>
    <t xml:space="preserve">B.III.2.a. Cred. vs Controllate oltre</t>
  </si>
  <si>
    <t xml:space="preserve">B.III.2.b. Cred. vs Collegate entro</t>
  </si>
  <si>
    <t xml:space="preserve">B.III.2.b. Cred. vs Collegate oltre</t>
  </si>
  <si>
    <t xml:space="preserve">B.III.2.c. Cred. vs Controllanti entro</t>
  </si>
  <si>
    <t xml:space="preserve">B.III.2.c. Cred. vs Controllanti oltre</t>
  </si>
  <si>
    <t xml:space="preserve">B.III.2.d. Cred. vs imprese sottoposte al controllo delle controllanti entro</t>
  </si>
  <si>
    <t xml:space="preserve">B.III.2.d. Cred. vs imprese sottoposte al controllo delle controllanti oltre</t>
  </si>
  <si>
    <t xml:space="preserve">B.III.2.d.bis. Cred. vs Altri entro</t>
  </si>
  <si>
    <t xml:space="preserve">B.III.2.d.bis Cred. vs Altri oltre</t>
  </si>
  <si>
    <t xml:space="preserve">B.III. CREDITI FIN. A BREVE</t>
  </si>
  <si>
    <t xml:space="preserve">B.III. CREDITI FIN. A OLTRE</t>
  </si>
  <si>
    <t xml:space="preserve">B.III.3. Altri titoli</t>
  </si>
  <si>
    <t xml:space="preserve">B.III.3.bis. Azioni proprie</t>
  </si>
  <si>
    <t xml:space="preserve">B.III.4. Strumenti finanziari derivati attivi</t>
  </si>
  <si>
    <t xml:space="preserve">Azioni proprie DI CUI: Val nominale</t>
  </si>
  <si>
    <t xml:space="preserve">C. ATTIVO CIRCOLANTE</t>
  </si>
  <si>
    <t xml:space="preserve">C.I. TOTALE RIMANENZE</t>
  </si>
  <si>
    <t xml:space="preserve">C.I.1. Materie prime</t>
  </si>
  <si>
    <t xml:space="preserve">C.I.2. Prodotti semilav./in corso</t>
  </si>
  <si>
    <t xml:space="preserve">C.I.3. Lavori in corso</t>
  </si>
  <si>
    <t xml:space="preserve">C.I.4. Prodotti finiti</t>
  </si>
  <si>
    <t xml:space="preserve">C.I.5. Acconti</t>
  </si>
  <si>
    <t xml:space="preserve">Immobilizzazioni materiali destinate alla vendita</t>
  </si>
  <si>
    <t xml:space="preserve">C.II. TOTALE CREDITI</t>
  </si>
  <si>
    <t xml:space="preserve">C.II.1. Cred. vs Clienti entro</t>
  </si>
  <si>
    <t xml:space="preserve">C.II.1. Cred. vs Clienti oltre</t>
  </si>
  <si>
    <t xml:space="preserve">C.II.2. Cred. vs Controllate entro</t>
  </si>
  <si>
    <t xml:space="preserve">C.II.2. Cred. vs Controllate oltre</t>
  </si>
  <si>
    <t xml:space="preserve">C.II.3. Cred. vs Collegate entro</t>
  </si>
  <si>
    <t xml:space="preserve">C.II.3. Cred. vs Collegate oltre</t>
  </si>
  <si>
    <t xml:space="preserve">C.II.4. Cred. vs Controllanti entro</t>
  </si>
  <si>
    <t xml:space="preserve">C.II.4. Cred. vs Controllanti oltre</t>
  </si>
  <si>
    <t xml:space="preserve">C.II.5. Cred. vs imprese sottoposte al controllo delle controllanti entro</t>
  </si>
  <si>
    <t xml:space="preserve">C.II.5. Cred. vs imprese sottoposte al controllo delle controllanti oltre</t>
  </si>
  <si>
    <t xml:space="preserve">C.II.5.bis. Cred. tributari entro</t>
  </si>
  <si>
    <t xml:space="preserve">C.II.5.bis. Cred. tributari oltre</t>
  </si>
  <si>
    <t xml:space="preserve">C.II.5.ter. Cred. per imposte anticipate entro</t>
  </si>
  <si>
    <t xml:space="preserve">C.II.5.ter. Cred. per imposte anticipate oltre</t>
  </si>
  <si>
    <t xml:space="preserve">C.II.5.quater. Cred. verso altri entro</t>
  </si>
  <si>
    <t xml:space="preserve">C.II.5.quater. Cred. verso altri oltre</t>
  </si>
  <si>
    <t xml:space="preserve">C.II. Crediti a breve</t>
  </si>
  <si>
    <t xml:space="preserve">Crediti per imposte anticipate</t>
  </si>
  <si>
    <t xml:space="preserve">C.II. Crediti a oltre</t>
  </si>
  <si>
    <t xml:space="preserve">C.III. TOTALE ATTIVITA' FINANZIARIE</t>
  </si>
  <si>
    <t xml:space="preserve">C.III.1. Partec.ni in Controllate</t>
  </si>
  <si>
    <t xml:space="preserve">C.III.2. Partec.ni in Collegate</t>
  </si>
  <si>
    <t xml:space="preserve">C.III.3. Partec.ni in Controllanti</t>
  </si>
  <si>
    <t xml:space="preserve">C.III.3.bis. Partec.ni in imprese sottoposte al controllo delle controllanti</t>
  </si>
  <si>
    <t xml:space="preserve">C.III.4. Altre Partec.ni</t>
  </si>
  <si>
    <t xml:space="preserve">C.III.4.bis. Azioni proprie</t>
  </si>
  <si>
    <t xml:space="preserve">C.III.5. Strumenti finanziari derivati attivi</t>
  </si>
  <si>
    <t xml:space="preserve">C.III.6. Altri titoli</t>
  </si>
  <si>
    <t xml:space="preserve">C.III.7. Attività finanziarie per la gestione accentrata della tesoreria</t>
  </si>
  <si>
    <t xml:space="preserve">C.IV. TOT. DISPON. LIQUIDE</t>
  </si>
  <si>
    <t xml:space="preserve">C.IV.1. Depositi bancari</t>
  </si>
  <si>
    <t xml:space="preserve">C.IV.2. Assegni</t>
  </si>
  <si>
    <t xml:space="preserve">C.IV.3. Denaro in cassa</t>
  </si>
  <si>
    <t xml:space="preserve">D. RATEI E RISCONTI</t>
  </si>
  <si>
    <t xml:space="preserve">Disaggio su prestiti</t>
  </si>
  <si>
    <t xml:space="preserve">TOTALE ATTIVO</t>
  </si>
  <si>
    <t xml:space="preserve">Passivo</t>
  </si>
  <si>
    <t xml:space="preserve">PATRIMONIO NETTO</t>
  </si>
  <si>
    <t xml:space="preserve">A. TOTALE PATRIMONIO NETTO</t>
  </si>
  <si>
    <t xml:space="preserve">A.I. Capitale sociale</t>
  </si>
  <si>
    <t xml:space="preserve">di cui: Versamenti soci in c/capitale</t>
  </si>
  <si>
    <t xml:space="preserve">di cui: Versamenti in c/futuro aumento di capitale</t>
  </si>
  <si>
    <t xml:space="preserve">di cui: Versamenti in c/capitale</t>
  </si>
  <si>
    <t xml:space="preserve">di cui: Versamenti a copertura perdite</t>
  </si>
  <si>
    <t xml:space="preserve">A.II. Riserva da sovrapprezzo</t>
  </si>
  <si>
    <t xml:space="preserve">A.III. Riserva di rivalutazione</t>
  </si>
  <si>
    <t xml:space="preserve">A.IV. Riserva legale</t>
  </si>
  <si>
    <t xml:space="preserve">A.V. Riserva statutaria</t>
  </si>
  <si>
    <t xml:space="preserve">Riserva azioni proprie</t>
  </si>
  <si>
    <t xml:space="preserve">A.VI. Altre riserve</t>
  </si>
  <si>
    <t xml:space="preserve">Riserva da cons. del Gruppo</t>
  </si>
  <si>
    <t xml:space="preserve">A.VII. Riserva per operazioni di copertura dei flussi finanziari attesi</t>
  </si>
  <si>
    <t xml:space="preserve">A.VIII. Utile/perdita a nuovo</t>
  </si>
  <si>
    <t xml:space="preserve">A.IX. Utile/perdita di esercizio</t>
  </si>
  <si>
    <t xml:space="preserve">Acconto dividendi</t>
  </si>
  <si>
    <t xml:space="preserve">Copertura parziale perdita di esercizio</t>
  </si>
  <si>
    <t xml:space="preserve">A.X. Riserva negativa per azioni proprie in portafoglio (+/-)</t>
  </si>
  <si>
    <t xml:space="preserve">TOTALE PATRIMONIO DEL GRUPPO</t>
  </si>
  <si>
    <t xml:space="preserve">Capitale e riserve di pertinenza di TERZI</t>
  </si>
  <si>
    <t xml:space="preserve">di cui: per imposte differite</t>
  </si>
  <si>
    <t xml:space="preserve">Utile/perdita di es. di pertinenza di TERZI</t>
  </si>
  <si>
    <t xml:space="preserve">TOTALE PATRIMONIO DI TERZI</t>
  </si>
  <si>
    <t xml:space="preserve">B. TOTALE FONDI RISCHI</t>
  </si>
  <si>
    <t xml:space="preserve">B.1. Fondo di Quiescenza</t>
  </si>
  <si>
    <t xml:space="preserve">B.2. Fondo Imposte anche differite</t>
  </si>
  <si>
    <t xml:space="preserve">B.3. Strumenti finanziari derivati passivi</t>
  </si>
  <si>
    <t xml:space="preserve">B.4. Altri Fondi</t>
  </si>
  <si>
    <t xml:space="preserve">di cui : fondo di consolidamento</t>
  </si>
  <si>
    <t xml:space="preserve">C. TRATTAMENTO DI FINE RAPPORTO</t>
  </si>
  <si>
    <t xml:space="preserve">Debiti</t>
  </si>
  <si>
    <t xml:space="preserve">D. TOTALE DEBITI</t>
  </si>
  <si>
    <t xml:space="preserve">D.1. Obblig.ni entro</t>
  </si>
  <si>
    <t xml:space="preserve">D.1. Obblig.ni oltre</t>
  </si>
  <si>
    <t xml:space="preserve">D.2. Obblig.ni convert. entro</t>
  </si>
  <si>
    <t xml:space="preserve">D.2. Obblig.ni convert. oltre.</t>
  </si>
  <si>
    <t xml:space="preserve">D.3. Soci per Finanziamenti entro</t>
  </si>
  <si>
    <t xml:space="preserve">D.3. Soci per Finanziamenti oltre</t>
  </si>
  <si>
    <t xml:space="preserve">D.4. Banche entro l'esercizio</t>
  </si>
  <si>
    <t xml:space="preserve">D.4. Banche oltre l'esercizio</t>
  </si>
  <si>
    <t xml:space="preserve">D.5. Altri finanziatori entro</t>
  </si>
  <si>
    <t xml:space="preserve">D.5. Altri finanziatori oltre</t>
  </si>
  <si>
    <t xml:space="preserve">D.6. Acconti entro</t>
  </si>
  <si>
    <t xml:space="preserve">D.6. Acconti oltre</t>
  </si>
  <si>
    <t xml:space="preserve">D.7. Fornitori entro</t>
  </si>
  <si>
    <t xml:space="preserve">D.7. Fornitori oltre</t>
  </si>
  <si>
    <t xml:space="preserve">D.8. Titoli di credito entro</t>
  </si>
  <si>
    <t xml:space="preserve">D.8. Titoli di credito oltre</t>
  </si>
  <si>
    <t xml:space="preserve">D.9. Imprese Controllate entro</t>
  </si>
  <si>
    <t xml:space="preserve">D.9. Imprese Controllate oltre</t>
  </si>
  <si>
    <t xml:space="preserve">D.10. Imprese Collegate entro</t>
  </si>
  <si>
    <t xml:space="preserve">D.10. Imprese Collegate oltre</t>
  </si>
  <si>
    <t xml:space="preserve">D.11. Controllanti entro</t>
  </si>
  <si>
    <t xml:space="preserve">D.11. Controllanti oltre</t>
  </si>
  <si>
    <t xml:space="preserve">D.11.bis. Debiti VS imprese sottoposte al controllo delle controllanti entro</t>
  </si>
  <si>
    <t xml:space="preserve">D.11.bis. Debiti VS imprese sottoposte al controllo delle controllanti oltre</t>
  </si>
  <si>
    <t xml:space="preserve">D.12. Debiti Tributari entro</t>
  </si>
  <si>
    <t xml:space="preserve">D.12. Debiti Tributari oltre</t>
  </si>
  <si>
    <t xml:space="preserve">D.13. Istituti previdenza entro</t>
  </si>
  <si>
    <t xml:space="preserve">D.13. Istituti previdenza oltre</t>
  </si>
  <si>
    <t xml:space="preserve">D.14. Altri Debiti entro</t>
  </si>
  <si>
    <t xml:space="preserve">D.14. Altri Debiti oltre</t>
  </si>
  <si>
    <t xml:space="preserve">D. DEBITI A BREVE</t>
  </si>
  <si>
    <t xml:space="preserve">D. DEBITI A OLTRE</t>
  </si>
  <si>
    <t xml:space="preserve">Total debiti entro l'esercizio</t>
  </si>
  <si>
    <t xml:space="preserve">Total debiti oltre l'esercizio</t>
  </si>
  <si>
    <t xml:space="preserve">E. RATEI E RISCONTI</t>
  </si>
  <si>
    <t xml:space="preserve">Aggio sui prestiti</t>
  </si>
  <si>
    <t xml:space="preserve">TOTALE PASSIVO</t>
  </si>
  <si>
    <t xml:space="preserve">TOTALE CONTI D'ORDINE</t>
  </si>
  <si>
    <t xml:space="preserve">Conto economico</t>
  </si>
  <si>
    <t xml:space="preserve">A. TOT. VAL. DELLA PRODUZIONE</t>
  </si>
  <si>
    <t xml:space="preserve">A.1. Ricavi vendite e prestazioni</t>
  </si>
  <si>
    <t xml:space="preserve">A.2. Var. rimanenze prodotti</t>
  </si>
  <si>
    <t xml:space="preserve">A.3. Variazione lavori</t>
  </si>
  <si>
    <t xml:space="preserve">A.2. + A.3. Totale Variazioni</t>
  </si>
  <si>
    <t xml:space="preserve">A.4. Incrementi di immob.</t>
  </si>
  <si>
    <t xml:space="preserve">A.5. Altri ricavi</t>
  </si>
  <si>
    <t xml:space="preserve">Contributi in conto esercizio</t>
  </si>
  <si>
    <t xml:space="preserve">B. COSTI DELLA PRODUZIONE</t>
  </si>
  <si>
    <t xml:space="preserve">B.6. Materie prime e consumo</t>
  </si>
  <si>
    <t xml:space="preserve">B.7. Servizi</t>
  </si>
  <si>
    <t xml:space="preserve">B.8. Godimento beni di terzi</t>
  </si>
  <si>
    <t xml:space="preserve">B.9. Totale costi del personale</t>
  </si>
  <si>
    <t xml:space="preserve">B.9.a. Salari e stipendi</t>
  </si>
  <si>
    <t xml:space="preserve">B.9.b. Oneri sociali</t>
  </si>
  <si>
    <t xml:space="preserve">B.9.c. Tratt. fine rapporto</t>
  </si>
  <si>
    <t xml:space="preserve">B.9.d. Tratt. di quiescenza</t>
  </si>
  <si>
    <t xml:space="preserve">B.9.e. Altri costi</t>
  </si>
  <si>
    <t xml:space="preserve">B.9.f. TFR + quiescenza + altri costi</t>
  </si>
  <si>
    <t xml:space="preserve">B.10. TOT Ammortamenti e svalut.</t>
  </si>
  <si>
    <t xml:space="preserve">B.10.a. Amm. Immob. Immat.</t>
  </si>
  <si>
    <t xml:space="preserve">B.10.b. Amm. Immob. Mat.</t>
  </si>
  <si>
    <t xml:space="preserve">B.10.c. Altre svalut. Immob.</t>
  </si>
  <si>
    <t xml:space="preserve">B.10.a+b+c. Amm. e svalut. delle immob.</t>
  </si>
  <si>
    <t xml:space="preserve">B.10.d. Svalut. crediti</t>
  </si>
  <si>
    <t xml:space="preserve">B.11. Variazione materie</t>
  </si>
  <si>
    <t xml:space="preserve">B.12. Accantonamenti per rischi</t>
  </si>
  <si>
    <t xml:space="preserve">B.13. Altri accantonamenti</t>
  </si>
  <si>
    <t xml:space="preserve">B.14. Oneri diversi di gestione</t>
  </si>
  <si>
    <t xml:space="preserve">RISULTATO OPERATIVO</t>
  </si>
  <si>
    <t xml:space="preserve">Valore Aggiunto</t>
  </si>
  <si>
    <t xml:space="preserve">C. TOTALE PROVENTI E ONERI FINANZIARI</t>
  </si>
  <si>
    <t xml:space="preserve">C.15. Tot. proventi da partecip.</t>
  </si>
  <si>
    <t xml:space="preserve">di cui: verso contr.anti, collegate, contr.te e sottoposte ctrl controllanti</t>
  </si>
  <si>
    <t xml:space="preserve">di cui: da imprese controllanti</t>
  </si>
  <si>
    <t xml:space="preserve">di cui: da imprese sottoposte al controllo delle controllanti</t>
  </si>
  <si>
    <t xml:space="preserve">C.16. TOT Altri Proventi</t>
  </si>
  <si>
    <t xml:space="preserve">C.16.a. Da Crediti</t>
  </si>
  <si>
    <t xml:space="preserve">C.16.b. Da titoli iscr. imm.</t>
  </si>
  <si>
    <t xml:space="preserve">C.16.c. Da titoli iscr. att.circol.</t>
  </si>
  <si>
    <t xml:space="preserve">C.16.b+c. Proventi da Titoli</t>
  </si>
  <si>
    <t xml:space="preserve">C.16.d. Proventi fin. Diversi</t>
  </si>
  <si>
    <t xml:space="preserve">di cui: verso contr.anti, collegate, contr.te e sottoposte ctrl controllantil</t>
  </si>
  <si>
    <t xml:space="preserve">C.17. Totale Oneri finanziari</t>
  </si>
  <si>
    <t xml:space="preserve">C.17.bis Utili e perdite su cambi</t>
  </si>
  <si>
    <t xml:space="preserve">D. TOTALE RETTIFICHE ATT. FINANZ.</t>
  </si>
  <si>
    <t xml:space="preserve">D.18. TOT Rivalutazioni</t>
  </si>
  <si>
    <t xml:space="preserve">D.18.a. Rivalut. di partec.</t>
  </si>
  <si>
    <t xml:space="preserve">D.18.b. Rivalut. di altre imm. fin.</t>
  </si>
  <si>
    <t xml:space="preserve">D.18.c. Rivalut. di titoli</t>
  </si>
  <si>
    <t xml:space="preserve">D.18.d. Rivalut. di strumenti finanziari derivati</t>
  </si>
  <si>
    <t xml:space="preserve">Rivalut. di attività finanziarie per la gestione accentrata della tesoreria</t>
  </si>
  <si>
    <t xml:space="preserve">D.19. TOT Svalutazioni</t>
  </si>
  <si>
    <t xml:space="preserve">D.19.a. Svalut. di partec.</t>
  </si>
  <si>
    <t xml:space="preserve">D.19.b. Svalut. di altre imm. fin.</t>
  </si>
  <si>
    <t xml:space="preserve">D.19.c. Svalut. di titoli</t>
  </si>
  <si>
    <t xml:space="preserve">D.19.d. Svalut. di strumenti finanziari derivati</t>
  </si>
  <si>
    <t xml:space="preserve">Svalut. di attività finanziarie per la gestione accentrata della tesoreria</t>
  </si>
  <si>
    <t xml:space="preserve">TOTALE PROVENTI/ONERI STRAORDINARI</t>
  </si>
  <si>
    <t xml:space="preserve">Proventi Straordinari</t>
  </si>
  <si>
    <t xml:space="preserve">di cui plusvalenze</t>
  </si>
  <si>
    <t xml:space="preserve">Oneri Straordinari</t>
  </si>
  <si>
    <t xml:space="preserve">di cui minusvalenze</t>
  </si>
  <si>
    <t xml:space="preserve">di cui imposte esercizio precedente</t>
  </si>
  <si>
    <t xml:space="preserve">RISULTATO PRIMA DELLE IMPOSTE</t>
  </si>
  <si>
    <t xml:space="preserve">20. Totale Imposte sul reddito correnti, differite e anticipate</t>
  </si>
  <si>
    <t xml:space="preserve">Imposte correnti</t>
  </si>
  <si>
    <t xml:space="preserve">Imposte relative a esercizi precedenti</t>
  </si>
  <si>
    <t xml:space="preserve">Imposte differite e anticipate</t>
  </si>
  <si>
    <t xml:space="preserve">Imposte differite (+/-)</t>
  </si>
  <si>
    <t xml:space="preserve">Imposte anticipate (+/-)</t>
  </si>
  <si>
    <t xml:space="preserve">Prov. (oneri) da adesione al regime di trasparenza fiscale</t>
  </si>
  <si>
    <t xml:space="preserve">21. UTILE/PERDITA DI ESERCIZIO</t>
  </si>
  <si>
    <t xml:space="preserve">UTILE/PERDITA DI ESERCIZIO di pert. di TERZI</t>
  </si>
  <si>
    <t xml:space="preserve">G. PFITSCHER SRL</t>
  </si>
  <si>
    <t xml:space="preserve">02526440215</t>
  </si>
  <si>
    <t xml:space="preserve">SP attivo</t>
  </si>
  <si>
    <t xml:space="preserve">Segno</t>
  </si>
  <si>
    <t xml:space="preserve">Riclassificazione</t>
  </si>
  <si>
    <t xml:space="preserve">   Finanziamenti netti vs soci e controllanti</t>
  </si>
  <si>
    <t xml:space="preserve">      Immobilizzazioni immateriali nette</t>
  </si>
  <si>
    <t xml:space="preserve">      Immobilizzazioni materiali nette</t>
  </si>
  <si>
    <t xml:space="preserve">   Partecipazioni</t>
  </si>
  <si>
    <t xml:space="preserve">      Azioni proprie e partecipazioni in controllanti</t>
  </si>
  <si>
    <t xml:space="preserve">   Crediti vs controllate e collegate</t>
  </si>
  <si>
    <t xml:space="preserve">      Crediti diversi</t>
  </si>
  <si>
    <t xml:space="preserve">   Strumenti derivati attivi</t>
  </si>
  <si>
    <t xml:space="preserve">inserimento manuale straordinario per assenza dati</t>
  </si>
  <si>
    <t xml:space="preserve">      Magazzino</t>
  </si>
  <si>
    <t xml:space="preserve">      Altre attività operative correnti</t>
  </si>
  <si>
    <t xml:space="preserve">      Crediti verso clienti</t>
  </si>
  <si>
    <t xml:space="preserve">   Crediti fisco-previdenziali</t>
  </si>
  <si>
    <t xml:space="preserve">   Attività per imposte anticipate</t>
  </si>
  <si>
    <t xml:space="preserve">   Riserve strategiche di liquidità</t>
  </si>
  <si>
    <t xml:space="preserve">   Attività di tesoreria</t>
  </si>
  <si>
    <t xml:space="preserve">      Capitale conferito dai soci</t>
  </si>
  <si>
    <t xml:space="preserve">      Riserve da rivalutazione</t>
  </si>
  <si>
    <t xml:space="preserve">      Utili non distribuiti</t>
  </si>
  <si>
    <t xml:space="preserve">      Reddito dell’esercizio</t>
  </si>
  <si>
    <t xml:space="preserve">   Capitale proprio di pertinenza di terzi</t>
  </si>
  <si>
    <t xml:space="preserve">   Altri fondi</t>
  </si>
  <si>
    <t xml:space="preserve">   Passività per imposte differite</t>
  </si>
  <si>
    <t xml:space="preserve">   Strumenti derivati passivi</t>
  </si>
  <si>
    <t xml:space="preserve">      Fondo TFR</t>
  </si>
  <si>
    <t xml:space="preserve">   Debiti strutturali a m/l termine</t>
  </si>
  <si>
    <t xml:space="preserve">   Debiti strutturali a breve termine</t>
  </si>
  <si>
    <t xml:space="preserve">      Altre passività operative correnti</t>
  </si>
  <si>
    <t xml:space="preserve">      Altre passività operative consolidate</t>
  </si>
  <si>
    <t xml:space="preserve">      Debiti vs fornitori</t>
  </si>
  <si>
    <t xml:space="preserve">   Debiti verso controllate e collegate</t>
  </si>
  <si>
    <t xml:space="preserve">   Debiti fisco previdenziali</t>
  </si>
  <si>
    <t xml:space="preserve">   (A) Ricavi di vendita</t>
  </si>
  <si>
    <t xml:space="preserve">   + Variazione rimanenze prodotti finiti e semilavorati</t>
  </si>
  <si>
    <t xml:space="preserve">   + Variazione lavori in corso su ordinazione</t>
  </si>
  <si>
    <t xml:space="preserve">   + Incrementi di immobilizzazioni per lavori interni</t>
  </si>
  <si>
    <t xml:space="preserve">   + Contributi pubblici in conto esercizio</t>
  </si>
  <si>
    <t xml:space="preserve">      − Materie prime e merci</t>
  </si>
  <si>
    <t xml:space="preserve">      − Servizi</t>
  </si>
  <si>
    <t xml:space="preserve">      − Godimento beni di terzi</t>
  </si>
  <si>
    <t xml:space="preserve">   (C) − Costo del personale</t>
  </si>
  <si>
    <t xml:space="preserve">   − Ammortamenti e accantonamenti</t>
  </si>
  <si>
    <t xml:space="preserve">   + Rivalutazioni attività operative (- Svalutazioni)</t>
  </si>
  <si>
    <t xml:space="preserve">   + Variazione rimanenze di MP e merci</t>
  </si>
  <si>
    <t xml:space="preserve">   − Oneri diversi di gestione</t>
  </si>
  <si>
    <t xml:space="preserve">   + Proventi / − Oneri gestione accessoria</t>
  </si>
  <si>
    <t xml:space="preserve">   + Interessi attivi</t>
  </si>
  <si>
    <t xml:space="preserve">   − Interessi passivi</t>
  </si>
  <si>
    <t xml:space="preserve">   +/− Altri proventi e oneri finanziari</t>
  </si>
  <si>
    <t xml:space="preserve">   + Proventi / − Oneri gestione straordinaria</t>
  </si>
  <si>
    <t xml:space="preserve">− Imposte</t>
  </si>
  <si>
    <t xml:space="preserve">Stato Patrimoniale Attivo</t>
  </si>
  <si>
    <t xml:space="preserve">Attività operative</t>
  </si>
  <si>
    <t xml:space="preserve">   Attività operative correnti</t>
  </si>
  <si>
    <t xml:space="preserve">      Totale attività operative correnti</t>
  </si>
  <si>
    <t xml:space="preserve">   Immobilizzazioni operative nette</t>
  </si>
  <si>
    <t xml:space="preserve">      Totale immobilizzazioni operative nette</t>
  </si>
  <si>
    <t xml:space="preserve">   Altre attività operative immobilizzate</t>
  </si>
  <si>
    <t xml:space="preserve">      Totale altre attività operative immobilizzate</t>
  </si>
  <si>
    <t xml:space="preserve">   Totale attività operative</t>
  </si>
  <si>
    <t xml:space="preserve">Attività fiscali</t>
  </si>
  <si>
    <t xml:space="preserve">   Totale attività fiscali</t>
  </si>
  <si>
    <t xml:space="preserve">Attività accessorie</t>
  </si>
  <si>
    <t xml:space="preserve">   Immobilizzazioni extra-operative</t>
  </si>
  <si>
    <t xml:space="preserve">   Totale attività accessorie</t>
  </si>
  <si>
    <t xml:space="preserve">Attività finanziarie</t>
  </si>
  <si>
    <t xml:space="preserve">   Totale attività finanziarie</t>
  </si>
  <si>
    <t xml:space="preserve">Totale attivo</t>
  </si>
  <si>
    <t xml:space="preserve">Check con totale attivo AIDA</t>
  </si>
  <si>
    <t xml:space="preserve">   Differenza tra totale attivo e totale attivo AIDA</t>
  </si>
  <si>
    <t xml:space="preserve">   Somma voci spostate nel passivo</t>
  </si>
  <si>
    <t xml:space="preserve">   Sbilancio</t>
  </si>
  <si>
    <t xml:space="preserve">Stato Patrimoniale Passivo</t>
  </si>
  <si>
    <t xml:space="preserve">Passività operative</t>
  </si>
  <si>
    <t xml:space="preserve">   Passività operative correnti</t>
  </si>
  <si>
    <t xml:space="preserve">      Debiti vs dipendenti</t>
  </si>
  <si>
    <t xml:space="preserve">      Totale passività operative correnti</t>
  </si>
  <si>
    <t xml:space="preserve">   Passività operative consolidate</t>
  </si>
  <si>
    <t xml:space="preserve">      Totale passività operative consolidate</t>
  </si>
  <si>
    <t xml:space="preserve">   Totale passività operative</t>
  </si>
  <si>
    <t xml:space="preserve">Passività fiscali e fondi</t>
  </si>
  <si>
    <t xml:space="preserve">   Totale passività fiscali e fondi</t>
  </si>
  <si>
    <t xml:space="preserve">Passività accessorie</t>
  </si>
  <si>
    <t xml:space="preserve">   Totale passività accessorie</t>
  </si>
  <si>
    <t xml:space="preserve">Passività finanziarie</t>
  </si>
  <si>
    <t xml:space="preserve">   Debiti di tesoreria</t>
  </si>
  <si>
    <t xml:space="preserve">   Totale passività finanziarie</t>
  </si>
  <si>
    <t xml:space="preserve">Capitale proprio</t>
  </si>
  <si>
    <t xml:space="preserve">   Capitale netto</t>
  </si>
  <si>
    <t xml:space="preserve">   Totale capitale proprio</t>
  </si>
  <si>
    <t xml:space="preserve">Totale passivo</t>
  </si>
  <si>
    <t xml:space="preserve">diff da AIDA</t>
  </si>
  <si>
    <t xml:space="preserve">Check Tot.Attivo - Tot.Passivo</t>
  </si>
  <si>
    <t xml:space="preserve">Relazione fondamentale fonti/impieghi:</t>
  </si>
  <si>
    <t xml:space="preserve">   Attività Operative Nette Estese (AON*)</t>
  </si>
  <si>
    <t xml:space="preserve">   Attività Accessorie Nette (AACCN)</t>
  </si>
  <si>
    <t xml:space="preserve">   Posizione Finanziaria Netta (+Liquidità - Debito)</t>
  </si>
  <si>
    <t xml:space="preserve">   Capitale Proprio</t>
  </si>
  <si>
    <t xml:space="preserve">   Totale Attivo</t>
  </si>
  <si>
    <t xml:space="preserve">   Totale Passivo</t>
  </si>
  <si>
    <t xml:space="preserve">CCON</t>
  </si>
  <si>
    <t xml:space="preserve">AON -&gt;</t>
  </si>
  <si>
    <t xml:space="preserve">debito netto, se neg è liq netta -&gt;</t>
  </si>
  <si>
    <t xml:space="preserve">AON*+ att.gestione accessoria</t>
  </si>
  <si>
    <t xml:space="preserve">capitale proprio + debito netto</t>
  </si>
  <si>
    <t xml:space="preserve">Relazione fonti/impieghi</t>
  </si>
  <si>
    <t xml:space="preserve">Conto Economico</t>
  </si>
  <si>
    <t xml:space="preserve">Gestione operativa</t>
  </si>
  <si>
    <t xml:space="preserve">   Acquisti</t>
  </si>
  <si>
    <t xml:space="preserve">   = − Totale acquisti MP, merci e servizi</t>
  </si>
  <si>
    <t xml:space="preserve">   = (B) − Costo della produzione venduta</t>
  </si>
  <si>
    <t xml:space="preserve">   = (A+B) Valore aggiunto lordo corrente</t>
  </si>
  <si>
    <t xml:space="preserve">   = (A+B+C) margine operativo lordo corrente</t>
  </si>
  <si>
    <t xml:space="preserve">   = Reddito operativo corrente</t>
  </si>
  <si>
    <t xml:space="preserve">   + Plusvalenze da vendita immobilizzazioni (- Minusvalenze)</t>
  </si>
  <si>
    <t xml:space="preserve">   = (D) reddito operativo</t>
  </si>
  <si>
    <t xml:space="preserve">reddito operativo AIDA</t>
  </si>
  <si>
    <t xml:space="preserve">Check reddito operativo AIDA</t>
  </si>
  <si>
    <t xml:space="preserve">Gestione finanziaria</t>
  </si>
  <si>
    <t xml:space="preserve">   = (E) +/− Proventi/Oneri finanziari netti</t>
  </si>
  <si>
    <t xml:space="preserve">   = (D+E) Reddito lordo pre gestione accessoria, straordinaria</t>
  </si>
  <si>
    <t xml:space="preserve">Gestione accessoria e straordinaria</t>
  </si>
  <si>
    <t xml:space="preserve">   = (F) +/− Reddito gestioni accessoria e straordinaria</t>
  </si>
  <si>
    <t xml:space="preserve">= (D+E+F) reddito lordo</t>
  </si>
  <si>
    <t xml:space="preserve">= Reddito netto</t>
  </si>
  <si>
    <t xml:space="preserve">Check reddito netto</t>
  </si>
  <si>
    <t xml:space="preserve">  Reddito netto.civ – Reddito netto.ricl</t>
  </si>
  <si>
    <t xml:space="preserve">  Reddito CE - Reddito in SPP</t>
  </si>
  <si>
    <t xml:space="preserve">Imposta teorica</t>
  </si>
  <si>
    <t xml:space="preserve">Risparmio fiscale su interessi netti</t>
  </si>
  <si>
    <t xml:space="preserve">AON*</t>
  </si>
  <si>
    <t xml:space="preserve">Rendiconto finanziario</t>
  </si>
  <si>
    <t xml:space="preserve">Flussi di cassa della gestione operativa e accessoria</t>
  </si>
  <si>
    <t xml:space="preserve">    Flussi di cassa della gestione operativa corrente</t>
  </si>
  <si>
    <t xml:space="preserve">+</t>
  </si>
  <si>
    <t xml:space="preserve">        Reddito operativo</t>
  </si>
  <si>
    <t xml:space="preserve">±</t>
  </si>
  <si>
    <t xml:space="preserve">        Reddito gestioni accessoria e straordinaria</t>
  </si>
  <si>
    <t xml:space="preserve">        Riaggiunta ammortamenti</t>
  </si>
  <si>
    <t xml:space="preserve">-</t>
  </si>
  <si>
    <t xml:space="preserve">        (Imposte + Risparmio fiscale interessi netti)</t>
  </si>
  <si>
    <t xml:space="preserve">=</t>
  </si>
  <si>
    <t xml:space="preserve">        EBITDA al netto delle imposte</t>
  </si>
  <si>
    <t xml:space="preserve">        Rettifiche per determinare il flusso di cassa</t>
  </si>
  <si>
    <t xml:space="preserve">           Variazione del CCON*</t>
  </si>
  <si>
    <t xml:space="preserve">              (Aumento) diminuzione crediti verso clienti</t>
  </si>
  <si>
    <t xml:space="preserve">              (Aumento) diminuzione scorte magazzino</t>
  </si>
  <si>
    <t xml:space="preserve">              (Aumento) diminuzione altre attività correnti</t>
  </si>
  <si>
    <t xml:space="preserve">              Aumento (diminuzione) debiti verso fornitori</t>
  </si>
  <si>
    <t xml:space="preserve">              Aumento (diminuzione) altre passività correnti</t>
  </si>
  <si>
    <t xml:space="preserve">              (Aumento) diminuzione attività fiscali</t>
  </si>
  <si>
    <t xml:space="preserve">              Aumento (diminuzione) passività fiscali</t>
  </si>
  <si>
    <t xml:space="preserve">              (Aumento) diminuzione CCON*</t>
  </si>
  <si>
    <t xml:space="preserve">           Aumento (diminuzione) fondo TFR</t>
  </si>
  <si>
    <t xml:space="preserve">           (Aumento) diminuzione altre attività operative immobilizzate</t>
  </si>
  <si>
    <t xml:space="preserve">           Aumento (diminuzione) altre passività operative consolidate</t>
  </si>
  <si>
    <t xml:space="preserve">           Totale rettifiche</t>
  </si>
  <si>
    <t xml:space="preserve">           Flussi di cassa netti gestione operativa corrente, acc e straord.</t>
  </si>
  <si>
    <t xml:space="preserve">    Flussi di cassa della gestione investimenti</t>
  </si>
  <si>
    <t xml:space="preserve">        (Aumento) diminuzione Immobilizzazioni operative nette</t>
  </si>
  <si>
    <t xml:space="preserve">        (Aumento) diminuzione attività accessorie</t>
  </si>
  <si>
    <t xml:space="preserve">        Aumento (diminuzione) debiti vs controllate e collegate</t>
  </si>
  <si>
    <t xml:space="preserve">        (Ammortamenti)</t>
  </si>
  <si>
    <t xml:space="preserve">        Aumento (diminuzione) riserve da rivalutazione</t>
  </si>
  <si>
    <t xml:space="preserve">        Flussi di cassa netti della gestione investimenti</t>
  </si>
  <si>
    <t xml:space="preserve">    Free cash flow to the firm (FCFF)</t>
  </si>
  <si>
    <t xml:space="preserve">Flussi di cassa della gestione finanziaria</t>
  </si>
  <si>
    <t xml:space="preserve">    Debito e attività finanziarie (esclusa tesoreria)</t>
  </si>
  <si>
    <t xml:space="preserve">        (Oneri finanziari netti)</t>
  </si>
  <si>
    <t xml:space="preserve">        Risparmio fiscale interessi netti</t>
  </si>
  <si>
    <t xml:space="preserve">        Strumenti derivati: (aumento) diminuzione attivi + aumento (diminuzione) passivi</t>
  </si>
  <si>
    <t xml:space="preserve">        Aumento (diminuzione) debiti struttturali a medio-lungo</t>
  </si>
  <si>
    <t xml:space="preserve">        Aumento (diminuzione) debiti strutturali a breve</t>
  </si>
  <si>
    <t xml:space="preserve">        (Aumento) diminuzione riserve strategiche di liquidità</t>
  </si>
  <si>
    <t xml:space="preserve">        Flussi di cassa netti sul debito netto (esclusa tesoreria) (FCDN)</t>
  </si>
  <si>
    <t xml:space="preserve">    Free cash flow to equity (FCFE)</t>
  </si>
  <si>
    <t xml:space="preserve">    Capitale proprio</t>
  </si>
  <si>
    <t xml:space="preserve">        (Stima utili distribuiti)</t>
  </si>
  <si>
    <t xml:space="preserve">        (Aumento) diminuzione azioni proprie e partec in controllanti</t>
  </si>
  <si>
    <t xml:space="preserve">        Aumento (diminuzione) finanziamenti netti da soci e controllanti</t>
  </si>
  <si>
    <t xml:space="preserve">        Aumento (diminuzione) di capitale conferito dai soci</t>
  </si>
  <si>
    <t xml:space="preserve">        Aumento (diminuzione) capitale proprio di pertinenza di terzi</t>
  </si>
  <si>
    <t xml:space="preserve">        Flussi di cassa effettivi sul capitale proprio (FCCP)</t>
  </si>
  <si>
    <t xml:space="preserve">Flusso di cassa netto (NCF)</t>
  </si>
  <si>
    <t xml:space="preserve">Check NCF</t>
  </si>
  <si>
    <t xml:space="preserve">    Aumento (diminuzione) attività di tesoreria</t>
  </si>
  <si>
    <t xml:space="preserve">    (Aumento) diminuzione debiti di tesoreria</t>
  </si>
  <si>
    <t xml:space="preserve">    Variazione posizione netta di tesoreria</t>
  </si>
  <si>
    <t xml:space="preserve">    NCF</t>
  </si>
  <si>
    <t xml:space="preserve">    Sbilancio check NCF</t>
  </si>
  <si>
    <t xml:space="preserve">Check FCFF</t>
  </si>
  <si>
    <t xml:space="preserve">    EBITDA al netto delle imposte check</t>
  </si>
  <si>
    <t xml:space="preserve">    -Ammortamenti check</t>
  </si>
  <si>
    <t xml:space="preserve">    -VAR AON*</t>
  </si>
  <si>
    <t xml:space="preserve">    -VAR AACC</t>
  </si>
  <si>
    <t xml:space="preserve">    +VAR P.ACC</t>
  </si>
  <si>
    <t xml:space="preserve">    +Var. Ris. rivalutazione</t>
  </si>
  <si>
    <t xml:space="preserve">    = Risultato</t>
  </si>
  <si>
    <t xml:space="preserve">    = FCFF ceck</t>
  </si>
  <si>
    <t xml:space="preserve">    Sbilancio check FCFF</t>
  </si>
  <si>
    <t xml:space="preserve">Check FCFE</t>
  </si>
  <si>
    <t xml:space="preserve">    Reddito netto check</t>
  </si>
  <si>
    <t xml:space="preserve">    - Var (AON* + Att acc - Deb contr coll - Ris riv.) check 2</t>
  </si>
  <si>
    <t xml:space="preserve">    + Var (Debito strutt + deriv pass - ris strat liq - deriv att ) check</t>
  </si>
  <si>
    <t xml:space="preserve">    +VAR deb strutt m/l + bt</t>
  </si>
  <si>
    <t xml:space="preserve">    +VAR deriv pass</t>
  </si>
  <si>
    <t xml:space="preserve">    -VAR deriv att</t>
  </si>
  <si>
    <t xml:space="preserve">    = FCFE check</t>
  </si>
  <si>
    <t xml:space="preserve">    Sbilancio check FCFE</t>
  </si>
  <si>
    <t xml:space="preserve">INDICATORI FINANZIARI</t>
  </si>
  <si>
    <t xml:space="preserve">valori patrimoniali medie t-1 per attenuare variazioni significativi</t>
  </si>
  <si>
    <t xml:space="preserve">RLA (redd. gest OFA)</t>
  </si>
  <si>
    <t xml:space="preserve">Reddito operativo</t>
  </si>
  <si>
    <t xml:space="preserve">EBITDA(MOL)</t>
  </si>
  <si>
    <t xml:space="preserve">Reddito netto</t>
  </si>
  <si>
    <t xml:space="preserve">Ricavi</t>
  </si>
  <si>
    <t xml:space="preserve">Ricavi t-1</t>
  </si>
  <si>
    <t xml:space="preserve">Ricavi con IVA gg</t>
  </si>
  <si>
    <t xml:space="preserve">Acquisti</t>
  </si>
  <si>
    <t xml:space="preserve">Acquisti con IVA gg</t>
  </si>
  <si>
    <t xml:space="preserve">Costo del venduto gg medio</t>
  </si>
  <si>
    <t xml:space="preserve">Costo del personale gg medio</t>
  </si>
  <si>
    <t xml:space="preserve">AON* medio</t>
  </si>
  <si>
    <t xml:space="preserve">AON* init</t>
  </si>
  <si>
    <t xml:space="preserve">AON* fin</t>
  </si>
  <si>
    <t xml:space="preserve">Reddito att.acc (prov-oneri acc)</t>
  </si>
  <si>
    <t xml:space="preserve">AACCN media(ris gest acc)</t>
  </si>
  <si>
    <t xml:space="preserve">AACC medie(solo attività)</t>
  </si>
  <si>
    <t xml:space="preserve">AACC finali</t>
  </si>
  <si>
    <t xml:space="preserve">PACC medie (solo passivo)</t>
  </si>
  <si>
    <t xml:space="preserve">PACC finali (solo passivo)</t>
  </si>
  <si>
    <t xml:space="preserve">ris gest str</t>
  </si>
  <si>
    <t xml:space="preserve">PFN (ris gest fin)</t>
  </si>
  <si>
    <t xml:space="preserve">DEBn</t>
  </si>
  <si>
    <t xml:space="preserve">LIQn</t>
  </si>
  <si>
    <t xml:space="preserve">oneri finanziari</t>
  </si>
  <si>
    <t xml:space="preserve">interessi attivi</t>
  </si>
  <si>
    <t xml:space="preserve">imposta</t>
  </si>
  <si>
    <t xml:space="preserve">Debito lordo medio(pass. gest. fin)</t>
  </si>
  <si>
    <t xml:space="preserve">Liq. lorda media(att. gest fin)</t>
  </si>
  <si>
    <t xml:space="preserve">Crediti commerciali medi</t>
  </si>
  <si>
    <t xml:space="preserve">Debiti commerciali medi</t>
  </si>
  <si>
    <t xml:space="preserve">Rimanenze magazzino medie</t>
  </si>
  <si>
    <t xml:space="preserve">Rimanenze magazzino finali</t>
  </si>
  <si>
    <t xml:space="preserve">Attività a BT</t>
  </si>
  <si>
    <t xml:space="preserve">Attività a BT finali</t>
  </si>
  <si>
    <t xml:space="preserve">Passività a BT medie</t>
  </si>
  <si>
    <t xml:space="preserve">Passività a BT finali</t>
  </si>
  <si>
    <t xml:space="preserve">Passività operative consolidate medie</t>
  </si>
  <si>
    <t xml:space="preserve">Passività operative consolidate finali</t>
  </si>
  <si>
    <t xml:space="preserve">debiti strutturali m/l medi</t>
  </si>
  <si>
    <t xml:space="preserve">debiti strutturali m/l finali</t>
  </si>
  <si>
    <t xml:space="preserve">immobilizzazioni operative</t>
  </si>
  <si>
    <t xml:space="preserve">immobilizzazioni operative finali</t>
  </si>
  <si>
    <t xml:space="preserve">CP capitale proprio medio</t>
  </si>
  <si>
    <t xml:space="preserve">CP init</t>
  </si>
  <si>
    <t xml:space="preserve">CP fin</t>
  </si>
  <si>
    <t xml:space="preserve">DIV t</t>
  </si>
  <si>
    <t xml:space="preserve">Aumento finanziamenti netti da soci e controllanti t e t-1</t>
  </si>
  <si>
    <t xml:space="preserve">Aumento accantonamenti e perdite precedenti (se neg aumento utile)</t>
  </si>
  <si>
    <t xml:space="preserve">var reddito di esercizio</t>
  </si>
  <si>
    <t xml:space="preserve">var CPn</t>
  </si>
  <si>
    <t xml:space="preserve">Quozienti di redditività</t>
  </si>
  <si>
    <t xml:space="preserve">/Ricavi</t>
  </si>
  <si>
    <t xml:space="preserve">ROS</t>
  </si>
  <si>
    <t xml:space="preserve">/AON*</t>
  </si>
  <si>
    <t xml:space="preserve">ROI</t>
  </si>
  <si>
    <t xml:space="preserve">Oneri finanziari</t>
  </si>
  <si>
    <t xml:space="preserve">/Debito lordo</t>
  </si>
  <si>
    <t xml:space="preserve">ROD</t>
  </si>
  <si>
    <t xml:space="preserve">Interessi attivi</t>
  </si>
  <si>
    <t xml:space="preserve">/Liquidità lorda</t>
  </si>
  <si>
    <t xml:space="preserve">ROL</t>
  </si>
  <si>
    <t xml:space="preserve">Reddittività att.acc</t>
  </si>
  <si>
    <t xml:space="preserve">/AACCn</t>
  </si>
  <si>
    <t xml:space="preserve">ROAACC</t>
  </si>
  <si>
    <t xml:space="preserve">/CP</t>
  </si>
  <si>
    <t xml:space="preserve">ROE netto</t>
  </si>
  <si>
    <t xml:space="preserve">RLA</t>
  </si>
  <si>
    <t xml:space="preserve">ROE lordo</t>
  </si>
  <si>
    <t xml:space="preserve">Prima scomposizione ROE lordo:</t>
  </si>
  <si>
    <t xml:space="preserve">+effetto Leva finanziaria</t>
  </si>
  <si>
    <t xml:space="preserve">+effetto Liquidità</t>
  </si>
  <si>
    <t xml:space="preserve">+effetto Attività accessorie</t>
  </si>
  <si>
    <t xml:space="preserve">Seconda scomposizione ROE lordo:</t>
  </si>
  <si>
    <t xml:space="preserve">+rendimento AON*</t>
  </si>
  <si>
    <t xml:space="preserve">+effetto costo del debito</t>
  </si>
  <si>
    <t xml:space="preserve">+rendimento liquidità</t>
  </si>
  <si>
    <t xml:space="preserve">+rendimento att.accessorie</t>
  </si>
  <si>
    <t xml:space="preserve">check ROE lordo 1:</t>
  </si>
  <si>
    <t xml:space="preserve">check ROE lordo 2:</t>
  </si>
  <si>
    <t xml:space="preserve">Da lordo a netto:</t>
  </si>
  <si>
    <t xml:space="preserve">x (RLA+ris str)/RLA</t>
  </si>
  <si>
    <t xml:space="preserve">x (RL+tax)/RL</t>
  </si>
  <si>
    <t xml:space="preserve">'= Reddito netto/CP check</t>
  </si>
  <si>
    <t xml:space="preserve">check ROE netto</t>
  </si>
  <si>
    <t xml:space="preserve">Quozienti di rotazione dell'attivo netto</t>
  </si>
  <si>
    <t xml:space="preserve">/Ricavi con IVA gg</t>
  </si>
  <si>
    <t xml:space="preserve">Tempo medio di incasso</t>
  </si>
  <si>
    <t xml:space="preserve">/Acquisti con IVA gg</t>
  </si>
  <si>
    <t xml:space="preserve">Tempo medio di pagamento</t>
  </si>
  <si>
    <t xml:space="preserve">rim. magazzino medie</t>
  </si>
  <si>
    <t xml:space="preserve">/(costo del venduto gg medio</t>
  </si>
  <si>
    <t xml:space="preserve">+costo del personale gg medio)</t>
  </si>
  <si>
    <t xml:space="preserve">Tempo medio di giacenza in magazzino</t>
  </si>
  <si>
    <t xml:space="preserve">/rim. magazzino medie</t>
  </si>
  <si>
    <t xml:space="preserve">Rotazione del magazzino</t>
  </si>
  <si>
    <t xml:space="preserve">/AON medie</t>
  </si>
  <si>
    <t xml:space="preserve">Rotazione AON</t>
  </si>
  <si>
    <t xml:space="preserve">/AON* medie</t>
  </si>
  <si>
    <t xml:space="preserve">Rotazione AON*</t>
  </si>
  <si>
    <t xml:space="preserve">/ROS</t>
  </si>
  <si>
    <t xml:space="preserve">check Rotazione AON*</t>
  </si>
  <si>
    <t xml:space="preserve">Quozienti di liquidità ed equilibrio fonti/impieghi</t>
  </si>
  <si>
    <t xml:space="preserve">Attività a breve</t>
  </si>
  <si>
    <t xml:space="preserve">/Passività a breve</t>
  </si>
  <si>
    <t xml:space="preserve">Indice di liquidità</t>
  </si>
  <si>
    <t xml:space="preserve">Attività a breve - scorte in magazzino</t>
  </si>
  <si>
    <t xml:space="preserve">/Passivita a breve</t>
  </si>
  <si>
    <t xml:space="preserve">Indice di liquidità immediata</t>
  </si>
  <si>
    <t xml:space="preserve">CP</t>
  </si>
  <si>
    <t xml:space="preserve">-(imm.operative+AACC)</t>
  </si>
  <si>
    <t xml:space="preserve">Margine di struttura: primo livello</t>
  </si>
  <si>
    <t xml:space="preserve">+(pass. operative lungo + pass. gest acc + debiti strutt. m/l)</t>
  </si>
  <si>
    <t xml:space="preserve">Margine di struttura: secondo livello</t>
  </si>
  <si>
    <t xml:space="preserve">Quozienti di sviluppo e impiego</t>
  </si>
  <si>
    <t xml:space="preserve">ΔAON*</t>
  </si>
  <si>
    <t xml:space="preserve">/AON*t-1</t>
  </si>
  <si>
    <t xml:space="preserve">Tasso di sviluppo AON*</t>
  </si>
  <si>
    <t xml:space="preserve">ΔCP</t>
  </si>
  <si>
    <t xml:space="preserve">/CP t-1</t>
  </si>
  <si>
    <t xml:space="preserve">Tasso di sviluppo CP</t>
  </si>
  <si>
    <t xml:space="preserve">ΔDEBn = ΔAON* - ΔCP</t>
  </si>
  <si>
    <t xml:space="preserve">ΔDEBn</t>
  </si>
  <si>
    <t xml:space="preserve">/ΔCP</t>
  </si>
  <si>
    <t xml:space="preserve">Indice di leva finanziaria</t>
  </si>
  <si>
    <t xml:space="preserve">sviluppo AON* - sviluppo CP</t>
  </si>
  <si>
    <t xml:space="preserve">Scomposizione sviluppo AON*</t>
  </si>
  <si>
    <t xml:space="preserve">Sviluppo dei ricavi = ΔRIC/RIC[t-1]</t>
  </si>
  <si>
    <t xml:space="preserve">x Intensità di capitale incrementale = ΔAON* / ΔRIC</t>
  </si>
  <si>
    <t xml:space="preserve">x Rotazione AON* iniziale = RIC[t-1]/AON*[t-1]</t>
  </si>
  <si>
    <t xml:space="preserve">Sviluppo AON*</t>
  </si>
  <si>
    <t xml:space="preserve">check ΔAON*/AON*[t-1]</t>
  </si>
  <si>
    <t xml:space="preserve">check</t>
  </si>
  <si>
    <t xml:space="preserve">Scomposizione sviluppo CP</t>
  </si>
  <si>
    <t xml:space="preserve">ROE su CPinit = RN/CP[t-1]</t>
  </si>
  <si>
    <t xml:space="preserve">Payout ratio = DIV/RN</t>
  </si>
  <si>
    <t xml:space="preserve">Crescita per utili non distribuiti = ROE*(1-DIV/RN)</t>
  </si>
  <si>
    <t xml:space="preserve">Incidenza dCAP su RN = dCAP/RN</t>
  </si>
  <si>
    <t xml:space="preserve">Sviluppo CP</t>
  </si>
  <si>
    <t xml:space="preserve">check ΔCP/CP[t-1]</t>
  </si>
  <si>
    <t xml:space="preserve">Grado di indebitamento</t>
  </si>
  <si>
    <t xml:space="preserve">DEBN (-LIQN) finale</t>
  </si>
  <si>
    <t xml:space="preserve">/CP finale</t>
  </si>
  <si>
    <t xml:space="preserve">Grado di indebitamento su CP</t>
  </si>
  <si>
    <t xml:space="preserve">ΔDEBN (-LIQN)/CP (finali)</t>
  </si>
  <si>
    <t xml:space="preserve">Sviluppo AON* - Sviluppo CP</t>
  </si>
  <si>
    <t xml:space="preserve">Sviluppo AACCN</t>
  </si>
  <si>
    <t xml:space="preserve">ΔAACCN[t-1]</t>
  </si>
  <si>
    <t xml:space="preserve">/AACCN[t-1]</t>
  </si>
  <si>
    <t xml:space="preserve">Indicatori di robustezza</t>
  </si>
  <si>
    <t xml:space="preserve">/Oneri finanziari</t>
  </si>
  <si>
    <t xml:space="preserve">Copertura economica degli interessi</t>
  </si>
  <si>
    <t xml:space="preserve">Debito netto</t>
  </si>
  <si>
    <t xml:space="preserve">/EBITDA(MoL)</t>
  </si>
  <si>
    <t xml:space="preserve">Tempo di recupero del debito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</si>
</sst>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-* #,##0.00&quot; €&quot;_-;\-* #,##0.00&quot; €&quot;_-;_-* \-??&quot; €&quot;_-;_-@_-"/>
    <numFmt numFmtId="166" formatCode="_-[$€-2]* #,##0.00_-;_-[$€-2]* \-#,##0.00_-;_-[$€-2]* \-??_-;_-@"/>
    <numFmt numFmtId="167" formatCode="@"/>
    <numFmt numFmtId="168" formatCode="0.00"/>
    <numFmt numFmtId="169" formatCode="#,##0.00_ ;[RED]\-#,##0.00\ "/>
    <numFmt numFmtId="170" formatCode="#,##0.00;\(#,##0.00\)"/>
    <numFmt numFmtId="171" formatCode="0.00%;[RED]\(0.00%\)"/>
    <numFmt numFmtId="172" formatCode="0.00%"/>
  </numFmts>
  <fonts count="2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4"/>
      <color rgb="FF000000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b val="true"/>
      <u val="single"/>
      <sz val="10"/>
      <color rgb="FF000000"/>
      <name val="Arial"/>
      <family val="2"/>
      <charset val="1"/>
    </font>
    <font>
      <b val="true"/>
      <sz val="20"/>
      <color rgb="FF000000"/>
      <name val="Arial"/>
      <family val="2"/>
      <charset val="1"/>
    </font>
    <font>
      <sz val="9"/>
      <color rgb="FF404040"/>
      <name val="Arial"/>
      <family val="2"/>
    </font>
    <font>
      <sz val="9"/>
      <color rgb="FF595959"/>
      <name val="Arial"/>
      <family val="2"/>
    </font>
    <font>
      <sz val="14"/>
      <color rgb="FF595959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"/>
        <bgColor rgb="FFF2F2F2"/>
      </patternFill>
    </fill>
    <fill>
      <patternFill patternType="solid">
        <fgColor theme="5" tint="0.5999"/>
        <bgColor rgb="FFFF99CC"/>
      </patternFill>
    </fill>
    <fill>
      <patternFill patternType="solid">
        <fgColor theme="9" tint="0.7999"/>
        <bgColor rgb="FFCC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2B2B2"/>
      <rgbColor rgb="FF8B8B8B"/>
      <rgbColor rgb="FF9999FF"/>
      <rgbColor rgb="FF993366"/>
      <rgbColor rgb="FFFFE2CC"/>
      <rgbColor rgb="FFDAF2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0CED4"/>
      <rgbColor rgb="FFFF99CC"/>
      <rgbColor rgb="FFCC99FF"/>
      <rgbColor rgb="FFF7B4AE"/>
      <rgbColor rgb="FF3366FF"/>
      <rgbColor rgb="FF46BDC6"/>
      <rgbColor rgb="FF99CC00"/>
      <rgbColor rgb="FFFFCC00"/>
      <rgbColor rgb="FFFF9900"/>
      <rgbColor rgb="FFFF6600"/>
      <rgbColor rgb="FF595959"/>
      <rgbColor rgb="FF969696"/>
      <rgbColor rgb="FF003366"/>
      <rgbColor rgb="FF3EA7AF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ind!$A$60</c:f>
              <c:strCache>
                <c:ptCount val="1"/>
                <c:pt idx="0">
                  <c:v>ROS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ind!$B$60:$K$60</c:f>
              <c:numCache>
                <c:formatCode>0.00%;[RED]\(0.00%\)</c:formatCode>
                <c:ptCount val="10"/>
                <c:pt idx="0">
                  <c:v>0.0688738643844433</c:v>
                </c:pt>
                <c:pt idx="1">
                  <c:v>0.0694661299933799</c:v>
                </c:pt>
                <c:pt idx="2">
                  <c:v>0.0566382549412468</c:v>
                </c:pt>
                <c:pt idx="3">
                  <c:v>-0.0121787839773907</c:v>
                </c:pt>
                <c:pt idx="4">
                  <c:v>0.0643068248755813</c:v>
                </c:pt>
                <c:pt idx="5">
                  <c:v>-0.0619224826196659</c:v>
                </c:pt>
                <c:pt idx="6">
                  <c:v>0.0415314724645372</c:v>
                </c:pt>
                <c:pt idx="7">
                  <c:v>0.0314581553514463</c:v>
                </c:pt>
                <c:pt idx="8">
                  <c:v>0.045114255412103</c:v>
                </c:pt>
                <c:pt idx="9">
                  <c:v>0.0555094314262724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6694288"/>
        <c:axId val="50453549"/>
      </c:lineChart>
      <c:catAx>
        <c:axId val="16694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0453549"/>
        <c:crosses val="autoZero"/>
        <c:auto val="1"/>
        <c:lblAlgn val="ctr"/>
        <c:lblOffset val="100"/>
        <c:noMultiLvlLbl val="0"/>
      </c:catAx>
      <c:valAx>
        <c:axId val="5045354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1669428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ind!$A$64</c:f>
              <c:strCache>
                <c:ptCount val="1"/>
                <c:pt idx="0">
                  <c:v>ROI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ind!$B$64:$K$64</c:f>
              <c:numCache>
                <c:formatCode>0.00%;[RED]\(0.00%\)</c:formatCode>
                <c:ptCount val="10"/>
                <c:pt idx="0">
                  <c:v>0.065751053173524</c:v>
                </c:pt>
                <c:pt idx="1">
                  <c:v>0.0547496829031454</c:v>
                </c:pt>
                <c:pt idx="2">
                  <c:v>0.0338947426551041</c:v>
                </c:pt>
                <c:pt idx="3">
                  <c:v>-0.0114154013604356</c:v>
                </c:pt>
                <c:pt idx="4">
                  <c:v>0.174209874231536</c:v>
                </c:pt>
                <c:pt idx="5">
                  <c:v>-0.0570794543283583</c:v>
                </c:pt>
                <c:pt idx="6">
                  <c:v>0.0409691507792921</c:v>
                </c:pt>
                <c:pt idx="7">
                  <c:v>0.0420178426329503</c:v>
                </c:pt>
                <c:pt idx="8">
                  <c:v>0.105316800527939</c:v>
                </c:pt>
                <c:pt idx="9">
                  <c:v>0.173536205148533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0448823"/>
        <c:axId val="65488903"/>
      </c:lineChart>
      <c:catAx>
        <c:axId val="404488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65488903"/>
        <c:crosses val="autoZero"/>
        <c:auto val="1"/>
        <c:lblAlgn val="ctr"/>
        <c:lblOffset val="100"/>
        <c:noMultiLvlLbl val="0"/>
      </c:catAx>
      <c:valAx>
        <c:axId val="6548890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4044882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ind!$A$68</c:f>
              <c:strCache>
                <c:ptCount val="1"/>
                <c:pt idx="0">
                  <c:v>ROD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ind!$B$68:$K$68</c:f>
              <c:numCache>
                <c:formatCode>0.00%;[RED]\(0.00%\)</c:formatCode>
                <c:ptCount val="10"/>
                <c:pt idx="0">
                  <c:v>0.0638364551072943</c:v>
                </c:pt>
                <c:pt idx="1">
                  <c:v>0.0534112433913431</c:v>
                </c:pt>
                <c:pt idx="2">
                  <c:v>0.0316170869667881</c:v>
                </c:pt>
                <c:pt idx="3">
                  <c:v>0.0220449010780714</c:v>
                </c:pt>
                <c:pt idx="4">
                  <c:v>0.0310208600910252</c:v>
                </c:pt>
                <c:pt idx="5">
                  <c:v>0.017876068603949</c:v>
                </c:pt>
                <c:pt idx="6">
                  <c:v>0.0198117391423954</c:v>
                </c:pt>
                <c:pt idx="7">
                  <c:v>0.0204873842033584</c:v>
                </c:pt>
                <c:pt idx="8">
                  <c:v>0.0244357537098735</c:v>
                </c:pt>
                <c:pt idx="9">
                  <c:v>0.0481646248273131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7664680"/>
        <c:axId val="71159062"/>
      </c:lineChart>
      <c:catAx>
        <c:axId val="276646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71159062"/>
        <c:crosses val="autoZero"/>
        <c:auto val="1"/>
        <c:lblAlgn val="ctr"/>
        <c:lblOffset val="100"/>
        <c:noMultiLvlLbl val="0"/>
      </c:catAx>
      <c:valAx>
        <c:axId val="7115906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2766468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ind!$A$72</c:f>
              <c:strCache>
                <c:ptCount val="1"/>
                <c:pt idx="0">
                  <c:v>ROL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ind!$B$72:$K$72</c:f>
              <c:numCache>
                <c:formatCode>0.00%;[RED]\(0.00%\)</c:formatCode>
                <c:ptCount val="10"/>
                <c:pt idx="0">
                  <c:v>0.18531673505983</c:v>
                </c:pt>
                <c:pt idx="1">
                  <c:v>0.0270306115360082</c:v>
                </c:pt>
                <c:pt idx="2">
                  <c:v>0.0294973729135851</c:v>
                </c:pt>
                <c:pt idx="3">
                  <c:v>0.00256941999193378</c:v>
                </c:pt>
                <c:pt idx="4">
                  <c:v>0.000775449884868449</c:v>
                </c:pt>
                <c:pt idx="5">
                  <c:v>0.188847980463253</c:v>
                </c:pt>
                <c:pt idx="6">
                  <c:v>0.480858956080697</c:v>
                </c:pt>
                <c:pt idx="7">
                  <c:v>0.691545338667208</c:v>
                </c:pt>
                <c:pt idx="8">
                  <c:v>1.08491618513645</c:v>
                </c:pt>
                <c:pt idx="9">
                  <c:v>2.19897891083823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7440324"/>
        <c:axId val="58601986"/>
      </c:lineChart>
      <c:catAx>
        <c:axId val="174403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8601986"/>
        <c:crosses val="autoZero"/>
        <c:auto val="1"/>
        <c:lblAlgn val="ctr"/>
        <c:lblOffset val="100"/>
        <c:noMultiLvlLbl val="0"/>
      </c:catAx>
      <c:valAx>
        <c:axId val="5860198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1744032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ind!$A$76</c:f>
              <c:strCache>
                <c:ptCount val="1"/>
                <c:pt idx="0">
                  <c:v>ROAACC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ind!$B$76:$K$76</c:f>
              <c:numCache>
                <c:formatCode>0.00%;[RED]\(0.00%\)</c:formatCode>
                <c:ptCount val="10"/>
                <c:pt idx="0">
                  <c:v>0.0487571701720841</c:v>
                </c:pt>
                <c:pt idx="1">
                  <c:v>0.032823454429573</c:v>
                </c:pt>
                <c:pt idx="2">
                  <c:v>0.0318674314850223</c:v>
                </c:pt>
                <c:pt idx="3">
                  <c:v>0</c:v>
                </c:pt>
                <c:pt idx="4">
                  <c:v>0</c:v>
                </c:pt>
                <c:pt idx="5">
                  <c:v>0.01434034416826</c:v>
                </c:pt>
                <c:pt idx="6">
                  <c:v>0.0105162523900574</c:v>
                </c:pt>
                <c:pt idx="7">
                  <c:v>0</c:v>
                </c:pt>
                <c:pt idx="8">
                  <c:v>0.0150779024962305</c:v>
                </c:pt>
                <c:pt idx="9">
                  <c:v>0.0158954433062522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0871723"/>
        <c:axId val="1255204"/>
      </c:lineChart>
      <c:catAx>
        <c:axId val="808717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1255204"/>
        <c:crosses val="autoZero"/>
        <c:auto val="1"/>
        <c:lblAlgn val="ctr"/>
        <c:lblOffset val="100"/>
        <c:noMultiLvlLbl val="0"/>
      </c:catAx>
      <c:valAx>
        <c:axId val="125520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8087172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it-IT" sz="1400" strike="noStrike" u="none">
                <a:solidFill>
                  <a:srgbClr val="595959"/>
                </a:solidFill>
                <a:uFillTx/>
                <a:latin typeface="Arial"/>
                <a:ea typeface="Arial"/>
              </a:rPr>
              <a:t>ROE lordo vs netto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cked"/>
        <c:varyColors val="0"/>
        <c:ser>
          <c:idx val="0"/>
          <c:order val="0"/>
          <c:tx>
            <c:strRef>
              <c:f>ind!$A$80</c:f>
              <c:strCache>
                <c:ptCount val="1"/>
                <c:pt idx="0">
                  <c:v>ROE netto</c:v>
                </c:pt>
              </c:strCache>
            </c:strRef>
          </c:tx>
          <c:spPr>
            <a:solidFill>
              <a:srgbClr val="90ced4"/>
            </a:solidFill>
            <a:ln cap="rnd" w="28440">
              <a:solidFill>
                <a:srgbClr val="90ced4"/>
              </a:solidFill>
              <a:round/>
            </a:ln>
          </c:spPr>
          <c:marker>
            <c:symbol val="circle"/>
            <c:size val="5"/>
            <c:spPr>
              <a:solidFill>
                <a:srgbClr val="90ced4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ind!$B$80:$K$80</c:f>
              <c:numCache>
                <c:formatCode>0.00%;[RED]\(0.00%\)</c:formatCode>
                <c:ptCount val="10"/>
                <c:pt idx="0">
                  <c:v>0.0518668228777028</c:v>
                </c:pt>
                <c:pt idx="1">
                  <c:v>0.0542312336917669</c:v>
                </c:pt>
                <c:pt idx="2">
                  <c:v>0.043041243726205</c:v>
                </c:pt>
                <c:pt idx="3">
                  <c:v>-0.0506340194476625</c:v>
                </c:pt>
                <c:pt idx="4">
                  <c:v>0.513229570515555</c:v>
                </c:pt>
                <c:pt idx="5">
                  <c:v>-0.400927116271201</c:v>
                </c:pt>
                <c:pt idx="6">
                  <c:v>0.127456121473867</c:v>
                </c:pt>
                <c:pt idx="7">
                  <c:v>0.0788161458574989</c:v>
                </c:pt>
                <c:pt idx="8">
                  <c:v>0.163390820324298</c:v>
                </c:pt>
                <c:pt idx="9">
                  <c:v>0.364295788175763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"ROE lordo"</c:f>
              <c:strCache>
                <c:ptCount val="1"/>
                <c:pt idx="0">
                  <c:v>ROE lordo</c:v>
                </c:pt>
              </c:strCache>
            </c:strRef>
          </c:tx>
          <c:spPr>
            <a:solidFill>
              <a:srgbClr val="3ea7af"/>
            </a:solidFill>
            <a:ln cap="rnd" w="28440">
              <a:solidFill>
                <a:srgbClr val="3ea7af"/>
              </a:solidFill>
              <a:round/>
            </a:ln>
          </c:spPr>
          <c:marker>
            <c:symbol val="circle"/>
            <c:size val="5"/>
            <c:spPr>
              <a:solidFill>
                <a:srgbClr val="3ea7af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ind!$B$84:$K$84</c:f>
              <c:numCache>
                <c:formatCode>0.00%;[RED]\(0.00%\)</c:formatCode>
                <c:ptCount val="10"/>
                <c:pt idx="0">
                  <c:v>0.073631539737631</c:v>
                </c:pt>
                <c:pt idx="1">
                  <c:v>0.0601886161419057</c:v>
                </c:pt>
                <c:pt idx="2">
                  <c:v>0.0428677254734006</c:v>
                </c:pt>
                <c:pt idx="3">
                  <c:v>-0.0910169537243076</c:v>
                </c:pt>
                <c:pt idx="4">
                  <c:v>0.520009297344055</c:v>
                </c:pt>
                <c:pt idx="5">
                  <c:v>-0.414181908740086</c:v>
                </c:pt>
                <c:pt idx="6">
                  <c:v>0.128749988662945</c:v>
                </c:pt>
                <c:pt idx="7">
                  <c:v>0.103323784345093</c:v>
                </c:pt>
                <c:pt idx="8">
                  <c:v>0.247449989222633</c:v>
                </c:pt>
                <c:pt idx="9">
                  <c:v>0.48817680259499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6229284"/>
        <c:axId val="93454537"/>
      </c:lineChart>
      <c:catAx>
        <c:axId val="762292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93454537"/>
        <c:crosses val="autoZero"/>
        <c:auto val="1"/>
        <c:lblAlgn val="ctr"/>
        <c:lblOffset val="100"/>
        <c:noMultiLvlLbl val="0"/>
      </c:catAx>
      <c:valAx>
        <c:axId val="9345453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7622928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595959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ind!$A$117</c:f>
              <c:strCache>
                <c:ptCount val="1"/>
                <c:pt idx="0">
                  <c:v>Tempo medio di incasso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ind!$B$117:$K$117</c:f>
              <c:numCache>
                <c:formatCode>#,##0.00;\(#,##0.00\)</c:formatCode>
                <c:ptCount val="10"/>
                <c:pt idx="0">
                  <c:v>44.5314606630854</c:v>
                </c:pt>
                <c:pt idx="1">
                  <c:v>47.6022520187115</c:v>
                </c:pt>
                <c:pt idx="2">
                  <c:v>54.8458669553886</c:v>
                </c:pt>
                <c:pt idx="3">
                  <c:v>47.1190799911264</c:v>
                </c:pt>
                <c:pt idx="4">
                  <c:v>23.9177321691494</c:v>
                </c:pt>
                <c:pt idx="5">
                  <c:v>60.5906925447298</c:v>
                </c:pt>
                <c:pt idx="6">
                  <c:v>61.700303367364</c:v>
                </c:pt>
                <c:pt idx="7">
                  <c:v>66.3692825973959</c:v>
                </c:pt>
                <c:pt idx="8">
                  <c:v>65.7104780452555</c:v>
                </c:pt>
                <c:pt idx="9">
                  <c:v>65.7743071899964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9569602"/>
        <c:axId val="17895980"/>
      </c:lineChart>
      <c:catAx>
        <c:axId val="2956960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17895980"/>
        <c:crosses val="autoZero"/>
        <c:auto val="1"/>
        <c:lblAlgn val="ctr"/>
        <c:lblOffset val="100"/>
        <c:noMultiLvlLbl val="0"/>
      </c:catAx>
      <c:valAx>
        <c:axId val="1789598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2956960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ind!$A$121</c:f>
              <c:strCache>
                <c:ptCount val="1"/>
                <c:pt idx="0">
                  <c:v>Tempo medio di pagamento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ind!$B$121:$K$121</c:f>
              <c:numCache>
                <c:formatCode>#,##0.00;\(#,##0.00\)</c:formatCode>
                <c:ptCount val="10"/>
                <c:pt idx="0">
                  <c:v>101.091468718311</c:v>
                </c:pt>
                <c:pt idx="1">
                  <c:v>131.702869885936</c:v>
                </c:pt>
                <c:pt idx="2">
                  <c:v>171.594230826818</c:v>
                </c:pt>
                <c:pt idx="3">
                  <c:v>191.636165701738</c:v>
                </c:pt>
                <c:pt idx="4">
                  <c:v>89.7632593429407</c:v>
                </c:pt>
                <c:pt idx="5">
                  <c:v>46.2331062110529</c:v>
                </c:pt>
                <c:pt idx="6">
                  <c:v>58.7119528029767</c:v>
                </c:pt>
                <c:pt idx="7">
                  <c:v>53.102521776489</c:v>
                </c:pt>
                <c:pt idx="8">
                  <c:v>35.4941015024516</c:v>
                </c:pt>
                <c:pt idx="9">
                  <c:v>39.8518253608793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6555387"/>
        <c:axId val="19110303"/>
      </c:lineChart>
      <c:catAx>
        <c:axId val="165553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19110303"/>
        <c:crosses val="autoZero"/>
        <c:auto val="1"/>
        <c:lblAlgn val="ctr"/>
        <c:lblOffset val="100"/>
        <c:noMultiLvlLbl val="0"/>
      </c:catAx>
      <c:valAx>
        <c:axId val="1911030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1655538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ind!$A$126</c:f>
              <c:strCache>
                <c:ptCount val="1"/>
                <c:pt idx="0">
                  <c:v>Tempo medio di giacenza in magazzino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ind!$B$126:$K$126</c:f>
              <c:numCache>
                <c:formatCode>#,##0.00;\(#,##0.00\)</c:formatCode>
                <c:ptCount val="10"/>
                <c:pt idx="0">
                  <c:v>117.479016731857</c:v>
                </c:pt>
                <c:pt idx="1">
                  <c:v>124.991230499716</c:v>
                </c:pt>
                <c:pt idx="2">
                  <c:v>74.6398514943998</c:v>
                </c:pt>
                <c:pt idx="3">
                  <c:v>17.639134018019</c:v>
                </c:pt>
                <c:pt idx="4">
                  <c:v>58.4510044364974</c:v>
                </c:pt>
                <c:pt idx="5">
                  <c:v>99.3415392492476</c:v>
                </c:pt>
                <c:pt idx="6">
                  <c:v>81.491131078406</c:v>
                </c:pt>
                <c:pt idx="7">
                  <c:v>60.4095413869495</c:v>
                </c:pt>
                <c:pt idx="8">
                  <c:v>52.1012060283594</c:v>
                </c:pt>
                <c:pt idx="9">
                  <c:v>51.6704637000971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3234231"/>
        <c:axId val="82423993"/>
      </c:lineChart>
      <c:catAx>
        <c:axId val="932342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82423993"/>
        <c:crosses val="autoZero"/>
        <c:auto val="1"/>
        <c:lblAlgn val="ctr"/>
        <c:lblOffset val="100"/>
        <c:noMultiLvlLbl val="0"/>
      </c:catAx>
      <c:valAx>
        <c:axId val="8242399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9323423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ind!$A$130</c:f>
              <c:strCache>
                <c:ptCount val="1"/>
                <c:pt idx="0">
                  <c:v>Rotazione del magazzino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ind!$B$130:$K$130</c:f>
              <c:numCache>
                <c:formatCode>#,##0.00;\(#,##0.00\)</c:formatCode>
                <c:ptCount val="10"/>
                <c:pt idx="0">
                  <c:v>3.79400685302233</c:v>
                </c:pt>
                <c:pt idx="1">
                  <c:v>3.83775954280209</c:v>
                </c:pt>
                <c:pt idx="2">
                  <c:v>5.42984543103924</c:v>
                </c:pt>
                <c:pt idx="3">
                  <c:v>16.3165138951149</c:v>
                </c:pt>
                <c:pt idx="4">
                  <c:v>11.915955596647</c:v>
                </c:pt>
                <c:pt idx="5">
                  <c:v>4.09827766987405</c:v>
                </c:pt>
                <c:pt idx="6">
                  <c:v>5.16006786077428</c:v>
                </c:pt>
                <c:pt idx="7">
                  <c:v>6.60157090159707</c:v>
                </c:pt>
                <c:pt idx="8">
                  <c:v>7.73931523211974</c:v>
                </c:pt>
                <c:pt idx="9">
                  <c:v>7.68952124246747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6825986"/>
        <c:axId val="31993389"/>
      </c:lineChart>
      <c:catAx>
        <c:axId val="5682598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31993389"/>
        <c:crosses val="autoZero"/>
        <c:auto val="1"/>
        <c:lblAlgn val="ctr"/>
        <c:lblOffset val="100"/>
        <c:noMultiLvlLbl val="0"/>
      </c:catAx>
      <c:valAx>
        <c:axId val="3199338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682598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ind!$A$134</c:f>
              <c:strCache>
                <c:ptCount val="1"/>
                <c:pt idx="0">
                  <c:v>Rotazione AON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ind!$B$134:$K$134</c:f>
              <c:numCache>
                <c:formatCode>#,##0.00;\(#,##0.00\)</c:formatCode>
                <c:ptCount val="10"/>
                <c:pt idx="0">
                  <c:v>1.02501171840409</c:v>
                </c:pt>
                <c:pt idx="1">
                  <c:v>0.903564205444237</c:v>
                </c:pt>
                <c:pt idx="2">
                  <c:v>0.729633617018949</c:v>
                </c:pt>
                <c:pt idx="3">
                  <c:v>1.15075399292909</c:v>
                </c:pt>
                <c:pt idx="4">
                  <c:v>2.72979319404967</c:v>
                </c:pt>
                <c:pt idx="5">
                  <c:v>0.919668372709531</c:v>
                </c:pt>
                <c:pt idx="6">
                  <c:v>1.00716480575115</c:v>
                </c:pt>
                <c:pt idx="7">
                  <c:v>1.37825313147663</c:v>
                </c:pt>
                <c:pt idx="8">
                  <c:v>2.30078664203969</c:v>
                </c:pt>
                <c:pt idx="9">
                  <c:v>2.98956228668881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5402880"/>
        <c:axId val="53767627"/>
      </c:lineChart>
      <c:catAx>
        <c:axId val="154028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3767627"/>
        <c:crosses val="autoZero"/>
        <c:auto val="1"/>
        <c:lblAlgn val="ctr"/>
        <c:lblOffset val="100"/>
        <c:noMultiLvlLbl val="0"/>
      </c:catAx>
      <c:valAx>
        <c:axId val="5376762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1540288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ind!$A$138</c:f>
              <c:strCache>
                <c:ptCount val="1"/>
                <c:pt idx="0">
                  <c:v>Rotazione AON*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ind!$B$138:$K$138</c:f>
              <c:numCache>
                <c:formatCode>#,##0.00;\(#,##0.00\)</c:formatCode>
                <c:ptCount val="10"/>
                <c:pt idx="0">
                  <c:v>0.954658980749385</c:v>
                </c:pt>
                <c:pt idx="1">
                  <c:v>0.788149316916935</c:v>
                </c:pt>
                <c:pt idx="2">
                  <c:v>0.598442566605636</c:v>
                </c:pt>
                <c:pt idx="3">
                  <c:v>0.937318650337149</c:v>
                </c:pt>
                <c:pt idx="4">
                  <c:v>2.70904176296359</c:v>
                </c:pt>
                <c:pt idx="5">
                  <c:v>0.921788854606267</c:v>
                </c:pt>
                <c:pt idx="6">
                  <c:v>0.986460347975257</c:v>
                </c:pt>
                <c:pt idx="7">
                  <c:v>1.33567407762892</c:v>
                </c:pt>
                <c:pt idx="8">
                  <c:v>2.3344461648742</c:v>
                </c:pt>
                <c:pt idx="9">
                  <c:v>3.12624721042268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8570244"/>
        <c:axId val="63044778"/>
      </c:lineChart>
      <c:catAx>
        <c:axId val="885702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63044778"/>
        <c:crosses val="autoZero"/>
        <c:auto val="1"/>
        <c:lblAlgn val="ctr"/>
        <c:lblOffset val="100"/>
        <c:noMultiLvlLbl val="0"/>
      </c:catAx>
      <c:valAx>
        <c:axId val="6304477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8857024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ind!$A$149</c:f>
              <c:strCache>
                <c:ptCount val="1"/>
                <c:pt idx="0">
                  <c:v>Indice di liquidità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ind!$B$149:$K$149</c:f>
              <c:numCache>
                <c:formatCode>#,##0.00;\(#,##0.00\)</c:formatCode>
                <c:ptCount val="10"/>
                <c:pt idx="0">
                  <c:v>0.670898315909359</c:v>
                </c:pt>
                <c:pt idx="1">
                  <c:v>0.597363043984995</c:v>
                </c:pt>
                <c:pt idx="2">
                  <c:v>0.577405460378204</c:v>
                </c:pt>
                <c:pt idx="3">
                  <c:v>0.446296115760675</c:v>
                </c:pt>
                <c:pt idx="4">
                  <c:v>0.376116825527356</c:v>
                </c:pt>
                <c:pt idx="5">
                  <c:v>0.736265398756706</c:v>
                </c:pt>
                <c:pt idx="6">
                  <c:v>0.80575420651467</c:v>
                </c:pt>
                <c:pt idx="7">
                  <c:v>0.799002398846189</c:v>
                </c:pt>
                <c:pt idx="8">
                  <c:v>0.984272629028119</c:v>
                </c:pt>
                <c:pt idx="9">
                  <c:v>1.21096381775984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1076506"/>
        <c:axId val="8504640"/>
      </c:lineChart>
      <c:catAx>
        <c:axId val="6107650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8504640"/>
        <c:crosses val="autoZero"/>
        <c:auto val="1"/>
        <c:lblAlgn val="ctr"/>
        <c:lblOffset val="100"/>
        <c:noMultiLvlLbl val="0"/>
      </c:catAx>
      <c:valAx>
        <c:axId val="850464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6107650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ind!$A$153</c:f>
              <c:strCache>
                <c:ptCount val="1"/>
                <c:pt idx="0">
                  <c:v>Indice di liquidità immediata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ind!$B$153:$K$153</c:f>
              <c:numCache>
                <c:formatCode>#,##0.00;\(#,##0.00\)</c:formatCode>
                <c:ptCount val="10"/>
                <c:pt idx="0">
                  <c:v>0.388428771759232</c:v>
                </c:pt>
                <c:pt idx="1">
                  <c:v>0.313510287712346</c:v>
                </c:pt>
                <c:pt idx="2">
                  <c:v>0.354169650144077</c:v>
                </c:pt>
                <c:pt idx="3">
                  <c:v>0.403489915300338</c:v>
                </c:pt>
                <c:pt idx="4">
                  <c:v>0.31378209228735</c:v>
                </c:pt>
                <c:pt idx="5">
                  <c:v>0.344072651732447</c:v>
                </c:pt>
                <c:pt idx="6">
                  <c:v>0.43266750350551</c:v>
                </c:pt>
                <c:pt idx="7">
                  <c:v>0.526097482689664</c:v>
                </c:pt>
                <c:pt idx="8">
                  <c:v>0.648018046042164</c:v>
                </c:pt>
                <c:pt idx="9">
                  <c:v>0.829096849792798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4024958"/>
        <c:axId val="72642492"/>
      </c:lineChart>
      <c:catAx>
        <c:axId val="8402495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72642492"/>
        <c:crosses val="autoZero"/>
        <c:auto val="1"/>
        <c:lblAlgn val="ctr"/>
        <c:lblOffset val="100"/>
        <c:noMultiLvlLbl val="0"/>
      </c:catAx>
      <c:valAx>
        <c:axId val="7264249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8402495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ind!$A$219</c:f>
              <c:strCache>
                <c:ptCount val="1"/>
                <c:pt idx="0">
                  <c:v>Copertura economica degli interessi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ind!$B$219:$K$219</c:f>
              <c:numCache>
                <c:formatCode>#,##0.00;\(#,##0.00\)</c:formatCode>
                <c:ptCount val="10"/>
                <c:pt idx="0">
                  <c:v>1.29540990531372</c:v>
                </c:pt>
                <c:pt idx="1">
                  <c:v>1.25890111728602</c:v>
                </c:pt>
                <c:pt idx="2">
                  <c:v>1.30978813242894</c:v>
                </c:pt>
                <c:pt idx="3">
                  <c:v>-0.54774417339897</c:v>
                </c:pt>
                <c:pt idx="4">
                  <c:v>5.60015633301608</c:v>
                </c:pt>
                <c:pt idx="5">
                  <c:v>-3.78176638622171</c:v>
                </c:pt>
                <c:pt idx="6">
                  <c:v>2.66844344975413</c:v>
                </c:pt>
                <c:pt idx="7">
                  <c:v>3.01581325301205</c:v>
                </c:pt>
                <c:pt idx="8">
                  <c:v>7.17021997545653</c:v>
                </c:pt>
                <c:pt idx="9">
                  <c:v>5.38878785254467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4944611"/>
        <c:axId val="72725012"/>
      </c:lineChart>
      <c:catAx>
        <c:axId val="449446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72725012"/>
        <c:crosses val="autoZero"/>
        <c:auto val="1"/>
        <c:lblAlgn val="ctr"/>
        <c:lblOffset val="100"/>
        <c:noMultiLvlLbl val="0"/>
      </c:catAx>
      <c:valAx>
        <c:axId val="7272501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4494461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ind!$A$223</c:f>
              <c:strCache>
                <c:ptCount val="1"/>
                <c:pt idx="0">
                  <c:v>Tempo di recupero del debito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ind!$B$223:$K$223</c:f>
              <c:numCache>
                <c:formatCode>#,##0.00;\(#,##0.00\)</c:formatCode>
                <c:ptCount val="10"/>
                <c:pt idx="0">
                  <c:v>8.67115689836779</c:v>
                </c:pt>
                <c:pt idx="1">
                  <c:v>9.59964774258672</c:v>
                </c:pt>
                <c:pt idx="2">
                  <c:v>17.853975817056</c:v>
                </c:pt>
                <c:pt idx="3">
                  <c:v>-234.480850615854</c:v>
                </c:pt>
                <c:pt idx="4">
                  <c:v>0.577837628686473</c:v>
                </c:pt>
                <c:pt idx="5">
                  <c:v>142.125231935892</c:v>
                </c:pt>
                <c:pt idx="6">
                  <c:v>9.57511228274545</c:v>
                </c:pt>
                <c:pt idx="7">
                  <c:v>7.66243151130021</c:v>
                </c:pt>
                <c:pt idx="8">
                  <c:v>3.18148810350414</c:v>
                </c:pt>
                <c:pt idx="9">
                  <c:v>2.58525451411075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1197145"/>
        <c:axId val="9620462"/>
      </c:lineChart>
      <c:catAx>
        <c:axId val="9119714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9620462"/>
        <c:crosses val="autoZero"/>
        <c:auto val="1"/>
        <c:lblAlgn val="ctr"/>
        <c:lblOffset val="100"/>
        <c:noMultiLvlLbl val="0"/>
      </c:catAx>
      <c:valAx>
        <c:axId val="962046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9119714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ind!$A$162</c:f>
              <c:strCache>
                <c:ptCount val="1"/>
                <c:pt idx="0">
                  <c:v>Margine di struttura: secondo livello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ind!$B$162:$K$162</c:f>
              <c:numCache>
                <c:formatCode>#,##0.00;\(#,##0.00\)</c:formatCode>
                <c:ptCount val="10"/>
                <c:pt idx="0">
                  <c:v>-10381077</c:v>
                </c:pt>
                <c:pt idx="1">
                  <c:v>-11381124</c:v>
                </c:pt>
                <c:pt idx="2">
                  <c:v>-10645148</c:v>
                </c:pt>
                <c:pt idx="3">
                  <c:v>-11203306</c:v>
                </c:pt>
                <c:pt idx="4">
                  <c:v>-1335930</c:v>
                </c:pt>
                <c:pt idx="5">
                  <c:v>-4386706</c:v>
                </c:pt>
                <c:pt idx="6">
                  <c:v>-2507554</c:v>
                </c:pt>
                <c:pt idx="7">
                  <c:v>-2396222</c:v>
                </c:pt>
                <c:pt idx="8">
                  <c:v>-284403</c:v>
                </c:pt>
                <c:pt idx="9">
                  <c:v>1032311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7566689"/>
        <c:axId val="98896239"/>
      </c:lineChart>
      <c:catAx>
        <c:axId val="6756668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98896239"/>
        <c:auto val="1"/>
        <c:lblAlgn val="ctr"/>
        <c:lblOffset val="100"/>
        <c:noMultiLvlLbl val="0"/>
      </c:catAx>
      <c:valAx>
        <c:axId val="9889623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6756668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ind!$A$157</c:f>
              <c:strCache>
                <c:ptCount val="1"/>
                <c:pt idx="0">
                  <c:v>Margine di struttura: primo livello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ind!$B$56:$K$56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numCache>
            </c:numRef>
          </c:cat>
          <c:val>
            <c:numRef>
              <c:f>ind!$B$157:$K$157</c:f>
              <c:numCache>
                <c:formatCode>#,##0.00;\(#,##0.00\)</c:formatCode>
                <c:ptCount val="10"/>
                <c:pt idx="0">
                  <c:v>-30934000</c:v>
                </c:pt>
                <c:pt idx="1">
                  <c:v>-32973195</c:v>
                </c:pt>
                <c:pt idx="2">
                  <c:v>-32606451</c:v>
                </c:pt>
                <c:pt idx="3">
                  <c:v>-29280993</c:v>
                </c:pt>
                <c:pt idx="4">
                  <c:v>-4609388</c:v>
                </c:pt>
                <c:pt idx="5">
                  <c:v>-16041255</c:v>
                </c:pt>
                <c:pt idx="6">
                  <c:v>-13287794</c:v>
                </c:pt>
                <c:pt idx="7">
                  <c:v>-8697577</c:v>
                </c:pt>
                <c:pt idx="8">
                  <c:v>-1291851</c:v>
                </c:pt>
                <c:pt idx="9">
                  <c:v>360445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3455694"/>
        <c:axId val="8334687"/>
      </c:lineChart>
      <c:dateAx>
        <c:axId val="8345569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8334687"/>
        <c:auto val="1"/>
        <c:lblOffset val="100"/>
        <c:baseTimeUnit val="days"/>
        <c:noMultiLvlLbl val="0"/>
      </c:dateAx>
      <c:valAx>
        <c:axId val="833468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8345569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15840</xdr:colOff>
      <xdr:row>4</xdr:row>
      <xdr:rowOff>127080</xdr:rowOff>
    </xdr:from>
    <xdr:to>
      <xdr:col>7</xdr:col>
      <xdr:colOff>240840</xdr:colOff>
      <xdr:row>25</xdr:row>
      <xdr:rowOff>139320</xdr:rowOff>
    </xdr:to>
    <xdr:graphicFrame>
      <xdr:nvGraphicFramePr>
        <xdr:cNvPr id="1" name="Chart 1"/>
        <xdr:cNvGraphicFramePr/>
      </xdr:nvGraphicFramePr>
      <xdr:xfrm>
        <a:off x="768240" y="927360"/>
        <a:ext cx="4739760" cy="341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5</xdr:row>
      <xdr:rowOff>0</xdr:rowOff>
    </xdr:from>
    <xdr:to>
      <xdr:col>14</xdr:col>
      <xdr:colOff>298080</xdr:colOff>
      <xdr:row>26</xdr:row>
      <xdr:rowOff>12240</xdr:rowOff>
    </xdr:to>
    <xdr:graphicFrame>
      <xdr:nvGraphicFramePr>
        <xdr:cNvPr id="2" name="Chart 2"/>
        <xdr:cNvGraphicFramePr/>
      </xdr:nvGraphicFramePr>
      <xdr:xfrm>
        <a:off x="6019920" y="9619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5</xdr:row>
      <xdr:rowOff>0</xdr:rowOff>
    </xdr:from>
    <xdr:to>
      <xdr:col>21</xdr:col>
      <xdr:colOff>298080</xdr:colOff>
      <xdr:row>26</xdr:row>
      <xdr:rowOff>12240</xdr:rowOff>
    </xdr:to>
    <xdr:graphicFrame>
      <xdr:nvGraphicFramePr>
        <xdr:cNvPr id="3" name="Chart 3"/>
        <xdr:cNvGraphicFramePr/>
      </xdr:nvGraphicFramePr>
      <xdr:xfrm>
        <a:off x="11287080" y="9619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29</xdr:row>
      <xdr:rowOff>0</xdr:rowOff>
    </xdr:from>
    <xdr:to>
      <xdr:col>7</xdr:col>
      <xdr:colOff>298080</xdr:colOff>
      <xdr:row>50</xdr:row>
      <xdr:rowOff>12240</xdr:rowOff>
    </xdr:to>
    <xdr:graphicFrame>
      <xdr:nvGraphicFramePr>
        <xdr:cNvPr id="4" name="Chart 4"/>
        <xdr:cNvGraphicFramePr/>
      </xdr:nvGraphicFramePr>
      <xdr:xfrm>
        <a:off x="752400" y="48481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0</xdr:colOff>
      <xdr:row>29</xdr:row>
      <xdr:rowOff>0</xdr:rowOff>
    </xdr:from>
    <xdr:to>
      <xdr:col>14</xdr:col>
      <xdr:colOff>298080</xdr:colOff>
      <xdr:row>50</xdr:row>
      <xdr:rowOff>12240</xdr:rowOff>
    </xdr:to>
    <xdr:graphicFrame>
      <xdr:nvGraphicFramePr>
        <xdr:cNvPr id="5" name="Chart 5"/>
        <xdr:cNvGraphicFramePr/>
      </xdr:nvGraphicFramePr>
      <xdr:xfrm>
        <a:off x="6019920" y="48481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54</xdr:row>
      <xdr:rowOff>0</xdr:rowOff>
    </xdr:from>
    <xdr:to>
      <xdr:col>7</xdr:col>
      <xdr:colOff>298080</xdr:colOff>
      <xdr:row>75</xdr:row>
      <xdr:rowOff>12240</xdr:rowOff>
    </xdr:to>
    <xdr:graphicFrame>
      <xdr:nvGraphicFramePr>
        <xdr:cNvPr id="6" name="Chart 6"/>
        <xdr:cNvGraphicFramePr/>
      </xdr:nvGraphicFramePr>
      <xdr:xfrm>
        <a:off x="752400" y="88963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83</xdr:row>
      <xdr:rowOff>0</xdr:rowOff>
    </xdr:from>
    <xdr:to>
      <xdr:col>7</xdr:col>
      <xdr:colOff>298080</xdr:colOff>
      <xdr:row>104</xdr:row>
      <xdr:rowOff>12240</xdr:rowOff>
    </xdr:to>
    <xdr:graphicFrame>
      <xdr:nvGraphicFramePr>
        <xdr:cNvPr id="7" name="Chart 7"/>
        <xdr:cNvGraphicFramePr/>
      </xdr:nvGraphicFramePr>
      <xdr:xfrm>
        <a:off x="752400" y="137444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0</xdr:colOff>
      <xdr:row>83</xdr:row>
      <xdr:rowOff>0</xdr:rowOff>
    </xdr:from>
    <xdr:to>
      <xdr:col>14</xdr:col>
      <xdr:colOff>298080</xdr:colOff>
      <xdr:row>104</xdr:row>
      <xdr:rowOff>12240</xdr:rowOff>
    </xdr:to>
    <xdr:graphicFrame>
      <xdr:nvGraphicFramePr>
        <xdr:cNvPr id="8" name="Chart 8"/>
        <xdr:cNvGraphicFramePr/>
      </xdr:nvGraphicFramePr>
      <xdr:xfrm>
        <a:off x="6019920" y="137444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15</xdr:col>
      <xdr:colOff>0</xdr:colOff>
      <xdr:row>83</xdr:row>
      <xdr:rowOff>0</xdr:rowOff>
    </xdr:from>
    <xdr:to>
      <xdr:col>21</xdr:col>
      <xdr:colOff>298080</xdr:colOff>
      <xdr:row>104</xdr:row>
      <xdr:rowOff>12240</xdr:rowOff>
    </xdr:to>
    <xdr:graphicFrame>
      <xdr:nvGraphicFramePr>
        <xdr:cNvPr id="9" name="Chart 9"/>
        <xdr:cNvGraphicFramePr/>
      </xdr:nvGraphicFramePr>
      <xdr:xfrm>
        <a:off x="11287080" y="137444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</xdr:col>
      <xdr:colOff>0</xdr:colOff>
      <xdr:row>108</xdr:row>
      <xdr:rowOff>0</xdr:rowOff>
    </xdr:from>
    <xdr:to>
      <xdr:col>7</xdr:col>
      <xdr:colOff>298080</xdr:colOff>
      <xdr:row>129</xdr:row>
      <xdr:rowOff>12240</xdr:rowOff>
    </xdr:to>
    <xdr:graphicFrame>
      <xdr:nvGraphicFramePr>
        <xdr:cNvPr id="10" name="Chart 10"/>
        <xdr:cNvGraphicFramePr/>
      </xdr:nvGraphicFramePr>
      <xdr:xfrm>
        <a:off x="752400" y="177926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8</xdr:col>
      <xdr:colOff>0</xdr:colOff>
      <xdr:row>108</xdr:row>
      <xdr:rowOff>0</xdr:rowOff>
    </xdr:from>
    <xdr:to>
      <xdr:col>14</xdr:col>
      <xdr:colOff>298080</xdr:colOff>
      <xdr:row>129</xdr:row>
      <xdr:rowOff>12240</xdr:rowOff>
    </xdr:to>
    <xdr:graphicFrame>
      <xdr:nvGraphicFramePr>
        <xdr:cNvPr id="11" name="Chart 11"/>
        <xdr:cNvGraphicFramePr/>
      </xdr:nvGraphicFramePr>
      <xdr:xfrm>
        <a:off x="6019920" y="177926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15</xdr:col>
      <xdr:colOff>0</xdr:colOff>
      <xdr:row>108</xdr:row>
      <xdr:rowOff>0</xdr:rowOff>
    </xdr:from>
    <xdr:to>
      <xdr:col>21</xdr:col>
      <xdr:colOff>298080</xdr:colOff>
      <xdr:row>129</xdr:row>
      <xdr:rowOff>12240</xdr:rowOff>
    </xdr:to>
    <xdr:graphicFrame>
      <xdr:nvGraphicFramePr>
        <xdr:cNvPr id="12" name="Chart 12"/>
        <xdr:cNvGraphicFramePr/>
      </xdr:nvGraphicFramePr>
      <xdr:xfrm>
        <a:off x="11287080" y="177926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</xdr:col>
      <xdr:colOff>0</xdr:colOff>
      <xdr:row>138</xdr:row>
      <xdr:rowOff>0</xdr:rowOff>
    </xdr:from>
    <xdr:to>
      <xdr:col>7</xdr:col>
      <xdr:colOff>298080</xdr:colOff>
      <xdr:row>159</xdr:row>
      <xdr:rowOff>12240</xdr:rowOff>
    </xdr:to>
    <xdr:graphicFrame>
      <xdr:nvGraphicFramePr>
        <xdr:cNvPr id="13" name="Chart 13"/>
        <xdr:cNvGraphicFramePr/>
      </xdr:nvGraphicFramePr>
      <xdr:xfrm>
        <a:off x="752400" y="2280276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8</xdr:col>
      <xdr:colOff>0</xdr:colOff>
      <xdr:row>138</xdr:row>
      <xdr:rowOff>0</xdr:rowOff>
    </xdr:from>
    <xdr:to>
      <xdr:col>14</xdr:col>
      <xdr:colOff>298080</xdr:colOff>
      <xdr:row>159</xdr:row>
      <xdr:rowOff>12240</xdr:rowOff>
    </xdr:to>
    <xdr:graphicFrame>
      <xdr:nvGraphicFramePr>
        <xdr:cNvPr id="14" name="Chart 14"/>
        <xdr:cNvGraphicFramePr/>
      </xdr:nvGraphicFramePr>
      <xdr:xfrm>
        <a:off x="6019920" y="2280276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1</xdr:col>
      <xdr:colOff>0</xdr:colOff>
      <xdr:row>220</xdr:row>
      <xdr:rowOff>0</xdr:rowOff>
    </xdr:from>
    <xdr:to>
      <xdr:col>7</xdr:col>
      <xdr:colOff>298080</xdr:colOff>
      <xdr:row>241</xdr:row>
      <xdr:rowOff>12240</xdr:rowOff>
    </xdr:to>
    <xdr:graphicFrame>
      <xdr:nvGraphicFramePr>
        <xdr:cNvPr id="15" name="Chart 15"/>
        <xdr:cNvGraphicFramePr/>
      </xdr:nvGraphicFramePr>
      <xdr:xfrm>
        <a:off x="752400" y="36233280"/>
        <a:ext cx="4812840" cy="341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8</xdr:col>
      <xdr:colOff>0</xdr:colOff>
      <xdr:row>220</xdr:row>
      <xdr:rowOff>0</xdr:rowOff>
    </xdr:from>
    <xdr:to>
      <xdr:col>14</xdr:col>
      <xdr:colOff>298080</xdr:colOff>
      <xdr:row>241</xdr:row>
      <xdr:rowOff>12240</xdr:rowOff>
    </xdr:to>
    <xdr:graphicFrame>
      <xdr:nvGraphicFramePr>
        <xdr:cNvPr id="16" name="Chart 16"/>
        <xdr:cNvGraphicFramePr/>
      </xdr:nvGraphicFramePr>
      <xdr:xfrm>
        <a:off x="6019920" y="36233280"/>
        <a:ext cx="4812840" cy="341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1</xdr:col>
      <xdr:colOff>0</xdr:colOff>
      <xdr:row>163</xdr:row>
      <xdr:rowOff>0</xdr:rowOff>
    </xdr:from>
    <xdr:to>
      <xdr:col>13</xdr:col>
      <xdr:colOff>240840</xdr:colOff>
      <xdr:row>184</xdr:row>
      <xdr:rowOff>12240</xdr:rowOff>
    </xdr:to>
    <xdr:graphicFrame>
      <xdr:nvGraphicFramePr>
        <xdr:cNvPr id="17" name="Chart 17"/>
        <xdr:cNvGraphicFramePr/>
      </xdr:nvGraphicFramePr>
      <xdr:xfrm>
        <a:off x="752400" y="26850960"/>
        <a:ext cx="927072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1</xdr:col>
      <xdr:colOff>0</xdr:colOff>
      <xdr:row>188</xdr:row>
      <xdr:rowOff>0</xdr:rowOff>
    </xdr:from>
    <xdr:to>
      <xdr:col>13</xdr:col>
      <xdr:colOff>202680</xdr:colOff>
      <xdr:row>213</xdr:row>
      <xdr:rowOff>101160</xdr:rowOff>
    </xdr:to>
    <xdr:graphicFrame>
      <xdr:nvGraphicFramePr>
        <xdr:cNvPr id="18" name="Chart 18"/>
        <xdr:cNvGraphicFramePr/>
      </xdr:nvGraphicFramePr>
      <xdr:xfrm>
        <a:off x="752400" y="30899160"/>
        <a:ext cx="9232560" cy="4149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248"/>
  <sheetViews>
    <sheetView showFormulas="false" showGridLines="true" showRowColHeaders="true" showZeros="true" rightToLeft="false" tabSelected="false" showOutlineSymbols="true" defaultGridColor="true" view="normal" topLeftCell="A53" colorId="64" zoomScale="100" zoomScaleNormal="100" zoomScalePageLayoutView="100" workbookViewId="0">
      <selection pane="topLeft" activeCell="M4" activeCellId="0" sqref="M4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0" width="58.66"/>
  </cols>
  <sheetData>
    <row r="1" customFormat="false" ht="15.75" hidden="false" customHeight="true" outlineLevel="0" collapsed="false">
      <c r="A1" s="0" t="s">
        <v>0</v>
      </c>
      <c r="B1" s="0" t="n">
        <v>2024</v>
      </c>
      <c r="C1" s="0" t="n">
        <v>2023</v>
      </c>
      <c r="D1" s="0" t="n">
        <v>2022</v>
      </c>
      <c r="E1" s="0" t="n">
        <v>2021</v>
      </c>
      <c r="F1" s="0" t="n">
        <v>2020</v>
      </c>
      <c r="G1" s="0" t="n">
        <v>2019</v>
      </c>
      <c r="H1" s="0" t="n">
        <v>2018</v>
      </c>
      <c r="I1" s="0" t="n">
        <v>2017</v>
      </c>
      <c r="J1" s="0" t="n">
        <v>2016</v>
      </c>
      <c r="K1" s="0" t="n">
        <v>2015</v>
      </c>
    </row>
    <row r="2" customFormat="false" ht="15.75" hidden="false" customHeight="true" outlineLevel="0" collapsed="false">
      <c r="A2" s="0" t="s">
        <v>1</v>
      </c>
      <c r="B2" s="0" t="n">
        <v>1050000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</row>
    <row r="3" customFormat="false" ht="15.75" hidden="false" customHeight="true" outlineLevel="0" collapsed="false">
      <c r="A3" s="0" t="s">
        <v>2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</row>
    <row r="4" customFormat="false" ht="15.75" hidden="false" customHeight="true" outlineLevel="0" collapsed="false">
      <c r="A4" s="0" t="s">
        <v>3</v>
      </c>
      <c r="B4" s="0" t="n">
        <v>38440965</v>
      </c>
      <c r="C4" s="0" t="n">
        <v>39562158</v>
      </c>
      <c r="D4" s="0" t="n">
        <v>38847268</v>
      </c>
      <c r="E4" s="0" t="n">
        <v>35202627</v>
      </c>
      <c r="F4" s="0" t="n">
        <v>10481494</v>
      </c>
      <c r="G4" s="0" t="n">
        <v>19446953</v>
      </c>
      <c r="H4" s="0" t="n">
        <v>18453555</v>
      </c>
      <c r="I4" s="0" t="n">
        <v>13238661</v>
      </c>
      <c r="J4" s="0" t="n">
        <v>5524513</v>
      </c>
      <c r="K4" s="0" t="n">
        <v>1467653</v>
      </c>
    </row>
    <row r="5" customFormat="false" ht="15.75" hidden="false" customHeight="true" outlineLevel="0" collapsed="false">
      <c r="A5" s="0" t="s">
        <v>4</v>
      </c>
      <c r="B5" s="0" t="n">
        <v>31051</v>
      </c>
      <c r="C5" s="0" t="n">
        <v>40796</v>
      </c>
      <c r="D5" s="0" t="n">
        <v>56047</v>
      </c>
      <c r="E5" s="0" t="n">
        <v>72267</v>
      </c>
      <c r="F5" s="0" t="n">
        <v>66140</v>
      </c>
      <c r="G5" s="0" t="n">
        <v>357298</v>
      </c>
      <c r="H5" s="0" t="n">
        <v>371980</v>
      </c>
      <c r="I5" s="0" t="n">
        <v>413542</v>
      </c>
      <c r="J5" s="0" t="n">
        <v>451840</v>
      </c>
      <c r="K5" s="0" t="n">
        <v>511604</v>
      </c>
    </row>
    <row r="6" customFormat="false" ht="15.75" hidden="false" customHeight="true" outlineLevel="0" collapsed="false">
      <c r="A6" s="0" t="s">
        <v>5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</row>
    <row r="7" customFormat="false" ht="15.75" hidden="false" customHeight="true" outlineLevel="0" collapsed="false">
      <c r="A7" s="0" t="s">
        <v>6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</row>
    <row r="8" customFormat="false" ht="15.75" hidden="false" customHeight="true" outlineLevel="0" collapsed="false">
      <c r="A8" s="0" t="s">
        <v>7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</row>
    <row r="9" customFormat="false" ht="15.75" hidden="false" customHeight="true" outlineLevel="0" collapsed="false">
      <c r="A9" s="0" t="s">
        <v>8</v>
      </c>
      <c r="B9" s="0" t="n">
        <v>2521</v>
      </c>
      <c r="C9" s="0" t="n">
        <v>4438</v>
      </c>
      <c r="D9" s="0" t="n">
        <v>8910</v>
      </c>
      <c r="E9" s="0" t="n">
        <v>17835</v>
      </c>
      <c r="F9" s="0" t="n">
        <v>11708</v>
      </c>
      <c r="G9" s="0" t="n">
        <v>30025</v>
      </c>
      <c r="H9" s="0" t="n">
        <v>6349</v>
      </c>
      <c r="I9" s="0" t="n">
        <v>5621</v>
      </c>
      <c r="J9" s="0" t="n">
        <v>0</v>
      </c>
      <c r="K9" s="0" t="n">
        <v>17711</v>
      </c>
    </row>
    <row r="10" customFormat="false" ht="15.75" hidden="false" customHeight="true" outlineLevel="0" collapsed="false">
      <c r="A10" s="0" t="s">
        <v>9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</row>
    <row r="11" customFormat="false" ht="15.75" hidden="false" customHeight="true" outlineLevel="0" collapsed="false">
      <c r="A11" s="0" t="s">
        <v>10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</row>
    <row r="12" customFormat="false" ht="15.75" hidden="false" customHeight="true" outlineLevel="0" collapsed="false">
      <c r="A12" s="0" t="s">
        <v>11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</row>
    <row r="13" customFormat="false" ht="15.75" hidden="false" customHeight="true" outlineLevel="0" collapsed="false">
      <c r="A13" s="0" t="s">
        <v>12</v>
      </c>
      <c r="B13" s="0" t="n">
        <v>28530</v>
      </c>
      <c r="C13" s="0" t="n">
        <v>36358</v>
      </c>
      <c r="D13" s="0" t="n">
        <v>47137</v>
      </c>
      <c r="E13" s="0" t="n">
        <v>54432</v>
      </c>
      <c r="F13" s="0" t="n">
        <v>54432</v>
      </c>
      <c r="G13" s="0" t="n">
        <v>327273</v>
      </c>
      <c r="H13" s="0" t="n">
        <v>365631</v>
      </c>
      <c r="I13" s="0" t="n">
        <v>407921</v>
      </c>
      <c r="J13" s="0" t="n">
        <v>451840</v>
      </c>
      <c r="K13" s="0" t="n">
        <v>493893</v>
      </c>
    </row>
    <row r="14" customFormat="false" ht="15.75" hidden="false" customHeight="true" outlineLevel="0" collapsed="false">
      <c r="A14" s="0" t="s">
        <v>13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</row>
    <row r="15" customFormat="false" ht="15.75" hidden="false" customHeight="true" outlineLevel="0" collapsed="false">
      <c r="A15" s="0" t="s">
        <v>14</v>
      </c>
      <c r="B15" s="0" t="n">
        <v>38405250</v>
      </c>
      <c r="C15" s="0" t="n">
        <v>39516723</v>
      </c>
      <c r="D15" s="0" t="n">
        <v>38786914</v>
      </c>
      <c r="E15" s="0" t="n">
        <v>35126044</v>
      </c>
      <c r="F15" s="0" t="n">
        <v>10409040</v>
      </c>
      <c r="G15" s="0" t="n">
        <v>19083354</v>
      </c>
      <c r="H15" s="0" t="n">
        <v>18075194</v>
      </c>
      <c r="I15" s="0" t="n">
        <v>12821075</v>
      </c>
      <c r="J15" s="0" t="n">
        <v>5068654</v>
      </c>
      <c r="K15" s="0" t="n">
        <v>952333</v>
      </c>
    </row>
    <row r="16" customFormat="false" ht="15.75" hidden="false" customHeight="true" outlineLevel="0" collapsed="false">
      <c r="A16" s="0" t="s">
        <v>15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</row>
    <row r="17" customFormat="false" ht="15.75" hidden="false" customHeight="true" outlineLevel="0" collapsed="false">
      <c r="A17" s="0" t="s">
        <v>16</v>
      </c>
      <c r="B17" s="0" t="n">
        <v>22832281</v>
      </c>
      <c r="C17" s="0" t="n">
        <v>23605745</v>
      </c>
      <c r="D17" s="0" t="n">
        <v>3916943</v>
      </c>
      <c r="E17" s="0" t="n">
        <v>3980146</v>
      </c>
      <c r="F17" s="0" t="n">
        <v>3980146</v>
      </c>
      <c r="G17" s="0" t="n">
        <v>13741141</v>
      </c>
      <c r="H17" s="0" t="n">
        <v>13650736</v>
      </c>
      <c r="I17" s="0" t="n">
        <v>2980303</v>
      </c>
      <c r="J17" s="0" t="n">
        <v>2924340</v>
      </c>
      <c r="K17" s="0" t="n">
        <v>308274</v>
      </c>
    </row>
    <row r="18" customFormat="false" ht="15.75" hidden="false" customHeight="true" outlineLevel="0" collapsed="false">
      <c r="A18" s="0" t="s">
        <v>17</v>
      </c>
      <c r="B18" s="0" t="n">
        <v>15221827</v>
      </c>
      <c r="C18" s="0" t="n">
        <v>15298707</v>
      </c>
      <c r="D18" s="0" t="n">
        <v>15941478</v>
      </c>
      <c r="E18" s="0" t="n">
        <v>10551469</v>
      </c>
      <c r="F18" s="0" t="n">
        <v>161677</v>
      </c>
      <c r="G18" s="0" t="n">
        <v>3804007</v>
      </c>
      <c r="H18" s="0" t="n">
        <v>3212300</v>
      </c>
      <c r="I18" s="0" t="n">
        <v>1915738</v>
      </c>
      <c r="J18" s="0" t="n">
        <v>1600084</v>
      </c>
      <c r="K18" s="0" t="n">
        <v>493925</v>
      </c>
    </row>
    <row r="19" customFormat="false" ht="15.75" hidden="false" customHeight="true" outlineLevel="0" collapsed="false">
      <c r="A19" s="0" t="s">
        <v>18</v>
      </c>
      <c r="B19" s="0" t="n">
        <v>149726</v>
      </c>
      <c r="C19" s="0" t="n">
        <v>187357</v>
      </c>
      <c r="D19" s="0" t="n">
        <v>241511</v>
      </c>
      <c r="E19" s="0" t="n">
        <v>239156</v>
      </c>
      <c r="F19" s="0" t="n">
        <v>27949</v>
      </c>
      <c r="G19" s="0" t="n">
        <v>253953</v>
      </c>
      <c r="H19" s="0" t="n">
        <v>229075</v>
      </c>
      <c r="I19" s="0" t="n">
        <v>38719</v>
      </c>
      <c r="J19" s="0" t="n">
        <v>21141</v>
      </c>
      <c r="K19" s="0" t="n">
        <v>29659</v>
      </c>
    </row>
    <row r="20" customFormat="false" ht="15.75" hidden="false" customHeight="true" outlineLevel="0" collapsed="false">
      <c r="A20" s="0" t="s">
        <v>19</v>
      </c>
      <c r="B20" s="0" t="n">
        <v>190816</v>
      </c>
      <c r="C20" s="0" t="n">
        <v>240328</v>
      </c>
      <c r="D20" s="0" t="n">
        <v>291731</v>
      </c>
      <c r="E20" s="0" t="n">
        <v>232804</v>
      </c>
      <c r="F20" s="0" t="n">
        <v>61602</v>
      </c>
      <c r="G20" s="0" t="n">
        <v>174703</v>
      </c>
      <c r="H20" s="0" t="n">
        <v>120971</v>
      </c>
      <c r="I20" s="0" t="n">
        <v>121966</v>
      </c>
      <c r="J20" s="0" t="n">
        <v>123089</v>
      </c>
      <c r="K20" s="0" t="n">
        <v>120475</v>
      </c>
    </row>
    <row r="21" customFormat="false" ht="15.75" hidden="false" customHeight="true" outlineLevel="0" collapsed="false">
      <c r="A21" s="0" t="s">
        <v>20</v>
      </c>
      <c r="B21" s="0" t="n">
        <v>10600</v>
      </c>
      <c r="C21" s="0" t="n">
        <v>184586</v>
      </c>
      <c r="D21" s="0" t="n">
        <v>18395251</v>
      </c>
      <c r="E21" s="0" t="n">
        <v>20122469</v>
      </c>
      <c r="F21" s="0" t="n">
        <v>6177666</v>
      </c>
      <c r="G21" s="0" t="n">
        <v>1109550</v>
      </c>
      <c r="H21" s="0" t="n">
        <v>862112</v>
      </c>
      <c r="I21" s="0" t="n">
        <v>7764349</v>
      </c>
      <c r="J21" s="0" t="n">
        <v>400000</v>
      </c>
      <c r="K21" s="0" t="n">
        <v>0</v>
      </c>
    </row>
    <row r="22" customFormat="false" ht="15.75" hidden="false" customHeight="true" outlineLevel="0" collapsed="false">
      <c r="A22" s="0" t="s">
        <v>21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</row>
    <row r="23" customFormat="false" ht="15.75" hidden="false" customHeight="true" outlineLevel="0" collapsed="false">
      <c r="A23" s="0" t="s">
        <v>22</v>
      </c>
      <c r="B23" s="0" t="n">
        <v>4664</v>
      </c>
      <c r="C23" s="0" t="n">
        <v>4639</v>
      </c>
      <c r="D23" s="0" t="n">
        <v>4307</v>
      </c>
      <c r="E23" s="0" t="n">
        <v>4316</v>
      </c>
      <c r="F23" s="0" t="n">
        <v>6314</v>
      </c>
      <c r="G23" s="0" t="n">
        <v>6301</v>
      </c>
      <c r="H23" s="0" t="n">
        <v>6381</v>
      </c>
      <c r="I23" s="0" t="n">
        <v>4044</v>
      </c>
      <c r="J23" s="0" t="n">
        <v>4019</v>
      </c>
      <c r="K23" s="0" t="n">
        <v>3716</v>
      </c>
    </row>
    <row r="24" customFormat="false" ht="15.75" hidden="false" customHeight="true" outlineLevel="0" collapsed="false">
      <c r="A24" s="0" t="s">
        <v>23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</row>
    <row r="25" customFormat="false" ht="15.75" hidden="false" customHeight="true" outlineLevel="0" collapsed="false">
      <c r="A25" s="0" t="s">
        <v>24</v>
      </c>
      <c r="B25" s="0" t="n">
        <v>3138</v>
      </c>
      <c r="C25" s="0" t="n">
        <v>3138</v>
      </c>
      <c r="D25" s="0" t="n">
        <v>3138</v>
      </c>
      <c r="E25" s="0" t="n">
        <v>3138</v>
      </c>
      <c r="F25" s="0" t="n">
        <v>3138</v>
      </c>
      <c r="G25" s="0" t="n">
        <v>3138</v>
      </c>
      <c r="H25" s="0" t="n">
        <v>3138</v>
      </c>
      <c r="I25" s="0" t="n">
        <v>3138</v>
      </c>
      <c r="J25" s="0" t="n">
        <v>3138</v>
      </c>
      <c r="K25" s="0" t="n">
        <v>2831</v>
      </c>
    </row>
    <row r="26" customFormat="false" ht="15.75" hidden="false" customHeight="true" outlineLevel="0" collapsed="false">
      <c r="A26" s="0" t="s">
        <v>25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</row>
    <row r="27" customFormat="false" ht="15.75" hidden="false" customHeight="true" outlineLevel="0" collapsed="false">
      <c r="A27" s="0" t="s">
        <v>26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</row>
    <row r="28" customFormat="false" ht="15.75" hidden="false" customHeight="true" outlineLevel="0" collapsed="false">
      <c r="A28" s="0" t="s">
        <v>27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</row>
    <row r="29" customFormat="false" ht="15.75" hidden="false" customHeight="true" outlineLevel="0" collapsed="false">
      <c r="A29" s="0" t="s">
        <v>28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</row>
    <row r="30" customFormat="false" ht="15.75" hidden="false" customHeight="true" outlineLevel="0" collapsed="false">
      <c r="A30" s="0" t="s">
        <v>29</v>
      </c>
      <c r="B30" s="0" t="n">
        <v>3138</v>
      </c>
      <c r="C30" s="0" t="n">
        <v>3138</v>
      </c>
      <c r="D30" s="0" t="n">
        <v>3138</v>
      </c>
      <c r="E30" s="0" t="n">
        <v>3138</v>
      </c>
      <c r="F30" s="0" t="n">
        <v>3138</v>
      </c>
      <c r="G30" s="0" t="n">
        <v>3138</v>
      </c>
      <c r="H30" s="0" t="n">
        <v>3138</v>
      </c>
      <c r="I30" s="0" t="n">
        <v>3138</v>
      </c>
      <c r="J30" s="0" t="n">
        <v>3138</v>
      </c>
      <c r="K30" s="0" t="n">
        <v>2831</v>
      </c>
    </row>
    <row r="31" customFormat="false" ht="15.75" hidden="false" customHeight="true" outlineLevel="0" collapsed="false">
      <c r="A31" s="0" t="s">
        <v>30</v>
      </c>
      <c r="B31" s="0" t="n">
        <v>1526</v>
      </c>
      <c r="C31" s="0" t="n">
        <v>1501</v>
      </c>
      <c r="D31" s="0" t="n">
        <v>1169</v>
      </c>
      <c r="E31" s="0" t="n">
        <v>1178</v>
      </c>
      <c r="F31" s="0" t="n">
        <v>3176</v>
      </c>
      <c r="G31" s="0" t="n">
        <v>3163</v>
      </c>
      <c r="H31" s="0" t="n">
        <v>3243</v>
      </c>
      <c r="I31" s="0" t="n">
        <v>906</v>
      </c>
      <c r="J31" s="0" t="n">
        <v>881</v>
      </c>
      <c r="K31" s="0" t="n">
        <v>885</v>
      </c>
    </row>
    <row r="32" customFormat="false" ht="15.75" hidden="false" customHeight="true" outlineLevel="0" collapsed="false">
      <c r="A32" s="0" t="s">
        <v>31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</row>
    <row r="33" customFormat="false" ht="15.75" hidden="false" customHeight="true" outlineLevel="0" collapsed="false">
      <c r="A33" s="0" t="s">
        <v>32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</row>
    <row r="34" customFormat="false" ht="15.75" hidden="false" customHeight="true" outlineLevel="0" collapsed="false">
      <c r="A34" s="0" t="s">
        <v>33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</row>
    <row r="35" customFormat="false" ht="15.75" hidden="false" customHeight="true" outlineLevel="0" collapsed="false">
      <c r="A35" s="0" t="s">
        <v>34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</row>
    <row r="36" customFormat="false" ht="15.75" hidden="false" customHeight="true" outlineLevel="0" collapsed="false">
      <c r="A36" s="0" t="s">
        <v>35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</row>
    <row r="37" customFormat="false" ht="15.75" hidden="false" customHeight="true" outlineLevel="0" collapsed="false">
      <c r="A37" s="0" t="s">
        <v>36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</row>
    <row r="38" customFormat="false" ht="15.75" hidden="false" customHeight="true" outlineLevel="0" collapsed="false">
      <c r="A38" s="0" t="s">
        <v>37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</row>
    <row r="39" customFormat="false" ht="15.75" hidden="false" customHeight="true" outlineLevel="0" collapsed="false">
      <c r="A39" s="0" t="s">
        <v>38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</row>
    <row r="40" customFormat="false" ht="15.75" hidden="false" customHeight="true" outlineLevel="0" collapsed="false">
      <c r="A40" s="0" t="s">
        <v>39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</row>
    <row r="41" customFormat="false" ht="15.75" hidden="false" customHeight="true" outlineLevel="0" collapsed="false">
      <c r="A41" s="0" t="s">
        <v>40</v>
      </c>
      <c r="B41" s="0" t="n">
        <v>1526</v>
      </c>
      <c r="C41" s="0" t="n">
        <v>1501</v>
      </c>
      <c r="D41" s="0" t="n">
        <v>1169</v>
      </c>
      <c r="E41" s="0" t="n">
        <v>1178</v>
      </c>
      <c r="F41" s="0" t="n">
        <v>3176</v>
      </c>
      <c r="G41" s="0" t="n">
        <v>3163</v>
      </c>
      <c r="H41" s="0" t="n">
        <v>3243</v>
      </c>
      <c r="I41" s="0" t="n">
        <v>906</v>
      </c>
      <c r="J41" s="0" t="n">
        <v>881</v>
      </c>
      <c r="K41" s="0" t="n">
        <v>885</v>
      </c>
    </row>
    <row r="42" customFormat="false" ht="15.75" hidden="false" customHeight="true" outlineLevel="0" collapsed="false">
      <c r="A42" s="0" t="s">
        <v>41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</row>
    <row r="43" customFormat="false" ht="15.75" hidden="false" customHeight="true" outlineLevel="0" collapsed="false">
      <c r="A43" s="0" t="s">
        <v>42</v>
      </c>
      <c r="B43" s="0" t="n">
        <v>1526</v>
      </c>
      <c r="C43" s="0" t="n">
        <v>1501</v>
      </c>
      <c r="D43" s="0" t="n">
        <v>1169</v>
      </c>
      <c r="E43" s="0" t="n">
        <v>1178</v>
      </c>
      <c r="F43" s="0" t="n">
        <v>3176</v>
      </c>
      <c r="G43" s="0" t="n">
        <v>3163</v>
      </c>
      <c r="H43" s="0" t="n">
        <v>3243</v>
      </c>
      <c r="I43" s="0" t="n">
        <v>906</v>
      </c>
      <c r="J43" s="0" t="n">
        <v>881</v>
      </c>
      <c r="K43" s="0" t="n">
        <v>885</v>
      </c>
    </row>
    <row r="44" customFormat="false" ht="15.75" hidden="false" customHeight="true" outlineLevel="0" collapsed="false">
      <c r="A44" s="0" t="s">
        <v>43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</row>
    <row r="45" customFormat="false" ht="15.75" hidden="false" customHeight="true" outlineLevel="0" collapsed="false">
      <c r="A45" s="0" t="s">
        <v>44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</row>
    <row r="46" customFormat="false" ht="15.75" hidden="false" customHeight="true" outlineLevel="0" collapsed="false">
      <c r="A46" s="0" t="s">
        <v>45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</row>
    <row r="47" customFormat="false" ht="15.75" hidden="false" customHeight="true" outlineLevel="0" collapsed="false">
      <c r="A47" s="0" t="s">
        <v>46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</row>
    <row r="48" customFormat="false" ht="15.75" hidden="false" customHeight="true" outlineLevel="0" collapsed="false">
      <c r="A48" s="0" t="s">
        <v>47</v>
      </c>
      <c r="B48" s="0" t="n">
        <v>21621077</v>
      </c>
      <c r="C48" s="0" t="n">
        <v>17823878</v>
      </c>
      <c r="D48" s="0" t="n">
        <v>15526155</v>
      </c>
      <c r="E48" s="0" t="n">
        <v>11190400</v>
      </c>
      <c r="F48" s="0" t="n">
        <v>15238160</v>
      </c>
      <c r="G48" s="0" t="n">
        <v>12526418</v>
      </c>
      <c r="H48" s="0" t="n">
        <v>10223659</v>
      </c>
      <c r="I48" s="0" t="n">
        <v>8930767</v>
      </c>
      <c r="J48" s="0" t="n">
        <v>6506344</v>
      </c>
      <c r="K48" s="0" t="n">
        <v>6638782</v>
      </c>
    </row>
    <row r="49" customFormat="false" ht="15.75" hidden="false" customHeight="true" outlineLevel="0" collapsed="false">
      <c r="A49" s="0" t="s">
        <v>48</v>
      </c>
      <c r="B49" s="0" t="n">
        <v>9013430</v>
      </c>
      <c r="C49" s="0" t="n">
        <v>8214881</v>
      </c>
      <c r="D49" s="0" t="n">
        <v>5784833</v>
      </c>
      <c r="E49" s="0" t="n">
        <v>944914</v>
      </c>
      <c r="F49" s="0" t="n">
        <v>1011493</v>
      </c>
      <c r="G49" s="0" t="n">
        <v>6636488</v>
      </c>
      <c r="H49" s="0" t="n">
        <v>4798602</v>
      </c>
      <c r="I49" s="0" t="n">
        <v>3101691</v>
      </c>
      <c r="J49" s="0" t="n">
        <v>2298138</v>
      </c>
      <c r="K49" s="0" t="n">
        <v>2186681</v>
      </c>
    </row>
    <row r="50" customFormat="false" ht="15.75" hidden="false" customHeight="true" outlineLevel="0" collapsed="false">
      <c r="A50" s="0" t="s">
        <v>49</v>
      </c>
      <c r="B50" s="0" t="n">
        <v>647917</v>
      </c>
      <c r="C50" s="0" t="n">
        <v>694043</v>
      </c>
      <c r="D50" s="0" t="n">
        <v>701455</v>
      </c>
      <c r="E50" s="0" t="n">
        <v>232147</v>
      </c>
      <c r="F50" s="0" t="n">
        <v>135964</v>
      </c>
      <c r="G50" s="0" t="n">
        <v>248728</v>
      </c>
      <c r="H50" s="0" t="n">
        <v>346994</v>
      </c>
      <c r="I50" s="0" t="n">
        <v>360403</v>
      </c>
      <c r="J50" s="0" t="n">
        <v>396213</v>
      </c>
      <c r="K50" s="0" t="n">
        <v>364261</v>
      </c>
    </row>
    <row r="51" customFormat="false" ht="15.75" hidden="false" customHeight="true" outlineLevel="0" collapsed="false">
      <c r="A51" s="0" t="s">
        <v>50</v>
      </c>
      <c r="B51" s="0" t="n">
        <v>4793648</v>
      </c>
      <c r="C51" s="0" t="n">
        <v>4776290</v>
      </c>
      <c r="D51" s="0" t="n">
        <v>3470398</v>
      </c>
      <c r="E51" s="0" t="n">
        <v>148050</v>
      </c>
      <c r="F51" s="0" t="n">
        <v>116388</v>
      </c>
      <c r="G51" s="0" t="n">
        <v>4510983</v>
      </c>
      <c r="H51" s="0" t="n">
        <v>3087359</v>
      </c>
      <c r="I51" s="0" t="n">
        <v>2333191</v>
      </c>
      <c r="J51" s="0" t="n">
        <v>1661296</v>
      </c>
      <c r="K51" s="0" t="n">
        <v>1689644</v>
      </c>
    </row>
    <row r="52" customFormat="false" ht="15.75" hidden="false" customHeight="true" outlineLevel="0" collapsed="false">
      <c r="A52" s="0" t="s">
        <v>51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</row>
    <row r="53" customFormat="false" ht="15.75" hidden="false" customHeight="true" outlineLevel="0" collapsed="false">
      <c r="A53" s="0" t="s">
        <v>52</v>
      </c>
      <c r="B53" s="0" t="n">
        <v>3571865</v>
      </c>
      <c r="C53" s="0" t="n">
        <v>2744548</v>
      </c>
      <c r="D53" s="0" t="n">
        <v>1612980</v>
      </c>
      <c r="E53" s="0" t="n">
        <v>564717</v>
      </c>
      <c r="F53" s="0" t="n">
        <v>759141</v>
      </c>
      <c r="G53" s="0" t="n">
        <v>1876777</v>
      </c>
      <c r="H53" s="0" t="n">
        <v>1364249</v>
      </c>
      <c r="I53" s="0" t="n">
        <v>408097</v>
      </c>
      <c r="J53" s="0" t="n">
        <v>240629</v>
      </c>
      <c r="K53" s="0" t="n">
        <v>132776</v>
      </c>
    </row>
    <row r="54" customFormat="false" ht="15.75" hidden="false" customHeight="true" outlineLevel="0" collapsed="false">
      <c r="A54" s="0" t="s">
        <v>53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</row>
    <row r="55" customFormat="false" ht="15.75" hidden="false" customHeight="true" outlineLevel="0" collapsed="false">
      <c r="A55" s="0" t="s">
        <v>54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</row>
    <row r="56" customFormat="false" ht="15.75" hidden="false" customHeight="true" outlineLevel="0" collapsed="false">
      <c r="A56" s="0" t="s">
        <v>55</v>
      </c>
      <c r="B56" s="0" t="n">
        <v>12595990</v>
      </c>
      <c r="C56" s="0" t="n">
        <v>9562656</v>
      </c>
      <c r="D56" s="0" t="n">
        <v>9629324</v>
      </c>
      <c r="E56" s="0" t="n">
        <v>9287287</v>
      </c>
      <c r="F56" s="0" t="n">
        <v>5262004</v>
      </c>
      <c r="G56" s="0" t="n">
        <v>5494865</v>
      </c>
      <c r="H56" s="0" t="n">
        <v>5175593</v>
      </c>
      <c r="I56" s="0" t="n">
        <v>5682245</v>
      </c>
      <c r="J56" s="0" t="n">
        <v>4128310</v>
      </c>
      <c r="K56" s="0" t="n">
        <v>4392165</v>
      </c>
    </row>
    <row r="57" customFormat="false" ht="15.75" hidden="false" customHeight="true" outlineLevel="0" collapsed="false">
      <c r="A57" s="0" t="s">
        <v>56</v>
      </c>
      <c r="B57" s="0" t="n">
        <v>5072536</v>
      </c>
      <c r="C57" s="0" t="n">
        <v>4656610</v>
      </c>
      <c r="D57" s="0" t="n">
        <v>3891919</v>
      </c>
      <c r="E57" s="0" t="n">
        <v>2806882</v>
      </c>
      <c r="F57" s="0" t="n">
        <v>2220598</v>
      </c>
      <c r="G57" s="0" t="n">
        <v>5064957</v>
      </c>
      <c r="H57" s="0" t="n">
        <v>4426084</v>
      </c>
      <c r="I57" s="0" t="n">
        <v>3981145</v>
      </c>
      <c r="J57" s="0" t="n">
        <v>3926759</v>
      </c>
      <c r="K57" s="0" t="n">
        <v>3696647</v>
      </c>
    </row>
    <row r="58" customFormat="false" ht="15.75" hidden="false" customHeight="true" outlineLevel="0" collapsed="false">
      <c r="A58" s="0" t="s">
        <v>57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</row>
    <row r="59" customFormat="false" ht="15.75" hidden="false" customHeight="true" outlineLevel="0" collapsed="false">
      <c r="A59" s="0" t="s">
        <v>58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</row>
    <row r="60" customFormat="false" ht="15.75" hidden="false" customHeight="true" outlineLevel="0" collapsed="false">
      <c r="A60" s="0" t="s">
        <v>59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</row>
    <row r="61" customFormat="false" ht="15.75" hidden="false" customHeight="true" outlineLevel="0" collapsed="false">
      <c r="A61" s="0" t="s">
        <v>60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</row>
    <row r="62" customFormat="false" ht="15.75" hidden="false" customHeight="true" outlineLevel="0" collapsed="false">
      <c r="A62" s="0" t="s">
        <v>61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</row>
    <row r="63" customFormat="false" ht="15.75" hidden="false" customHeight="true" outlineLevel="0" collapsed="false">
      <c r="A63" s="0" t="s">
        <v>62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</row>
    <row r="64" customFormat="false" ht="15.75" hidden="false" customHeight="true" outlineLevel="0" collapsed="false">
      <c r="A64" s="0" t="s">
        <v>63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</row>
    <row r="65" customFormat="false" ht="15.75" hidden="false" customHeight="true" outlineLevel="0" collapsed="false">
      <c r="A65" s="0" t="s">
        <v>64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</row>
    <row r="66" customFormat="false" ht="15.75" hidden="false" customHeight="true" outlineLevel="0" collapsed="false">
      <c r="A66" s="0" t="s">
        <v>65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</row>
    <row r="67" customFormat="false" ht="15.75" hidden="false" customHeight="true" outlineLevel="0" collapsed="false">
      <c r="A67" s="0" t="s">
        <v>66</v>
      </c>
      <c r="B67" s="0" t="n">
        <v>881234</v>
      </c>
      <c r="C67" s="0" t="n">
        <v>3140538</v>
      </c>
      <c r="D67" s="0" t="n">
        <v>2549089</v>
      </c>
      <c r="E67" s="0" t="n">
        <v>3466968</v>
      </c>
      <c r="F67" s="0" t="n">
        <v>610209</v>
      </c>
      <c r="G67" s="0" t="n">
        <v>50281</v>
      </c>
      <c r="H67" s="0" t="n">
        <v>239064</v>
      </c>
      <c r="I67" s="0" t="n">
        <v>938937</v>
      </c>
      <c r="J67" s="0" t="n">
        <v>162883</v>
      </c>
      <c r="K67" s="0" t="n">
        <v>8359</v>
      </c>
    </row>
    <row r="68" customFormat="false" ht="15.75" hidden="false" customHeight="true" outlineLevel="0" collapsed="false">
      <c r="A68" s="0" t="s">
        <v>67</v>
      </c>
      <c r="B68" s="0" t="n">
        <v>4214</v>
      </c>
      <c r="C68" s="0" t="n">
        <v>276633</v>
      </c>
      <c r="D68" s="0" t="n">
        <v>2275134</v>
      </c>
      <c r="E68" s="0" t="n">
        <v>2133056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</row>
    <row r="69" customFormat="false" ht="15.75" hidden="false" customHeight="true" outlineLevel="0" collapsed="false">
      <c r="A69" s="0" t="s">
        <v>68</v>
      </c>
      <c r="B69" s="0" t="n">
        <v>534220</v>
      </c>
      <c r="C69" s="0" t="n">
        <v>583101</v>
      </c>
      <c r="D69" s="0" t="n">
        <v>537736</v>
      </c>
      <c r="E69" s="0" t="n">
        <v>486553</v>
      </c>
      <c r="F69" s="0" t="n">
        <v>247532</v>
      </c>
      <c r="G69" s="0" t="n">
        <v>105630</v>
      </c>
      <c r="H69" s="0" t="n">
        <v>71399</v>
      </c>
      <c r="I69" s="0" t="n">
        <v>30534</v>
      </c>
      <c r="J69" s="0" t="n">
        <v>20163</v>
      </c>
      <c r="K69" s="0" t="n">
        <v>15130</v>
      </c>
    </row>
    <row r="70" customFormat="false" ht="15.75" hidden="false" customHeight="true" outlineLevel="0" collapsed="false">
      <c r="A70" s="0" t="s">
        <v>69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</row>
    <row r="71" customFormat="false" ht="15.75" hidden="false" customHeight="true" outlineLevel="0" collapsed="false">
      <c r="A71" s="0" t="s">
        <v>70</v>
      </c>
      <c r="B71" s="0" t="n">
        <v>6103786</v>
      </c>
      <c r="C71" s="0" t="n">
        <v>905774</v>
      </c>
      <c r="D71" s="0" t="n">
        <v>375446</v>
      </c>
      <c r="E71" s="0" t="n">
        <v>380774</v>
      </c>
      <c r="F71" s="0" t="n">
        <v>2097800</v>
      </c>
      <c r="G71" s="0" t="n">
        <v>98347</v>
      </c>
      <c r="H71" s="0" t="n">
        <v>263396</v>
      </c>
      <c r="I71" s="0" t="n">
        <v>670115</v>
      </c>
      <c r="J71" s="0" t="n">
        <v>18505</v>
      </c>
      <c r="K71" s="0" t="n">
        <v>672029</v>
      </c>
    </row>
    <row r="72" customFormat="false" ht="15.75" hidden="false" customHeight="true" outlineLevel="0" collapsed="false">
      <c r="A72" s="0" t="s">
        <v>71</v>
      </c>
      <c r="B72" s="0" t="n">
        <v>0</v>
      </c>
      <c r="C72" s="0" t="n">
        <v>0</v>
      </c>
      <c r="D72" s="0" t="n">
        <v>0</v>
      </c>
      <c r="E72" s="0" t="n">
        <v>13054</v>
      </c>
      <c r="F72" s="0" t="n">
        <v>85865</v>
      </c>
      <c r="G72" s="0" t="n">
        <v>175650</v>
      </c>
      <c r="H72" s="0" t="n">
        <v>175650</v>
      </c>
      <c r="I72" s="0" t="n">
        <v>61514</v>
      </c>
      <c r="J72" s="0" t="n">
        <v>0</v>
      </c>
      <c r="K72" s="0" t="n">
        <v>0</v>
      </c>
    </row>
    <row r="73" customFormat="false" ht="15.75" hidden="false" customHeight="true" outlineLevel="0" collapsed="false">
      <c r="A73" s="0" t="s">
        <v>72</v>
      </c>
      <c r="B73" s="0" t="n">
        <v>12591776</v>
      </c>
      <c r="C73" s="0" t="n">
        <v>9286023</v>
      </c>
      <c r="D73" s="0" t="n">
        <v>7354190</v>
      </c>
      <c r="E73" s="0" t="n">
        <v>7141177</v>
      </c>
      <c r="F73" s="0" t="n">
        <v>5176139</v>
      </c>
      <c r="G73" s="0" t="n">
        <v>5319215</v>
      </c>
      <c r="H73" s="0" t="n">
        <v>4999943</v>
      </c>
      <c r="I73" s="0" t="n">
        <v>5620731</v>
      </c>
      <c r="J73" s="0" t="n">
        <v>4128310</v>
      </c>
      <c r="K73" s="0" t="n">
        <v>4392165</v>
      </c>
    </row>
    <row r="74" customFormat="false" ht="15.75" hidden="false" customHeight="true" outlineLevel="0" collapsed="false">
      <c r="A74" s="0" t="s">
        <v>73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</row>
    <row r="75" customFormat="false" ht="15.75" hidden="false" customHeight="true" outlineLevel="0" collapsed="false">
      <c r="A75" s="0" t="s">
        <v>74</v>
      </c>
      <c r="B75" s="0" t="n">
        <v>4214</v>
      </c>
      <c r="C75" s="0" t="n">
        <v>276633</v>
      </c>
      <c r="D75" s="0" t="n">
        <v>2275134</v>
      </c>
      <c r="E75" s="0" t="n">
        <v>2146110</v>
      </c>
      <c r="F75" s="0" t="n">
        <v>85865</v>
      </c>
      <c r="G75" s="0" t="n">
        <v>175650</v>
      </c>
      <c r="H75" s="0" t="n">
        <v>175650</v>
      </c>
      <c r="I75" s="0" t="n">
        <v>61514</v>
      </c>
      <c r="J75" s="0" t="n">
        <v>0</v>
      </c>
      <c r="K75" s="0" t="n">
        <v>0</v>
      </c>
    </row>
    <row r="76" customFormat="false" ht="15.75" hidden="false" customHeight="true" outlineLevel="0" collapsed="false">
      <c r="A76" s="0" t="s">
        <v>75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</row>
    <row r="77" customFormat="false" ht="15.75" hidden="false" customHeight="true" outlineLevel="0" collapsed="false">
      <c r="A77" s="0" t="s">
        <v>76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</row>
    <row r="78" customFormat="false" ht="15.75" hidden="false" customHeight="true" outlineLevel="0" collapsed="false">
      <c r="A78" s="0" t="s">
        <v>77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</row>
    <row r="79" customFormat="false" ht="15.75" hidden="false" customHeight="true" outlineLevel="0" collapsed="false">
      <c r="A79" s="0" t="s">
        <v>78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</row>
    <row r="80" customFormat="false" ht="15.75" hidden="false" customHeight="true" outlineLevel="0" collapsed="false">
      <c r="A80" s="0" t="s">
        <v>79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</row>
    <row r="81" customFormat="false" ht="15.75" hidden="false" customHeight="true" outlineLevel="0" collapsed="false">
      <c r="A81" s="0" t="s">
        <v>80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</row>
    <row r="82" customFormat="false" ht="15.75" hidden="false" customHeight="true" outlineLevel="0" collapsed="false">
      <c r="A82" s="0" t="s">
        <v>81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</row>
    <row r="83" customFormat="false" ht="15.75" hidden="false" customHeight="true" outlineLevel="0" collapsed="false">
      <c r="A83" s="0" t="s">
        <v>46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</row>
    <row r="84" customFormat="false" ht="15.75" hidden="false" customHeight="true" outlineLevel="0" collapsed="false">
      <c r="A84" s="0" t="s">
        <v>82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</row>
    <row r="85" customFormat="false" ht="15.75" hidden="false" customHeight="true" outlineLevel="0" collapsed="false">
      <c r="A85" s="0" t="s">
        <v>83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</row>
    <row r="86" customFormat="false" ht="15.75" hidden="false" customHeight="true" outlineLevel="0" collapsed="false">
      <c r="A86" s="0" t="s">
        <v>84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</row>
    <row r="87" customFormat="false" ht="15.75" hidden="false" customHeight="true" outlineLevel="0" collapsed="false">
      <c r="A87" s="0" t="s">
        <v>85</v>
      </c>
      <c r="B87" s="0" t="n">
        <v>11657</v>
      </c>
      <c r="C87" s="0" t="n">
        <v>46341</v>
      </c>
      <c r="D87" s="0" t="n">
        <v>111998</v>
      </c>
      <c r="E87" s="0" t="n">
        <v>958199</v>
      </c>
      <c r="F87" s="0" t="n">
        <v>8964663</v>
      </c>
      <c r="G87" s="0" t="n">
        <v>395065</v>
      </c>
      <c r="H87" s="0" t="n">
        <v>249464</v>
      </c>
      <c r="I87" s="0" t="n">
        <v>146831</v>
      </c>
      <c r="J87" s="0" t="n">
        <v>79896</v>
      </c>
      <c r="K87" s="0" t="n">
        <v>59936</v>
      </c>
    </row>
    <row r="88" customFormat="false" ht="15.75" hidden="false" customHeight="true" outlineLevel="0" collapsed="false">
      <c r="A88" s="0" t="s">
        <v>86</v>
      </c>
      <c r="B88" s="0" t="n">
        <v>9557</v>
      </c>
      <c r="C88" s="0" t="n">
        <v>42074</v>
      </c>
      <c r="D88" s="0" t="n">
        <v>105634</v>
      </c>
      <c r="E88" s="0" t="n">
        <v>954563</v>
      </c>
      <c r="F88" s="0" t="n">
        <v>8962838</v>
      </c>
      <c r="G88" s="0" t="n">
        <v>392781</v>
      </c>
      <c r="H88" s="0" t="n">
        <v>230250</v>
      </c>
      <c r="I88" s="0" t="n">
        <v>137758</v>
      </c>
      <c r="J88" s="0" t="n">
        <v>75301</v>
      </c>
      <c r="K88" s="0" t="n">
        <v>52387</v>
      </c>
    </row>
    <row r="89" customFormat="false" ht="15.75" hidden="false" customHeight="true" outlineLevel="0" collapsed="false">
      <c r="A89" s="0" t="s">
        <v>87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</row>
    <row r="90" customFormat="false" ht="15.75" hidden="false" customHeight="true" outlineLevel="0" collapsed="false">
      <c r="A90" s="0" t="s">
        <v>88</v>
      </c>
      <c r="B90" s="0" t="n">
        <v>2100</v>
      </c>
      <c r="C90" s="0" t="n">
        <v>4267</v>
      </c>
      <c r="D90" s="0" t="n">
        <v>6364</v>
      </c>
      <c r="E90" s="0" t="n">
        <v>3636</v>
      </c>
      <c r="F90" s="0" t="n">
        <v>1825</v>
      </c>
      <c r="G90" s="0" t="n">
        <v>2284</v>
      </c>
      <c r="H90" s="0" t="n">
        <v>19214</v>
      </c>
      <c r="I90" s="0" t="n">
        <v>9073</v>
      </c>
      <c r="J90" s="0" t="n">
        <v>4595</v>
      </c>
      <c r="K90" s="0" t="n">
        <v>7549</v>
      </c>
    </row>
    <row r="91" customFormat="false" ht="15.75" hidden="false" customHeight="true" outlineLevel="0" collapsed="false">
      <c r="A91" s="0" t="s">
        <v>89</v>
      </c>
      <c r="B91" s="0" t="n">
        <v>332754</v>
      </c>
      <c r="C91" s="0" t="n">
        <v>93634</v>
      </c>
      <c r="D91" s="0" t="n">
        <v>86206</v>
      </c>
      <c r="E91" s="0" t="n">
        <v>105996</v>
      </c>
      <c r="F91" s="0" t="n">
        <v>77206</v>
      </c>
      <c r="G91" s="0" t="n">
        <v>432989</v>
      </c>
      <c r="H91" s="0" t="n">
        <v>460730</v>
      </c>
      <c r="I91" s="0" t="n">
        <v>327631</v>
      </c>
      <c r="J91" s="0" t="n">
        <v>320744</v>
      </c>
      <c r="K91" s="0" t="n">
        <v>370614</v>
      </c>
    </row>
    <row r="92" customFormat="false" ht="15.75" hidden="false" customHeight="true" outlineLevel="0" collapsed="false">
      <c r="A92" s="0" t="s">
        <v>90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</row>
    <row r="93" customFormat="false" ht="15.75" hidden="false" customHeight="true" outlineLevel="0" collapsed="false">
      <c r="A93" s="0" t="s">
        <v>91</v>
      </c>
      <c r="B93" s="0" t="n">
        <v>61444796</v>
      </c>
      <c r="C93" s="0" t="n">
        <v>57479670</v>
      </c>
      <c r="D93" s="0" t="n">
        <v>54459629</v>
      </c>
      <c r="E93" s="0" t="n">
        <v>46499023</v>
      </c>
      <c r="F93" s="0" t="n">
        <v>25796860</v>
      </c>
      <c r="G93" s="0" t="n">
        <v>32406360</v>
      </c>
      <c r="H93" s="0" t="n">
        <v>29137944</v>
      </c>
      <c r="I93" s="0" t="n">
        <v>22497059</v>
      </c>
      <c r="J93" s="0" t="n">
        <v>12351601</v>
      </c>
      <c r="K93" s="0" t="n">
        <v>8477049</v>
      </c>
    </row>
    <row r="94" customFormat="false" ht="15.75" hidden="false" customHeight="true" outlineLevel="0" collapsed="false">
      <c r="A94" s="0" t="s">
        <v>92</v>
      </c>
    </row>
    <row r="95" customFormat="false" ht="15.75" hidden="false" customHeight="true" outlineLevel="0" collapsed="false">
      <c r="A95" s="0" t="s">
        <v>93</v>
      </c>
    </row>
    <row r="96" customFormat="false" ht="15.75" hidden="false" customHeight="true" outlineLevel="0" collapsed="false">
      <c r="A96" s="0" t="s">
        <v>94</v>
      </c>
      <c r="B96" s="0" t="n">
        <v>5979951</v>
      </c>
      <c r="C96" s="0" t="n">
        <v>4214474</v>
      </c>
      <c r="D96" s="0" t="n">
        <v>3866660</v>
      </c>
      <c r="E96" s="0" t="n">
        <v>3604968</v>
      </c>
      <c r="F96" s="0" t="n">
        <v>3903442</v>
      </c>
      <c r="G96" s="0" t="n">
        <v>1524247</v>
      </c>
      <c r="H96" s="0" t="n">
        <v>3241230</v>
      </c>
      <c r="I96" s="0" t="n">
        <v>2622890</v>
      </c>
      <c r="J96" s="0" t="n">
        <v>2277205</v>
      </c>
      <c r="K96" s="0" t="n">
        <v>1782213</v>
      </c>
    </row>
    <row r="97" customFormat="false" ht="15.75" hidden="false" customHeight="true" outlineLevel="0" collapsed="false">
      <c r="A97" s="0" t="s">
        <v>95</v>
      </c>
      <c r="B97" s="0" t="n">
        <v>1500000</v>
      </c>
      <c r="C97" s="0" t="n">
        <v>100000</v>
      </c>
      <c r="D97" s="0" t="n">
        <v>100000</v>
      </c>
      <c r="E97" s="0" t="n">
        <v>100000</v>
      </c>
      <c r="F97" s="0" t="n">
        <v>100000</v>
      </c>
      <c r="G97" s="0" t="n">
        <v>100000</v>
      </c>
      <c r="H97" s="0" t="n">
        <v>100000</v>
      </c>
      <c r="I97" s="0" t="n">
        <v>100000</v>
      </c>
      <c r="J97" s="0" t="n">
        <v>100000</v>
      </c>
      <c r="K97" s="0" t="n">
        <v>100000</v>
      </c>
    </row>
    <row r="98" customFormat="false" ht="15.75" hidden="false" customHeight="true" outlineLevel="0" collapsed="false">
      <c r="A98" s="0" t="s">
        <v>96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</row>
    <row r="99" customFormat="false" ht="15.75" hidden="false" customHeight="true" outlineLevel="0" collapsed="false">
      <c r="A99" s="0" t="s">
        <v>97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</row>
    <row r="100" customFormat="false" ht="15.75" hidden="false" customHeight="true" outlineLevel="0" collapsed="false">
      <c r="A100" s="0" t="s">
        <v>98</v>
      </c>
      <c r="B100" s="0" t="n">
        <v>290000</v>
      </c>
      <c r="C100" s="0" t="n">
        <v>290000</v>
      </c>
      <c r="D100" s="0" t="n">
        <v>290000</v>
      </c>
      <c r="E100" s="0" t="n">
        <v>290000</v>
      </c>
      <c r="F100" s="0" t="n">
        <v>290000</v>
      </c>
      <c r="G100" s="0" t="n">
        <v>290000</v>
      </c>
      <c r="H100" s="0" t="n">
        <v>290000</v>
      </c>
      <c r="I100" s="0" t="n">
        <v>290000</v>
      </c>
      <c r="J100" s="0" t="n">
        <v>290000</v>
      </c>
      <c r="K100" s="0" t="n">
        <v>290000</v>
      </c>
    </row>
    <row r="101" customFormat="false" ht="15.75" hidden="false" customHeight="true" outlineLevel="0" collapsed="false">
      <c r="A101" s="0" t="s">
        <v>99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</row>
    <row r="102" customFormat="false" ht="15.75" hidden="false" customHeight="true" outlineLevel="0" collapsed="false">
      <c r="A102" s="0" t="s">
        <v>100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</row>
    <row r="103" customFormat="false" ht="15.75" hidden="false" customHeight="true" outlineLevel="0" collapsed="false">
      <c r="A103" s="0" t="s">
        <v>101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</row>
    <row r="104" customFormat="false" ht="15.75" hidden="false" customHeight="true" outlineLevel="0" collapsed="false">
      <c r="A104" s="0" t="s">
        <v>102</v>
      </c>
      <c r="B104" s="0" t="n">
        <v>20000</v>
      </c>
      <c r="C104" s="0" t="n">
        <v>20000</v>
      </c>
      <c r="D104" s="0" t="n">
        <v>20000</v>
      </c>
      <c r="E104" s="0" t="n">
        <v>20000</v>
      </c>
      <c r="F104" s="0" t="n">
        <v>20000</v>
      </c>
      <c r="G104" s="0" t="n">
        <v>20000</v>
      </c>
      <c r="H104" s="0" t="n">
        <v>20000</v>
      </c>
      <c r="I104" s="0" t="n">
        <v>20000</v>
      </c>
      <c r="J104" s="0" t="n">
        <v>20000</v>
      </c>
      <c r="K104" s="0" t="n">
        <v>20000</v>
      </c>
    </row>
    <row r="105" customFormat="false" ht="15.75" hidden="false" customHeight="true" outlineLevel="0" collapsed="false">
      <c r="A105" s="0" t="s">
        <v>103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</row>
    <row r="106" customFormat="false" ht="15.75" hidden="false" customHeight="true" outlineLevel="0" collapsed="false">
      <c r="A106" s="0" t="s">
        <v>104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</row>
    <row r="107" customFormat="false" ht="15.75" hidden="false" customHeight="true" outlineLevel="0" collapsed="false">
      <c r="A107" s="0" t="s">
        <v>105</v>
      </c>
      <c r="B107" s="0" t="n">
        <v>289999</v>
      </c>
      <c r="C107" s="0" t="n">
        <v>289999</v>
      </c>
      <c r="D107" s="0" t="n">
        <v>290000</v>
      </c>
      <c r="E107" s="0" t="n">
        <v>290000</v>
      </c>
      <c r="F107" s="0" t="n">
        <v>290002</v>
      </c>
      <c r="G107" s="0" t="n">
        <v>290002</v>
      </c>
      <c r="H107" s="0" t="n">
        <v>290004</v>
      </c>
      <c r="I107" s="0" t="n">
        <v>289999</v>
      </c>
      <c r="J107" s="0" t="n">
        <v>290000</v>
      </c>
      <c r="K107" s="0" t="n">
        <v>290000</v>
      </c>
    </row>
    <row r="108" customFormat="false" ht="15.75" hidden="false" customHeight="true" outlineLevel="0" collapsed="false">
      <c r="A108" s="0" t="s">
        <v>106</v>
      </c>
      <c r="B108" s="0" t="n">
        <v>0</v>
      </c>
      <c r="C108" s="0" t="n">
        <v>0</v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</row>
    <row r="109" customFormat="false" ht="15.75" hidden="false" customHeight="true" outlineLevel="0" collapsed="false">
      <c r="A109" s="0" t="s">
        <v>107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</row>
    <row r="110" customFormat="false" ht="15.75" hidden="false" customHeight="true" outlineLevel="0" collapsed="false">
      <c r="A110" s="0" t="s">
        <v>108</v>
      </c>
      <c r="B110" s="0" t="n">
        <v>3804475</v>
      </c>
      <c r="C110" s="0" t="n">
        <v>3456660</v>
      </c>
      <c r="D110" s="0" t="n">
        <v>3194967</v>
      </c>
      <c r="E110" s="0" t="n">
        <v>3493440</v>
      </c>
      <c r="F110" s="0" t="n">
        <v>1114245</v>
      </c>
      <c r="G110" s="0" t="n">
        <v>2831226</v>
      </c>
      <c r="H110" s="0" t="n">
        <v>2212892</v>
      </c>
      <c r="I110" s="0" t="n">
        <v>1867205</v>
      </c>
      <c r="J110" s="0" t="n">
        <v>1372213</v>
      </c>
      <c r="K110" s="0" t="n">
        <v>706567</v>
      </c>
    </row>
    <row r="111" customFormat="false" ht="15.75" hidden="false" customHeight="true" outlineLevel="0" collapsed="false">
      <c r="A111" s="0" t="s">
        <v>109</v>
      </c>
      <c r="B111" s="0" t="n">
        <v>365477</v>
      </c>
      <c r="C111" s="0" t="n">
        <v>347815</v>
      </c>
      <c r="D111" s="0" t="n">
        <v>261693</v>
      </c>
      <c r="E111" s="0" t="n">
        <v>-298472</v>
      </c>
      <c r="F111" s="0" t="n">
        <v>2379195</v>
      </c>
      <c r="G111" s="0" t="n">
        <v>-1716981</v>
      </c>
      <c r="H111" s="0" t="n">
        <v>618334</v>
      </c>
      <c r="I111" s="0" t="n">
        <v>345686</v>
      </c>
      <c r="J111" s="0" t="n">
        <v>494992</v>
      </c>
      <c r="K111" s="0" t="n">
        <v>665646</v>
      </c>
    </row>
    <row r="112" customFormat="false" ht="15.75" hidden="false" customHeight="true" outlineLevel="0" collapsed="false">
      <c r="A112" s="0" t="s">
        <v>110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</row>
    <row r="113" customFormat="false" ht="15.75" hidden="false" customHeight="true" outlineLevel="0" collapsed="false">
      <c r="A113" s="0" t="s">
        <v>111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</row>
    <row r="114" customFormat="false" ht="15.75" hidden="false" customHeight="true" outlineLevel="0" collapsed="false">
      <c r="A114" s="0" t="s">
        <v>112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</row>
    <row r="115" customFormat="false" ht="15.75" hidden="false" customHeight="true" outlineLevel="0" collapsed="false">
      <c r="A115" s="0" t="s">
        <v>113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</row>
    <row r="116" customFormat="false" ht="15.75" hidden="false" customHeight="true" outlineLevel="0" collapsed="false">
      <c r="A116" s="0" t="s">
        <v>114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</row>
    <row r="117" customFormat="false" ht="15.75" hidden="false" customHeight="true" outlineLevel="0" collapsed="false">
      <c r="A117" s="0" t="s">
        <v>115</v>
      </c>
      <c r="B117" s="0" t="n">
        <v>0</v>
      </c>
      <c r="C117" s="0" t="n">
        <v>0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</row>
    <row r="118" customFormat="false" ht="15.75" hidden="false" customHeight="true" outlineLevel="0" collapsed="false">
      <c r="A118" s="0" t="s">
        <v>116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</row>
    <row r="119" customFormat="false" ht="15.75" hidden="false" customHeight="true" outlineLevel="0" collapsed="false">
      <c r="A119" s="0" t="s">
        <v>117</v>
      </c>
      <c r="B119" s="0" t="n">
        <v>0</v>
      </c>
      <c r="C119" s="0" t="n">
        <v>0</v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</row>
    <row r="120" customFormat="false" ht="15.75" hidden="false" customHeight="true" outlineLevel="0" collapsed="false">
      <c r="A120" s="0" t="s">
        <v>118</v>
      </c>
      <c r="B120" s="0" t="n">
        <v>96515</v>
      </c>
      <c r="C120" s="0" t="n">
        <v>88604</v>
      </c>
      <c r="D120" s="0" t="n">
        <v>88510</v>
      </c>
      <c r="E120" s="0" t="n">
        <v>74753</v>
      </c>
      <c r="F120" s="0" t="n">
        <v>76972</v>
      </c>
      <c r="G120" s="0" t="n">
        <v>58170</v>
      </c>
      <c r="H120" s="0" t="n">
        <v>48369</v>
      </c>
      <c r="I120" s="0" t="n">
        <v>34968</v>
      </c>
      <c r="J120" s="0" t="n">
        <v>26229</v>
      </c>
      <c r="K120" s="0" t="n">
        <v>17953</v>
      </c>
    </row>
    <row r="121" customFormat="false" ht="15.75" hidden="false" customHeight="true" outlineLevel="0" collapsed="false">
      <c r="A121" s="0" t="s">
        <v>119</v>
      </c>
      <c r="B121" s="0" t="n">
        <v>88515</v>
      </c>
      <c r="C121" s="0" t="n">
        <v>80604</v>
      </c>
      <c r="D121" s="0" t="n">
        <v>68987</v>
      </c>
      <c r="E121" s="0" t="n">
        <v>62093</v>
      </c>
      <c r="F121" s="0" t="n">
        <v>64312</v>
      </c>
      <c r="G121" s="0" t="n">
        <v>58170</v>
      </c>
      <c r="H121" s="0" t="n">
        <v>48369</v>
      </c>
      <c r="I121" s="0" t="n">
        <v>34968</v>
      </c>
      <c r="J121" s="0" t="n">
        <v>26229</v>
      </c>
      <c r="K121" s="0" t="n">
        <v>0</v>
      </c>
    </row>
    <row r="122" customFormat="false" ht="15.75" hidden="false" customHeight="true" outlineLevel="0" collapsed="false">
      <c r="A122" s="0" t="s">
        <v>120</v>
      </c>
      <c r="B122" s="0" t="n">
        <v>0</v>
      </c>
      <c r="C122" s="0" t="n">
        <v>0</v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</row>
    <row r="123" customFormat="false" ht="15.75" hidden="false" customHeight="true" outlineLevel="0" collapsed="false">
      <c r="A123" s="0" t="s">
        <v>121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</row>
    <row r="124" customFormat="false" ht="15.75" hidden="false" customHeight="true" outlineLevel="0" collapsed="false">
      <c r="A124" s="0" t="s">
        <v>122</v>
      </c>
      <c r="B124" s="0" t="n">
        <v>8000</v>
      </c>
      <c r="C124" s="0" t="n">
        <v>8000</v>
      </c>
      <c r="D124" s="0" t="n">
        <v>19523</v>
      </c>
      <c r="E124" s="0" t="n">
        <v>12660</v>
      </c>
      <c r="F124" s="0" t="n">
        <v>12660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</row>
    <row r="125" customFormat="false" ht="15.75" hidden="false" customHeight="true" outlineLevel="0" collapsed="false">
      <c r="A125" s="0" t="s">
        <v>123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</row>
    <row r="126" customFormat="false" ht="15.75" hidden="false" customHeight="true" outlineLevel="0" collapsed="false">
      <c r="A126" s="0" t="s">
        <v>124</v>
      </c>
      <c r="B126" s="0" t="n">
        <v>330532</v>
      </c>
      <c r="C126" s="0" t="n">
        <v>270891</v>
      </c>
      <c r="D126" s="0" t="n">
        <v>256615</v>
      </c>
      <c r="E126" s="0" t="n">
        <v>336895</v>
      </c>
      <c r="F126" s="0" t="n">
        <v>350704</v>
      </c>
      <c r="G126" s="0" t="n">
        <v>369610</v>
      </c>
      <c r="H126" s="0" t="n">
        <v>284922</v>
      </c>
      <c r="I126" s="0" t="n">
        <v>241894</v>
      </c>
      <c r="J126" s="0" t="n">
        <v>238425</v>
      </c>
      <c r="K126" s="0" t="n">
        <v>220527</v>
      </c>
    </row>
    <row r="127" customFormat="false" ht="15.75" hidden="false" customHeight="true" outlineLevel="0" collapsed="false">
      <c r="A127" s="0" t="s">
        <v>125</v>
      </c>
    </row>
    <row r="128" customFormat="false" ht="15.75" hidden="false" customHeight="true" outlineLevel="0" collapsed="false">
      <c r="A128" s="0" t="s">
        <v>126</v>
      </c>
      <c r="B128" s="0" t="n">
        <v>37575588</v>
      </c>
      <c r="C128" s="0" t="n">
        <v>41691234</v>
      </c>
      <c r="D128" s="0" t="n">
        <v>40958447</v>
      </c>
      <c r="E128" s="0" t="n">
        <v>39219218</v>
      </c>
      <c r="F128" s="0" t="n">
        <v>21256625</v>
      </c>
      <c r="G128" s="0" t="n">
        <v>29734375</v>
      </c>
      <c r="H128" s="0" t="n">
        <v>24751670</v>
      </c>
      <c r="I128" s="0" t="n">
        <v>18921601</v>
      </c>
      <c r="J128" s="0" t="n">
        <v>9185674</v>
      </c>
      <c r="K128" s="0" t="n">
        <v>5816908</v>
      </c>
    </row>
    <row r="129" customFormat="false" ht="15.75" hidden="false" customHeight="true" outlineLevel="0" collapsed="false">
      <c r="A129" s="0" t="s">
        <v>127</v>
      </c>
      <c r="B129" s="0" t="n">
        <v>0</v>
      </c>
      <c r="C129" s="0" t="n">
        <v>0</v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</row>
    <row r="130" customFormat="false" ht="15.75" hidden="false" customHeight="true" outlineLevel="0" collapsed="false">
      <c r="A130" s="0" t="s">
        <v>128</v>
      </c>
      <c r="B130" s="0" t="n">
        <v>0</v>
      </c>
      <c r="C130" s="0" t="n">
        <v>0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</row>
    <row r="131" customFormat="false" ht="15.75" hidden="false" customHeight="true" outlineLevel="0" collapsed="false">
      <c r="A131" s="0" t="s">
        <v>129</v>
      </c>
      <c r="B131" s="0" t="n">
        <v>0</v>
      </c>
      <c r="C131" s="0" t="n">
        <v>0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</row>
    <row r="132" customFormat="false" ht="15.75" hidden="false" customHeight="true" outlineLevel="0" collapsed="false">
      <c r="A132" s="0" t="s">
        <v>130</v>
      </c>
      <c r="B132" s="0" t="n">
        <v>0</v>
      </c>
      <c r="C132" s="0" t="n">
        <v>0</v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</row>
    <row r="133" customFormat="false" ht="15.75" hidden="false" customHeight="true" outlineLevel="0" collapsed="false">
      <c r="A133" s="0" t="s">
        <v>131</v>
      </c>
      <c r="B133" s="0" t="n">
        <v>2225488</v>
      </c>
      <c r="C133" s="0" t="n">
        <v>2022988</v>
      </c>
      <c r="D133" s="0" t="n">
        <v>2022988</v>
      </c>
      <c r="E133" s="0" t="n">
        <v>1965488</v>
      </c>
      <c r="F133" s="0" t="n">
        <v>1965488</v>
      </c>
      <c r="G133" s="0" t="n">
        <v>1878288</v>
      </c>
      <c r="H133" s="0" t="n">
        <v>1921288</v>
      </c>
      <c r="I133" s="0" t="n">
        <v>1917288</v>
      </c>
      <c r="J133" s="0" t="n">
        <v>1954576</v>
      </c>
      <c r="K133" s="0" t="n">
        <v>45000</v>
      </c>
    </row>
    <row r="134" customFormat="false" ht="15.75" hidden="false" customHeight="true" outlineLevel="0" collapsed="false">
      <c r="A134" s="0" t="s">
        <v>132</v>
      </c>
      <c r="B134" s="0" t="n">
        <v>350000</v>
      </c>
      <c r="C134" s="0" t="n">
        <v>350000</v>
      </c>
      <c r="D134" s="0" t="n">
        <v>350000</v>
      </c>
      <c r="E134" s="0" t="n">
        <v>350000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</row>
    <row r="135" customFormat="false" ht="15.75" hidden="false" customHeight="true" outlineLevel="0" collapsed="false">
      <c r="A135" s="0" t="s">
        <v>133</v>
      </c>
      <c r="B135" s="0" t="n">
        <v>6187139</v>
      </c>
      <c r="C135" s="0" t="n">
        <v>6108014</v>
      </c>
      <c r="D135" s="0" t="n">
        <v>5845352</v>
      </c>
      <c r="E135" s="0" t="n">
        <v>4093001</v>
      </c>
      <c r="F135" s="0" t="n">
        <v>6647766</v>
      </c>
      <c r="G135" s="0" t="n">
        <v>11773957</v>
      </c>
      <c r="H135" s="0" t="n">
        <v>8066572</v>
      </c>
      <c r="I135" s="0" t="n">
        <v>6507223</v>
      </c>
      <c r="J135" s="0" t="n">
        <v>4333680</v>
      </c>
      <c r="K135" s="0" t="n">
        <v>2924238</v>
      </c>
    </row>
    <row r="136" customFormat="false" ht="15.75" hidden="false" customHeight="true" outlineLevel="0" collapsed="false">
      <c r="A136" s="0" t="s">
        <v>134</v>
      </c>
      <c r="B136" s="0" t="n">
        <v>20552923</v>
      </c>
      <c r="C136" s="0" t="n">
        <v>21592071</v>
      </c>
      <c r="D136" s="0" t="n">
        <v>21961303</v>
      </c>
      <c r="E136" s="0" t="n">
        <v>18077687</v>
      </c>
      <c r="F136" s="0" t="n">
        <v>3273458</v>
      </c>
      <c r="G136" s="0" t="n">
        <v>11654549</v>
      </c>
      <c r="H136" s="0" t="n">
        <v>10780240</v>
      </c>
      <c r="I136" s="0" t="n">
        <v>6301355</v>
      </c>
      <c r="J136" s="0" t="n">
        <v>1007448</v>
      </c>
      <c r="K136" s="0" t="n">
        <v>671866</v>
      </c>
    </row>
    <row r="137" customFormat="false" ht="15.75" hidden="false" customHeight="true" outlineLevel="0" collapsed="false">
      <c r="A137" s="0" t="s">
        <v>135</v>
      </c>
      <c r="B137" s="0" t="n">
        <v>0</v>
      </c>
      <c r="C137" s="0" t="n">
        <v>0</v>
      </c>
      <c r="D137" s="0" t="n">
        <v>0</v>
      </c>
      <c r="E137" s="0" t="n">
        <v>0</v>
      </c>
      <c r="F137" s="0" t="n">
        <v>104286</v>
      </c>
      <c r="G137" s="0" t="n">
        <v>280832</v>
      </c>
      <c r="H137" s="0" t="n">
        <v>370067</v>
      </c>
      <c r="I137" s="0" t="n">
        <v>0</v>
      </c>
      <c r="J137" s="0" t="n">
        <v>0</v>
      </c>
      <c r="K137" s="0" t="n">
        <v>0</v>
      </c>
    </row>
    <row r="138" customFormat="false" ht="15.75" hidden="false" customHeight="true" outlineLevel="0" collapsed="false">
      <c r="A138" s="0" t="s">
        <v>136</v>
      </c>
      <c r="B138" s="0" t="n">
        <v>0</v>
      </c>
      <c r="C138" s="0" t="n">
        <v>0</v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</row>
    <row r="139" customFormat="false" ht="15.75" hidden="false" customHeight="true" outlineLevel="0" collapsed="false">
      <c r="A139" s="0" t="s">
        <v>137</v>
      </c>
      <c r="B139" s="0" t="n">
        <v>0</v>
      </c>
      <c r="C139" s="0" t="n">
        <v>0</v>
      </c>
      <c r="D139" s="0" t="n">
        <v>3000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</row>
    <row r="140" customFormat="false" ht="15.75" hidden="false" customHeight="true" outlineLevel="0" collapsed="false">
      <c r="A140" s="0" t="s">
        <v>138</v>
      </c>
      <c r="B140" s="0" t="n">
        <v>0</v>
      </c>
      <c r="C140" s="0" t="n">
        <v>0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</row>
    <row r="141" customFormat="false" ht="15.75" hidden="false" customHeight="true" outlineLevel="0" collapsed="false">
      <c r="A141" s="0" t="s">
        <v>139</v>
      </c>
      <c r="B141" s="0" t="n">
        <v>7743380</v>
      </c>
      <c r="C141" s="0" t="n">
        <v>10950974</v>
      </c>
      <c r="D141" s="0" t="n">
        <v>10425213</v>
      </c>
      <c r="E141" s="0" t="n">
        <v>12275557</v>
      </c>
      <c r="F141" s="0" t="n">
        <v>6553860</v>
      </c>
      <c r="G141" s="0" t="n">
        <v>3605154</v>
      </c>
      <c r="H141" s="0" t="n">
        <v>3163637</v>
      </c>
      <c r="I141" s="0" t="n">
        <v>3849711</v>
      </c>
      <c r="J141" s="0" t="n">
        <v>1639864</v>
      </c>
      <c r="K141" s="0" t="n">
        <v>1782237</v>
      </c>
    </row>
    <row r="142" customFormat="false" ht="15.75" hidden="false" customHeight="true" outlineLevel="0" collapsed="false">
      <c r="A142" s="0" t="s">
        <v>140</v>
      </c>
      <c r="B142" s="0" t="n">
        <v>0</v>
      </c>
      <c r="C142" s="0" t="n">
        <v>0</v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</row>
    <row r="143" customFormat="false" ht="15.75" hidden="false" customHeight="true" outlineLevel="0" collapsed="false">
      <c r="A143" s="0" t="s">
        <v>141</v>
      </c>
      <c r="B143" s="0" t="n">
        <v>0</v>
      </c>
      <c r="C143" s="0" t="n">
        <v>0</v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</row>
    <row r="144" customFormat="false" ht="15.75" hidden="false" customHeight="true" outlineLevel="0" collapsed="false">
      <c r="A144" s="0" t="s">
        <v>142</v>
      </c>
      <c r="B144" s="0" t="n">
        <v>0</v>
      </c>
      <c r="C144" s="0" t="n">
        <v>0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</row>
    <row r="145" customFormat="false" ht="15.75" hidden="false" customHeight="true" outlineLevel="0" collapsed="false">
      <c r="A145" s="0" t="s">
        <v>143</v>
      </c>
      <c r="B145" s="0" t="n">
        <v>0</v>
      </c>
      <c r="C145" s="0" t="n">
        <v>0</v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</row>
    <row r="146" customFormat="false" ht="15.75" hidden="false" customHeight="true" outlineLevel="0" collapsed="false">
      <c r="A146" s="0" t="s">
        <v>144</v>
      </c>
      <c r="B146" s="0" t="n">
        <v>0</v>
      </c>
      <c r="C146" s="0" t="n">
        <v>0</v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</row>
    <row r="147" customFormat="false" ht="15.75" hidden="false" customHeight="true" outlineLevel="0" collapsed="false">
      <c r="A147" s="0" t="s">
        <v>145</v>
      </c>
      <c r="B147" s="0" t="n">
        <v>0</v>
      </c>
      <c r="C147" s="0" t="n">
        <v>0</v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</row>
    <row r="148" customFormat="false" ht="15.75" hidden="false" customHeight="true" outlineLevel="0" collapsed="false">
      <c r="A148" s="0" t="s">
        <v>146</v>
      </c>
      <c r="B148" s="0" t="n">
        <v>0</v>
      </c>
      <c r="C148" s="0" t="n">
        <v>0</v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</row>
    <row r="149" customFormat="false" ht="15.75" hidden="false" customHeight="true" outlineLevel="0" collapsed="false">
      <c r="A149" s="0" t="s">
        <v>147</v>
      </c>
      <c r="B149" s="0" t="n">
        <v>0</v>
      </c>
      <c r="C149" s="0" t="n">
        <v>0</v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</row>
    <row r="150" customFormat="false" ht="15.75" hidden="false" customHeight="true" outlineLevel="0" collapsed="false">
      <c r="A150" s="0" t="s">
        <v>148</v>
      </c>
      <c r="B150" s="0" t="n">
        <v>0</v>
      </c>
      <c r="C150" s="0" t="n">
        <v>0</v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</row>
    <row r="151" customFormat="false" ht="15.75" hidden="false" customHeight="true" outlineLevel="0" collapsed="false">
      <c r="A151" s="0" t="s">
        <v>149</v>
      </c>
      <c r="B151" s="0" t="n">
        <v>0</v>
      </c>
      <c r="C151" s="0" t="n">
        <v>0</v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</row>
    <row r="152" customFormat="false" ht="15.75" hidden="false" customHeight="true" outlineLevel="0" collapsed="false">
      <c r="A152" s="0" t="s">
        <v>150</v>
      </c>
      <c r="B152" s="0" t="n">
        <v>0</v>
      </c>
      <c r="C152" s="0" t="n">
        <v>0</v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</row>
    <row r="153" customFormat="false" ht="15.75" hidden="false" customHeight="true" outlineLevel="0" collapsed="false">
      <c r="A153" s="0" t="s">
        <v>151</v>
      </c>
      <c r="B153" s="0" t="n">
        <v>109694</v>
      </c>
      <c r="C153" s="0" t="n">
        <v>186901</v>
      </c>
      <c r="D153" s="0" t="n">
        <v>87711</v>
      </c>
      <c r="E153" s="0" t="n">
        <v>42380</v>
      </c>
      <c r="F153" s="0" t="n">
        <v>215975</v>
      </c>
      <c r="G153" s="0" t="n">
        <v>120156</v>
      </c>
      <c r="H153" s="0" t="n">
        <v>85218</v>
      </c>
      <c r="I153" s="0" t="n">
        <v>52646</v>
      </c>
      <c r="J153" s="0" t="n">
        <v>47230</v>
      </c>
      <c r="K153" s="0" t="n">
        <v>200920</v>
      </c>
    </row>
    <row r="154" customFormat="false" ht="15.75" hidden="false" customHeight="true" outlineLevel="0" collapsed="false">
      <c r="A154" s="0" t="s">
        <v>152</v>
      </c>
      <c r="B154" s="0" t="n">
        <v>0</v>
      </c>
      <c r="C154" s="0" t="n">
        <v>0</v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</row>
    <row r="155" customFormat="false" ht="15.75" hidden="false" customHeight="true" outlineLevel="0" collapsed="false">
      <c r="A155" s="0" t="s">
        <v>153</v>
      </c>
      <c r="B155" s="0" t="n">
        <v>132705</v>
      </c>
      <c r="C155" s="0" t="n">
        <v>106096</v>
      </c>
      <c r="D155" s="0" t="n">
        <v>96954</v>
      </c>
      <c r="E155" s="0" t="n">
        <v>79220</v>
      </c>
      <c r="F155" s="0" t="n">
        <v>138421</v>
      </c>
      <c r="G155" s="0" t="n">
        <v>148230</v>
      </c>
      <c r="H155" s="0" t="n">
        <v>123454</v>
      </c>
      <c r="I155" s="0" t="n">
        <v>85742</v>
      </c>
      <c r="J155" s="0" t="n">
        <v>81196</v>
      </c>
      <c r="K155" s="0" t="n">
        <v>68478</v>
      </c>
    </row>
    <row r="156" customFormat="false" ht="15.75" hidden="false" customHeight="true" outlineLevel="0" collapsed="false">
      <c r="A156" s="0" t="s">
        <v>154</v>
      </c>
      <c r="B156" s="0" t="n">
        <v>0</v>
      </c>
      <c r="C156" s="0" t="n">
        <v>0</v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</row>
    <row r="157" customFormat="false" ht="15.75" hidden="false" customHeight="true" outlineLevel="0" collapsed="false">
      <c r="A157" s="0" t="s">
        <v>155</v>
      </c>
      <c r="B157" s="0" t="n">
        <v>274259</v>
      </c>
      <c r="C157" s="0" t="n">
        <v>374190</v>
      </c>
      <c r="D157" s="0" t="n">
        <v>165926</v>
      </c>
      <c r="E157" s="0" t="n">
        <v>2320885</v>
      </c>
      <c r="F157" s="0" t="n">
        <v>2357371</v>
      </c>
      <c r="G157" s="0" t="n">
        <v>273209</v>
      </c>
      <c r="H157" s="0" t="n">
        <v>241194</v>
      </c>
      <c r="I157" s="0" t="n">
        <v>194436</v>
      </c>
      <c r="J157" s="0" t="n">
        <v>108480</v>
      </c>
      <c r="K157" s="0" t="n">
        <v>110969</v>
      </c>
    </row>
    <row r="158" customFormat="false" ht="15.75" hidden="false" customHeight="true" outlineLevel="0" collapsed="false">
      <c r="A158" s="0" t="s">
        <v>156</v>
      </c>
      <c r="B158" s="0" t="n">
        <v>0</v>
      </c>
      <c r="C158" s="0" t="n">
        <v>0</v>
      </c>
      <c r="D158" s="0" t="n">
        <v>0</v>
      </c>
      <c r="E158" s="0" t="n">
        <v>15000</v>
      </c>
      <c r="F158" s="0" t="n">
        <v>0</v>
      </c>
      <c r="G158" s="0" t="n">
        <v>0</v>
      </c>
      <c r="H158" s="0" t="n">
        <v>0</v>
      </c>
      <c r="I158" s="0" t="n">
        <v>13200</v>
      </c>
      <c r="J158" s="0" t="n">
        <v>13200</v>
      </c>
      <c r="K158" s="0" t="n">
        <v>13200</v>
      </c>
    </row>
    <row r="159" customFormat="false" ht="15.75" hidden="false" customHeight="true" outlineLevel="0" collapsed="false">
      <c r="A159" s="0" t="s">
        <v>157</v>
      </c>
      <c r="B159" s="0" t="n">
        <v>16672665</v>
      </c>
      <c r="C159" s="0" t="n">
        <v>19749163</v>
      </c>
      <c r="D159" s="0" t="n">
        <v>18647144</v>
      </c>
      <c r="E159" s="0" t="n">
        <v>20776531</v>
      </c>
      <c r="F159" s="0" t="n">
        <v>17983167</v>
      </c>
      <c r="G159" s="0" t="n">
        <v>18079826</v>
      </c>
      <c r="H159" s="0" t="n">
        <v>13971430</v>
      </c>
      <c r="I159" s="0" t="n">
        <v>12607046</v>
      </c>
      <c r="J159" s="0" t="n">
        <v>8165026</v>
      </c>
      <c r="K159" s="0" t="n">
        <v>5131842</v>
      </c>
    </row>
    <row r="160" customFormat="false" ht="15.75" hidden="false" customHeight="true" outlineLevel="0" collapsed="false">
      <c r="A160" s="0" t="s">
        <v>158</v>
      </c>
      <c r="B160" s="0" t="n">
        <v>20902923</v>
      </c>
      <c r="C160" s="0" t="n">
        <v>21942071</v>
      </c>
      <c r="D160" s="0" t="n">
        <v>22311303</v>
      </c>
      <c r="E160" s="0" t="n">
        <v>18442687</v>
      </c>
      <c r="F160" s="0" t="n">
        <v>3273458</v>
      </c>
      <c r="G160" s="0" t="n">
        <v>11654549</v>
      </c>
      <c r="H160" s="0" t="n">
        <v>10780240</v>
      </c>
      <c r="I160" s="0" t="n">
        <v>6314555</v>
      </c>
      <c r="J160" s="0" t="n">
        <v>1020648</v>
      </c>
      <c r="K160" s="0" t="n">
        <v>685066</v>
      </c>
    </row>
    <row r="161" customFormat="false" ht="15.75" hidden="false" customHeight="true" outlineLevel="0" collapsed="false">
      <c r="A161" s="0" t="s">
        <v>159</v>
      </c>
      <c r="B161" s="0" t="n">
        <v>16672665</v>
      </c>
      <c r="C161" s="0" t="n">
        <v>19749163</v>
      </c>
      <c r="D161" s="0" t="n">
        <v>18647144</v>
      </c>
      <c r="E161" s="0" t="n">
        <v>20776531</v>
      </c>
      <c r="F161" s="0" t="n">
        <v>17983167</v>
      </c>
      <c r="G161" s="0" t="n">
        <v>18079826</v>
      </c>
      <c r="H161" s="0" t="n">
        <v>13971430</v>
      </c>
      <c r="I161" s="0" t="n">
        <v>12607046</v>
      </c>
      <c r="J161" s="0" t="n">
        <v>8165026</v>
      </c>
      <c r="K161" s="0" t="n">
        <v>5131842</v>
      </c>
    </row>
    <row r="162" customFormat="false" ht="15.75" hidden="false" customHeight="true" outlineLevel="0" collapsed="false">
      <c r="A162" s="0" t="s">
        <v>160</v>
      </c>
      <c r="B162" s="0" t="n">
        <v>20902923</v>
      </c>
      <c r="C162" s="0" t="n">
        <v>21942071</v>
      </c>
      <c r="D162" s="0" t="n">
        <v>22311303</v>
      </c>
      <c r="E162" s="0" t="n">
        <v>18442687</v>
      </c>
      <c r="F162" s="0" t="n">
        <v>3273458</v>
      </c>
      <c r="G162" s="0" t="n">
        <v>11654549</v>
      </c>
      <c r="H162" s="0" t="n">
        <v>10780240</v>
      </c>
      <c r="I162" s="0" t="n">
        <v>6314555</v>
      </c>
      <c r="J162" s="0" t="n">
        <v>1020648</v>
      </c>
      <c r="K162" s="0" t="n">
        <v>685066</v>
      </c>
    </row>
    <row r="163" customFormat="false" ht="15.75" hidden="false" customHeight="true" outlineLevel="0" collapsed="false">
      <c r="A163" s="0" t="s">
        <v>161</v>
      </c>
      <c r="B163" s="0" t="n">
        <v>17462210</v>
      </c>
      <c r="C163" s="0" t="n">
        <v>11214467</v>
      </c>
      <c r="D163" s="0" t="n">
        <v>9289397</v>
      </c>
      <c r="E163" s="0" t="n">
        <v>3263189</v>
      </c>
      <c r="F163" s="0" t="n">
        <v>209117</v>
      </c>
      <c r="G163" s="0" t="n">
        <v>719958</v>
      </c>
      <c r="H163" s="0" t="n">
        <v>811753</v>
      </c>
      <c r="I163" s="0" t="n">
        <v>675706</v>
      </c>
      <c r="J163" s="0" t="n">
        <v>624068</v>
      </c>
      <c r="K163" s="0" t="n">
        <v>639448</v>
      </c>
    </row>
    <row r="164" customFormat="false" ht="15.75" hidden="false" customHeight="true" outlineLevel="0" collapsed="false">
      <c r="A164" s="0" t="s">
        <v>162</v>
      </c>
      <c r="B164" s="0" t="n">
        <v>0</v>
      </c>
      <c r="C164" s="0" t="n">
        <v>0</v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</row>
    <row r="165" customFormat="false" ht="15.75" hidden="false" customHeight="true" outlineLevel="0" collapsed="false">
      <c r="A165" s="0" t="s">
        <v>163</v>
      </c>
      <c r="B165" s="0" t="n">
        <v>61444796</v>
      </c>
      <c r="C165" s="0" t="n">
        <v>57479670</v>
      </c>
      <c r="D165" s="0" t="n">
        <v>54459629</v>
      </c>
      <c r="E165" s="0" t="n">
        <v>46499023</v>
      </c>
      <c r="F165" s="0" t="n">
        <v>25796860</v>
      </c>
      <c r="G165" s="0" t="n">
        <v>32406360</v>
      </c>
      <c r="H165" s="0" t="n">
        <v>29137944</v>
      </c>
      <c r="I165" s="0" t="n">
        <v>22497059</v>
      </c>
      <c r="J165" s="0" t="n">
        <v>12351601</v>
      </c>
      <c r="K165" s="0" t="n">
        <v>8477049</v>
      </c>
    </row>
    <row r="166" customFormat="false" ht="15.75" hidden="false" customHeight="true" outlineLevel="0" collapsed="false">
      <c r="A166" s="0" t="s">
        <v>164</v>
      </c>
      <c r="B166" s="0" t="n">
        <v>0</v>
      </c>
      <c r="C166" s="0" t="n">
        <v>0</v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9225802</v>
      </c>
    </row>
    <row r="167" customFormat="false" ht="15.75" hidden="false" customHeight="true" outlineLevel="0" collapsed="false">
      <c r="A167" s="0" t="s">
        <v>165</v>
      </c>
    </row>
    <row r="168" customFormat="false" ht="15.75" hidden="false" customHeight="true" outlineLevel="0" collapsed="false">
      <c r="A168" s="0" t="s">
        <v>166</v>
      </c>
      <c r="B168" s="0" t="n">
        <v>35210191</v>
      </c>
      <c r="C168" s="0" t="n">
        <v>30350500</v>
      </c>
      <c r="D168" s="0" t="n">
        <v>23730772</v>
      </c>
      <c r="E168" s="0" t="n">
        <v>15873328</v>
      </c>
      <c r="F168" s="0" t="n">
        <v>40163778</v>
      </c>
      <c r="G168" s="0" t="n">
        <v>25427814</v>
      </c>
      <c r="H168" s="0" t="n">
        <v>22261836</v>
      </c>
      <c r="I168" s="0" t="n">
        <v>18667380</v>
      </c>
      <c r="J168" s="0" t="n">
        <v>17438353</v>
      </c>
      <c r="K168" s="0" t="n">
        <v>16262123</v>
      </c>
    </row>
    <row r="169" customFormat="false" ht="15.75" hidden="false" customHeight="true" outlineLevel="0" collapsed="false">
      <c r="A169" s="0" t="s">
        <v>167</v>
      </c>
      <c r="B169" s="0" t="n">
        <v>32585062</v>
      </c>
      <c r="C169" s="0" t="n">
        <v>26767063</v>
      </c>
      <c r="D169" s="0" t="n">
        <v>18081645</v>
      </c>
      <c r="E169" s="0" t="n">
        <v>15346003</v>
      </c>
      <c r="F169" s="0" t="n">
        <v>15507994</v>
      </c>
      <c r="G169" s="0" t="n">
        <v>23272142</v>
      </c>
      <c r="H169" s="0" t="n">
        <v>20034817</v>
      </c>
      <c r="I169" s="0" t="n">
        <v>17515574</v>
      </c>
      <c r="J169" s="0" t="n">
        <v>17142886</v>
      </c>
      <c r="K169" s="0" t="n">
        <v>16626265</v>
      </c>
    </row>
    <row r="170" customFormat="false" ht="15.75" hidden="false" customHeight="true" outlineLevel="0" collapsed="false">
      <c r="A170" s="0" t="s">
        <v>168</v>
      </c>
      <c r="B170" s="0" t="n">
        <v>844675</v>
      </c>
      <c r="C170" s="0" t="n">
        <v>2437461</v>
      </c>
      <c r="D170" s="0" t="n">
        <v>4370611</v>
      </c>
      <c r="E170" s="0" t="n">
        <v>-162763</v>
      </c>
      <c r="F170" s="0" t="n">
        <v>-5512230</v>
      </c>
      <c r="G170" s="0" t="n">
        <v>1936152</v>
      </c>
      <c r="H170" s="0" t="n">
        <v>1710320</v>
      </c>
      <c r="I170" s="0" t="n">
        <v>839363</v>
      </c>
      <c r="J170" s="0" t="n">
        <v>79504</v>
      </c>
      <c r="K170" s="0" t="n">
        <v>-557027</v>
      </c>
    </row>
    <row r="171" customFormat="false" ht="15.75" hidden="false" customHeight="true" outlineLevel="0" collapsed="false">
      <c r="A171" s="0" t="s">
        <v>169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</row>
    <row r="172" customFormat="false" ht="15.75" hidden="false" customHeight="true" outlineLevel="0" collapsed="false">
      <c r="A172" s="0" t="s">
        <v>170</v>
      </c>
      <c r="B172" s="0" t="n">
        <v>844675</v>
      </c>
      <c r="C172" s="0" t="n">
        <v>2437461</v>
      </c>
      <c r="D172" s="0" t="n">
        <v>4370611</v>
      </c>
      <c r="E172" s="0" t="n">
        <v>-162763</v>
      </c>
      <c r="F172" s="0" t="n">
        <v>-5512230</v>
      </c>
      <c r="G172" s="0" t="n">
        <v>1936152</v>
      </c>
      <c r="H172" s="0" t="n">
        <v>1710320</v>
      </c>
      <c r="I172" s="0" t="n">
        <v>839363</v>
      </c>
      <c r="J172" s="0" t="n">
        <v>79504</v>
      </c>
      <c r="K172" s="0" t="n">
        <v>-557027</v>
      </c>
    </row>
    <row r="173" customFormat="false" ht="15.75" hidden="false" customHeight="true" outlineLevel="0" collapsed="false">
      <c r="A173" s="0" t="s">
        <v>171</v>
      </c>
      <c r="B173" s="0" t="n">
        <v>0</v>
      </c>
      <c r="C173" s="0" t="n">
        <v>0</v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</row>
    <row r="174" customFormat="false" ht="15.75" hidden="false" customHeight="true" outlineLevel="0" collapsed="false">
      <c r="A174" s="0" t="s">
        <v>172</v>
      </c>
      <c r="B174" s="0" t="n">
        <v>1780454</v>
      </c>
      <c r="C174" s="0" t="n">
        <v>1145976</v>
      </c>
      <c r="D174" s="0" t="n">
        <v>1278516</v>
      </c>
      <c r="E174" s="0" t="n">
        <v>690088</v>
      </c>
      <c r="F174" s="0" t="n">
        <v>30168014</v>
      </c>
      <c r="G174" s="0" t="n">
        <v>219520</v>
      </c>
      <c r="H174" s="0" t="n">
        <v>516699</v>
      </c>
      <c r="I174" s="0" t="n">
        <v>312443</v>
      </c>
      <c r="J174" s="0" t="n">
        <v>215963</v>
      </c>
      <c r="K174" s="0" t="n">
        <v>192885</v>
      </c>
    </row>
    <row r="175" customFormat="false" ht="15.75" hidden="false" customHeight="true" outlineLevel="0" collapsed="false">
      <c r="A175" s="0" t="s">
        <v>173</v>
      </c>
      <c r="B175" s="0" t="n">
        <v>1683351</v>
      </c>
      <c r="C175" s="0" t="n">
        <v>1049271</v>
      </c>
      <c r="D175" s="0" t="n">
        <v>1089418</v>
      </c>
      <c r="E175" s="0" t="n">
        <v>75220</v>
      </c>
      <c r="F175" s="0" t="n">
        <v>109507</v>
      </c>
      <c r="G175" s="0" t="n">
        <v>59575</v>
      </c>
      <c r="H175" s="0" t="n">
        <v>168492</v>
      </c>
      <c r="I175" s="0" t="n">
        <v>4340</v>
      </c>
      <c r="J175" s="0" t="n">
        <v>4135</v>
      </c>
      <c r="K175" s="0" t="n">
        <v>4620</v>
      </c>
    </row>
    <row r="176" customFormat="false" ht="15.75" hidden="false" customHeight="true" outlineLevel="0" collapsed="false">
      <c r="A176" s="0" t="s">
        <v>174</v>
      </c>
      <c r="B176" s="0" t="n">
        <v>32959244</v>
      </c>
      <c r="C176" s="0" t="n">
        <v>28484378</v>
      </c>
      <c r="D176" s="0" t="n">
        <v>22695949</v>
      </c>
      <c r="E176" s="0" t="n">
        <v>16067712</v>
      </c>
      <c r="F176" s="0" t="n">
        <v>37233541</v>
      </c>
      <c r="G176" s="0" t="n">
        <v>26878787</v>
      </c>
      <c r="H176" s="0" t="n">
        <v>21415299</v>
      </c>
      <c r="I176" s="0" t="n">
        <v>18106680</v>
      </c>
      <c r="J176" s="0" t="n">
        <v>16655408</v>
      </c>
      <c r="K176" s="0" t="n">
        <v>15328758</v>
      </c>
    </row>
    <row r="177" customFormat="false" ht="15.75" hidden="false" customHeight="true" outlineLevel="0" collapsed="false">
      <c r="A177" s="0" t="s">
        <v>175</v>
      </c>
      <c r="B177" s="0" t="n">
        <v>22885536</v>
      </c>
      <c r="C177" s="0" t="n">
        <v>20757477</v>
      </c>
      <c r="D177" s="0" t="n">
        <v>16050120</v>
      </c>
      <c r="E177" s="0" t="n">
        <v>12465684</v>
      </c>
      <c r="F177" s="0" t="n">
        <v>13280397</v>
      </c>
      <c r="G177" s="0" t="n">
        <v>16932090</v>
      </c>
      <c r="H177" s="0" t="n">
        <v>13993125</v>
      </c>
      <c r="I177" s="0" t="n">
        <v>12334028</v>
      </c>
      <c r="J177" s="0" t="n">
        <v>11490154</v>
      </c>
      <c r="K177" s="0" t="n">
        <v>10631340</v>
      </c>
    </row>
    <row r="178" customFormat="false" ht="15.75" hidden="false" customHeight="true" outlineLevel="0" collapsed="false">
      <c r="A178" s="0" t="s">
        <v>176</v>
      </c>
      <c r="B178" s="0" t="n">
        <v>4713095</v>
      </c>
      <c r="C178" s="0" t="n">
        <v>3451674</v>
      </c>
      <c r="D178" s="0" t="n">
        <v>3669246</v>
      </c>
      <c r="E178" s="0" t="n">
        <v>2062948</v>
      </c>
      <c r="F178" s="0" t="n">
        <v>3145307</v>
      </c>
      <c r="G178" s="0" t="n">
        <v>4161603</v>
      </c>
      <c r="H178" s="0" t="n">
        <v>3117431</v>
      </c>
      <c r="I178" s="0" t="n">
        <v>2564870</v>
      </c>
      <c r="J178" s="0" t="n">
        <v>2315205</v>
      </c>
      <c r="K178" s="0" t="n">
        <v>2075877</v>
      </c>
    </row>
    <row r="179" customFormat="false" ht="15.75" hidden="false" customHeight="true" outlineLevel="0" collapsed="false">
      <c r="A179" s="0" t="s">
        <v>177</v>
      </c>
      <c r="B179" s="0" t="n">
        <v>64351</v>
      </c>
      <c r="C179" s="0" t="n">
        <v>70254</v>
      </c>
      <c r="D179" s="0" t="n">
        <v>70413</v>
      </c>
      <c r="E179" s="0" t="n">
        <v>169510</v>
      </c>
      <c r="F179" s="0" t="n">
        <v>504258</v>
      </c>
      <c r="G179" s="0" t="n">
        <v>807162</v>
      </c>
      <c r="H179" s="0" t="n">
        <v>758512</v>
      </c>
      <c r="I179" s="0" t="n">
        <v>565272</v>
      </c>
      <c r="J179" s="0" t="n">
        <v>617112</v>
      </c>
      <c r="K179" s="0" t="n">
        <v>672603</v>
      </c>
    </row>
    <row r="180" customFormat="false" ht="15.75" hidden="false" customHeight="true" outlineLevel="0" collapsed="false">
      <c r="A180" s="0" t="s">
        <v>178</v>
      </c>
      <c r="B180" s="0" t="n">
        <v>2681925</v>
      </c>
      <c r="C180" s="0" t="n">
        <v>2131577</v>
      </c>
      <c r="D180" s="0" t="n">
        <v>1951241</v>
      </c>
      <c r="E180" s="0" t="n">
        <v>1243643</v>
      </c>
      <c r="F180" s="0" t="n">
        <v>1919876</v>
      </c>
      <c r="G180" s="0" t="n">
        <v>3220370</v>
      </c>
      <c r="H180" s="0" t="n">
        <v>2559233</v>
      </c>
      <c r="I180" s="0" t="n">
        <v>1993525</v>
      </c>
      <c r="J180" s="0" t="n">
        <v>1661107</v>
      </c>
      <c r="K180" s="0" t="n">
        <v>1550056</v>
      </c>
    </row>
    <row r="181" customFormat="false" ht="15.75" hidden="false" customHeight="true" outlineLevel="0" collapsed="false">
      <c r="A181" s="0" t="s">
        <v>179</v>
      </c>
      <c r="B181" s="0" t="n">
        <v>1881492</v>
      </c>
      <c r="C181" s="0" t="n">
        <v>1503132</v>
      </c>
      <c r="D181" s="0" t="n">
        <v>1379874</v>
      </c>
      <c r="E181" s="0" t="n">
        <v>866147</v>
      </c>
      <c r="F181" s="0" t="n">
        <v>1352530</v>
      </c>
      <c r="G181" s="0" t="n">
        <v>2300130</v>
      </c>
      <c r="H181" s="0" t="n">
        <v>1832741</v>
      </c>
      <c r="I181" s="0" t="n">
        <v>1469154</v>
      </c>
      <c r="J181" s="0" t="n">
        <v>1223325</v>
      </c>
      <c r="K181" s="0" t="n">
        <v>1130894</v>
      </c>
    </row>
    <row r="182" customFormat="false" ht="15.75" hidden="false" customHeight="true" outlineLevel="0" collapsed="false">
      <c r="A182" s="0" t="s">
        <v>180</v>
      </c>
      <c r="B182" s="0" t="n">
        <v>660826</v>
      </c>
      <c r="C182" s="0" t="n">
        <v>518619</v>
      </c>
      <c r="D182" s="0" t="n">
        <v>451486</v>
      </c>
      <c r="E182" s="0" t="n">
        <v>286405</v>
      </c>
      <c r="F182" s="0" t="n">
        <v>446164</v>
      </c>
      <c r="G182" s="0" t="n">
        <v>766756</v>
      </c>
      <c r="H182" s="0" t="n">
        <v>594069</v>
      </c>
      <c r="I182" s="0" t="n">
        <v>415845</v>
      </c>
      <c r="J182" s="0" t="n">
        <v>351719</v>
      </c>
      <c r="K182" s="0" t="n">
        <v>337413</v>
      </c>
    </row>
    <row r="183" customFormat="false" ht="15.75" hidden="false" customHeight="true" outlineLevel="0" collapsed="false">
      <c r="A183" s="0" t="s">
        <v>181</v>
      </c>
      <c r="B183" s="0" t="n">
        <v>135821</v>
      </c>
      <c r="C183" s="0" t="n">
        <v>107849</v>
      </c>
      <c r="D183" s="0" t="n">
        <v>118695</v>
      </c>
      <c r="E183" s="0" t="n">
        <v>90079</v>
      </c>
      <c r="F183" s="0" t="n">
        <v>119927</v>
      </c>
      <c r="G183" s="0" t="n">
        <v>146654</v>
      </c>
      <c r="H183" s="0" t="n">
        <v>119002</v>
      </c>
      <c r="I183" s="0" t="n">
        <v>94811</v>
      </c>
      <c r="J183" s="0" t="n">
        <v>75862</v>
      </c>
      <c r="K183" s="0" t="n">
        <v>73929</v>
      </c>
    </row>
    <row r="184" customFormat="false" ht="15.75" hidden="false" customHeight="true" outlineLevel="0" collapsed="false">
      <c r="A184" s="0" t="s">
        <v>182</v>
      </c>
      <c r="B184" s="0" t="n">
        <v>0</v>
      </c>
      <c r="C184" s="0" t="n">
        <v>0</v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10680</v>
      </c>
      <c r="I184" s="0" t="n">
        <v>12044</v>
      </c>
      <c r="J184" s="0" t="n">
        <v>7753</v>
      </c>
      <c r="K184" s="0" t="n">
        <v>7820</v>
      </c>
    </row>
    <row r="185" customFormat="false" ht="15.75" hidden="false" customHeight="true" outlineLevel="0" collapsed="false">
      <c r="A185" s="0" t="s">
        <v>183</v>
      </c>
      <c r="B185" s="0" t="n">
        <v>3786</v>
      </c>
      <c r="C185" s="0" t="n">
        <v>1977</v>
      </c>
      <c r="D185" s="0" t="n">
        <v>1186</v>
      </c>
      <c r="E185" s="0" t="n">
        <v>1012</v>
      </c>
      <c r="F185" s="0" t="n">
        <v>1255</v>
      </c>
      <c r="G185" s="0" t="n">
        <v>6830</v>
      </c>
      <c r="H185" s="0" t="n">
        <v>2741</v>
      </c>
      <c r="I185" s="0" t="n">
        <v>1671</v>
      </c>
      <c r="J185" s="0" t="n">
        <v>2448</v>
      </c>
      <c r="K185" s="0" t="n">
        <v>0</v>
      </c>
    </row>
    <row r="186" customFormat="false" ht="15.75" hidden="false" customHeight="true" outlineLevel="0" collapsed="false">
      <c r="A186" s="0" t="s">
        <v>184</v>
      </c>
      <c r="B186" s="0" t="n">
        <v>139607</v>
      </c>
      <c r="C186" s="0" t="n">
        <v>109826</v>
      </c>
      <c r="D186" s="0" t="n">
        <v>119881</v>
      </c>
      <c r="E186" s="0" t="n">
        <v>91091</v>
      </c>
      <c r="F186" s="0" t="n">
        <v>121182</v>
      </c>
      <c r="G186" s="0" t="n">
        <v>153484</v>
      </c>
      <c r="H186" s="0" t="n">
        <v>132423</v>
      </c>
      <c r="I186" s="0" t="n">
        <v>108526</v>
      </c>
      <c r="J186" s="0" t="n">
        <v>86063</v>
      </c>
      <c r="K186" s="0" t="n">
        <v>81749</v>
      </c>
    </row>
    <row r="187" customFormat="false" ht="15.75" hidden="false" customHeight="true" outlineLevel="0" collapsed="false">
      <c r="A187" s="0" t="s">
        <v>185</v>
      </c>
      <c r="B187" s="0" t="n">
        <v>2248638</v>
      </c>
      <c r="C187" s="0" t="n">
        <v>1814814</v>
      </c>
      <c r="D187" s="0" t="n">
        <v>1196816</v>
      </c>
      <c r="E187" s="0" t="n">
        <v>24929</v>
      </c>
      <c r="F187" s="0" t="n">
        <v>449770</v>
      </c>
      <c r="G187" s="0" t="n">
        <v>1372318</v>
      </c>
      <c r="H187" s="0" t="n">
        <v>864963</v>
      </c>
      <c r="I187" s="0" t="n">
        <v>503080</v>
      </c>
      <c r="J187" s="0" t="n">
        <v>446090</v>
      </c>
      <c r="K187" s="0" t="n">
        <v>300110</v>
      </c>
    </row>
    <row r="188" customFormat="false" ht="15.75" hidden="false" customHeight="true" outlineLevel="0" collapsed="false">
      <c r="A188" s="0" t="s">
        <v>186</v>
      </c>
      <c r="B188" s="0" t="n">
        <v>13245</v>
      </c>
      <c r="C188" s="0" t="n">
        <v>12582</v>
      </c>
      <c r="D188" s="0" t="n">
        <v>21120</v>
      </c>
      <c r="E188" s="0" t="n">
        <v>0</v>
      </c>
      <c r="F188" s="0" t="n">
        <v>32340</v>
      </c>
      <c r="G188" s="0" t="n">
        <v>71332</v>
      </c>
      <c r="H188" s="0" t="n">
        <v>54260</v>
      </c>
      <c r="I188" s="0" t="n">
        <v>49539</v>
      </c>
      <c r="J188" s="0" t="n">
        <v>64927</v>
      </c>
      <c r="K188" s="0" t="n">
        <v>71192</v>
      </c>
    </row>
    <row r="189" customFormat="false" ht="15.75" hidden="false" customHeight="true" outlineLevel="0" collapsed="false">
      <c r="A189" s="0" t="s">
        <v>187</v>
      </c>
      <c r="B189" s="0" t="n">
        <v>2235393</v>
      </c>
      <c r="C189" s="0" t="n">
        <v>1802232</v>
      </c>
      <c r="D189" s="0" t="n">
        <v>1162588</v>
      </c>
      <c r="E189" s="0" t="n">
        <v>0</v>
      </c>
      <c r="F189" s="0" t="n">
        <v>370221</v>
      </c>
      <c r="G189" s="0" t="n">
        <v>1251267</v>
      </c>
      <c r="H189" s="0" t="n">
        <v>777964</v>
      </c>
      <c r="I189" s="0" t="n">
        <v>411531</v>
      </c>
      <c r="J189" s="0" t="n">
        <v>283393</v>
      </c>
      <c r="K189" s="0" t="n">
        <v>162292</v>
      </c>
    </row>
    <row r="190" customFormat="false" ht="15.75" hidden="false" customHeight="true" outlineLevel="0" collapsed="false">
      <c r="A190" s="0" t="s">
        <v>188</v>
      </c>
      <c r="B190" s="0" t="n">
        <v>0</v>
      </c>
      <c r="C190" s="0" t="n">
        <v>0</v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</row>
    <row r="191" customFormat="false" ht="15.75" hidden="false" customHeight="true" outlineLevel="0" collapsed="false">
      <c r="A191" s="0" t="s">
        <v>189</v>
      </c>
      <c r="B191" s="0" t="n">
        <v>2248638</v>
      </c>
      <c r="C191" s="0" t="n">
        <v>1814814</v>
      </c>
      <c r="D191" s="0" t="n">
        <v>1183708</v>
      </c>
      <c r="E191" s="0" t="n">
        <v>0</v>
      </c>
      <c r="F191" s="0" t="n">
        <v>402561</v>
      </c>
      <c r="G191" s="0" t="n">
        <v>1322599</v>
      </c>
      <c r="H191" s="0" t="n">
        <v>832224</v>
      </c>
      <c r="I191" s="0" t="n">
        <v>461070</v>
      </c>
      <c r="J191" s="0" t="n">
        <v>348320</v>
      </c>
      <c r="K191" s="0" t="n">
        <v>233484</v>
      </c>
    </row>
    <row r="192" customFormat="false" ht="15.75" hidden="false" customHeight="true" outlineLevel="0" collapsed="false">
      <c r="A192" s="0" t="s">
        <v>190</v>
      </c>
      <c r="B192" s="0" t="n">
        <v>0</v>
      </c>
      <c r="C192" s="0" t="n">
        <v>0</v>
      </c>
      <c r="D192" s="0" t="n">
        <v>13108</v>
      </c>
      <c r="E192" s="0" t="n">
        <v>24929</v>
      </c>
      <c r="F192" s="0" t="n">
        <v>47209</v>
      </c>
      <c r="G192" s="0" t="n">
        <v>49719</v>
      </c>
      <c r="H192" s="0" t="n">
        <v>32739</v>
      </c>
      <c r="I192" s="0" t="n">
        <v>42010</v>
      </c>
      <c r="J192" s="0" t="n">
        <v>97770</v>
      </c>
      <c r="K192" s="0" t="n">
        <v>66626</v>
      </c>
    </row>
    <row r="193" customFormat="false" ht="15.75" hidden="false" customHeight="true" outlineLevel="0" collapsed="false">
      <c r="A193" s="0" t="s">
        <v>191</v>
      </c>
      <c r="B193" s="0" t="n">
        <v>46126</v>
      </c>
      <c r="C193" s="0" t="n">
        <v>7412</v>
      </c>
      <c r="D193" s="0" t="n">
        <v>-469309</v>
      </c>
      <c r="E193" s="0" t="n">
        <v>-96182</v>
      </c>
      <c r="F193" s="0" t="n">
        <v>112764</v>
      </c>
      <c r="G193" s="0" t="n">
        <v>98266</v>
      </c>
      <c r="H193" s="0" t="n">
        <v>13409</v>
      </c>
      <c r="I193" s="0" t="n">
        <v>35809</v>
      </c>
      <c r="J193" s="0" t="n">
        <v>-31952</v>
      </c>
      <c r="K193" s="0" t="n">
        <v>-40195</v>
      </c>
    </row>
    <row r="194" customFormat="false" ht="15.75" hidden="false" customHeight="true" outlineLevel="0" collapsed="false">
      <c r="A194" s="0" t="s">
        <v>192</v>
      </c>
      <c r="B194" s="0" t="n">
        <v>0</v>
      </c>
      <c r="C194" s="0" t="n">
        <v>0</v>
      </c>
      <c r="D194" s="0" t="n">
        <v>8000</v>
      </c>
      <c r="E194" s="0" t="n">
        <v>0</v>
      </c>
      <c r="F194" s="0" t="n">
        <v>12660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</row>
    <row r="195" customFormat="false" ht="15.75" hidden="false" customHeight="true" outlineLevel="0" collapsed="false">
      <c r="A195" s="0" t="s">
        <v>193</v>
      </c>
      <c r="B195" s="0" t="n">
        <v>0</v>
      </c>
      <c r="C195" s="0" t="n">
        <v>0</v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</row>
    <row r="196" customFormat="false" ht="15.75" hidden="false" customHeight="true" outlineLevel="0" collapsed="false">
      <c r="A196" s="0" t="s">
        <v>194</v>
      </c>
      <c r="B196" s="0" t="n">
        <v>319573</v>
      </c>
      <c r="C196" s="0" t="n">
        <v>251170</v>
      </c>
      <c r="D196" s="0" t="n">
        <v>219422</v>
      </c>
      <c r="E196" s="0" t="n">
        <v>197180</v>
      </c>
      <c r="F196" s="0" t="n">
        <v>17808509</v>
      </c>
      <c r="G196" s="0" t="n">
        <v>286978</v>
      </c>
      <c r="H196" s="0" t="n">
        <v>108626</v>
      </c>
      <c r="I196" s="0" t="n">
        <v>110096</v>
      </c>
      <c r="J196" s="0" t="n">
        <v>157692</v>
      </c>
      <c r="K196" s="0" t="n">
        <v>138967</v>
      </c>
    </row>
    <row r="197" customFormat="false" ht="15.75" hidden="false" customHeight="true" outlineLevel="0" collapsed="false">
      <c r="A197" s="0" t="s">
        <v>195</v>
      </c>
      <c r="B197" s="0" t="n">
        <v>2250947</v>
      </c>
      <c r="C197" s="0" t="n">
        <v>1866122</v>
      </c>
      <c r="D197" s="0" t="n">
        <v>1034823</v>
      </c>
      <c r="E197" s="0" t="n">
        <v>-194384</v>
      </c>
      <c r="F197" s="0" t="n">
        <v>2930237</v>
      </c>
      <c r="G197" s="0" t="n">
        <v>-1450973</v>
      </c>
      <c r="H197" s="0" t="n">
        <v>846537</v>
      </c>
      <c r="I197" s="0" t="n">
        <v>560700</v>
      </c>
      <c r="J197" s="0" t="n">
        <v>782945</v>
      </c>
      <c r="K197" s="0" t="n">
        <v>933365</v>
      </c>
    </row>
    <row r="198" customFormat="false" ht="15.75" hidden="false" customHeight="true" outlineLevel="0" collapsed="false">
      <c r="A198" s="0" t="s">
        <v>196</v>
      </c>
      <c r="B198" s="0" t="n">
        <v>7181510</v>
      </c>
      <c r="C198" s="0" t="n">
        <v>5812513</v>
      </c>
      <c r="D198" s="0" t="n">
        <v>4190880</v>
      </c>
      <c r="E198" s="0" t="n">
        <v>1074188</v>
      </c>
      <c r="F198" s="0" t="n">
        <v>5312543</v>
      </c>
      <c r="G198" s="0" t="n">
        <v>3141715</v>
      </c>
      <c r="H198" s="0" t="n">
        <v>4270733</v>
      </c>
      <c r="I198" s="0" t="n">
        <v>3057305</v>
      </c>
      <c r="J198" s="0" t="n">
        <v>2890142</v>
      </c>
      <c r="K198" s="0" t="n">
        <v>2783531</v>
      </c>
    </row>
    <row r="199" customFormat="false" ht="15.75" hidden="false" customHeight="true" outlineLevel="0" collapsed="false">
      <c r="A199" s="0" t="s">
        <v>197</v>
      </c>
      <c r="B199" s="0" t="n">
        <v>-1732106</v>
      </c>
      <c r="C199" s="0" t="n">
        <v>-1480099</v>
      </c>
      <c r="D199" s="0" t="n">
        <v>-774185</v>
      </c>
      <c r="E199" s="0" t="n">
        <v>-342133</v>
      </c>
      <c r="F199" s="0" t="n">
        <v>-519613</v>
      </c>
      <c r="G199" s="0" t="n">
        <v>-322772</v>
      </c>
      <c r="H199" s="0" t="n">
        <v>-221926</v>
      </c>
      <c r="I199" s="0" t="n">
        <v>-107524</v>
      </c>
      <c r="J199" s="0" t="n">
        <v>-33296</v>
      </c>
      <c r="K199" s="0" t="n">
        <v>-41362</v>
      </c>
    </row>
    <row r="200" customFormat="false" ht="15.75" hidden="false" customHeight="true" outlineLevel="0" collapsed="false">
      <c r="A200" s="0" t="s">
        <v>198</v>
      </c>
      <c r="B200" s="0" t="n">
        <v>153</v>
      </c>
      <c r="C200" s="0" t="n">
        <v>103</v>
      </c>
      <c r="D200" s="0" t="n">
        <v>100</v>
      </c>
      <c r="E200" s="0" t="n">
        <v>0</v>
      </c>
      <c r="F200" s="0" t="n">
        <v>0</v>
      </c>
      <c r="G200" s="0" t="n">
        <v>45</v>
      </c>
      <c r="H200" s="0" t="n">
        <v>33</v>
      </c>
      <c r="I200" s="0" t="n">
        <v>0</v>
      </c>
      <c r="J200" s="0" t="n">
        <v>45</v>
      </c>
      <c r="K200" s="0" t="n">
        <v>45</v>
      </c>
    </row>
    <row r="201" customFormat="false" ht="15.75" hidden="false" customHeight="true" outlineLevel="0" collapsed="false">
      <c r="A201" s="0" t="s">
        <v>199</v>
      </c>
      <c r="B201" s="0" t="n">
        <v>0</v>
      </c>
      <c r="C201" s="0" t="n">
        <v>0</v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</row>
    <row r="202" customFormat="false" ht="15.75" hidden="false" customHeight="true" outlineLevel="0" collapsed="false">
      <c r="A202" s="0" t="s">
        <v>200</v>
      </c>
      <c r="B202" s="0" t="n">
        <v>0</v>
      </c>
      <c r="C202" s="0" t="n">
        <v>0</v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</row>
    <row r="203" customFormat="false" ht="15.75" hidden="false" customHeight="true" outlineLevel="0" collapsed="false">
      <c r="A203" s="0" t="s">
        <v>201</v>
      </c>
      <c r="B203" s="0" t="n">
        <v>0</v>
      </c>
      <c r="C203" s="0" t="n">
        <v>0</v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</row>
    <row r="204" customFormat="false" ht="15.75" hidden="false" customHeight="true" outlineLevel="0" collapsed="false">
      <c r="A204" s="0" t="s">
        <v>202</v>
      </c>
      <c r="B204" s="0" t="n">
        <v>5374</v>
      </c>
      <c r="C204" s="0" t="n">
        <v>2140</v>
      </c>
      <c r="D204" s="0" t="n">
        <v>15784</v>
      </c>
      <c r="E204" s="0" t="n">
        <v>12748</v>
      </c>
      <c r="F204" s="0" t="n">
        <v>3629</v>
      </c>
      <c r="G204" s="0" t="n">
        <v>60859</v>
      </c>
      <c r="H204" s="0" t="n">
        <v>95281</v>
      </c>
      <c r="I204" s="0" t="n">
        <v>78396</v>
      </c>
      <c r="J204" s="0" t="n">
        <v>75853</v>
      </c>
      <c r="K204" s="0" t="n">
        <v>131798</v>
      </c>
    </row>
    <row r="205" customFormat="false" ht="15.75" hidden="false" customHeight="true" outlineLevel="0" collapsed="false">
      <c r="A205" s="0" t="s">
        <v>203</v>
      </c>
      <c r="B205" s="0" t="n">
        <v>0</v>
      </c>
      <c r="C205" s="0" t="n">
        <v>0</v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</row>
    <row r="206" customFormat="false" ht="15.75" hidden="false" customHeight="true" outlineLevel="0" collapsed="false">
      <c r="A206" s="0" t="s">
        <v>199</v>
      </c>
      <c r="B206" s="0" t="n">
        <v>0</v>
      </c>
      <c r="C206" s="0" t="n">
        <v>0</v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</row>
    <row r="207" customFormat="false" ht="15.75" hidden="false" customHeight="true" outlineLevel="0" collapsed="false">
      <c r="A207" s="0" t="s">
        <v>201</v>
      </c>
      <c r="B207" s="0" t="n">
        <v>0</v>
      </c>
      <c r="C207" s="0" t="n">
        <v>0</v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</row>
    <row r="208" customFormat="false" ht="15.75" hidden="false" customHeight="true" outlineLevel="0" collapsed="false">
      <c r="A208" s="0" t="s">
        <v>204</v>
      </c>
      <c r="B208" s="0" t="n">
        <v>0</v>
      </c>
      <c r="C208" s="0" t="n">
        <v>0</v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</row>
    <row r="209" customFormat="false" ht="15.75" hidden="false" customHeight="true" outlineLevel="0" collapsed="false">
      <c r="A209" s="0" t="s">
        <v>205</v>
      </c>
      <c r="B209" s="0" t="n">
        <v>0</v>
      </c>
      <c r="C209" s="0" t="n">
        <v>0</v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</row>
    <row r="210" customFormat="false" ht="15.75" hidden="false" customHeight="true" outlineLevel="0" collapsed="false">
      <c r="A210" s="0" t="s">
        <v>206</v>
      </c>
      <c r="B210" s="0" t="n">
        <v>0</v>
      </c>
      <c r="C210" s="0" t="n">
        <v>0</v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</row>
    <row r="211" customFormat="false" ht="15.75" hidden="false" customHeight="true" outlineLevel="0" collapsed="false">
      <c r="A211" s="0" t="s">
        <v>207</v>
      </c>
      <c r="B211" s="0" t="n">
        <v>5374</v>
      </c>
      <c r="C211" s="0" t="n">
        <v>2140</v>
      </c>
      <c r="D211" s="0" t="n">
        <v>15784</v>
      </c>
      <c r="E211" s="0" t="n">
        <v>12748</v>
      </c>
      <c r="F211" s="0" t="n">
        <v>3629</v>
      </c>
      <c r="G211" s="0" t="n">
        <v>60859</v>
      </c>
      <c r="H211" s="0" t="n">
        <v>95281</v>
      </c>
      <c r="I211" s="0" t="n">
        <v>78396</v>
      </c>
      <c r="J211" s="0" t="n">
        <v>75853</v>
      </c>
      <c r="K211" s="0" t="n">
        <v>131798</v>
      </c>
    </row>
    <row r="212" customFormat="false" ht="15.75" hidden="false" customHeight="true" outlineLevel="0" collapsed="false">
      <c r="A212" s="0" t="s">
        <v>208</v>
      </c>
      <c r="B212" s="0" t="n">
        <v>0</v>
      </c>
      <c r="C212" s="0" t="n">
        <v>0</v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</row>
    <row r="213" customFormat="false" ht="15.75" hidden="false" customHeight="true" outlineLevel="0" collapsed="false">
      <c r="A213" s="0" t="s">
        <v>201</v>
      </c>
      <c r="B213" s="0" t="n">
        <v>0</v>
      </c>
      <c r="C213" s="0" t="n">
        <v>0</v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</row>
    <row r="214" customFormat="false" ht="15.75" hidden="false" customHeight="true" outlineLevel="0" collapsed="false">
      <c r="A214" s="0" t="s">
        <v>209</v>
      </c>
      <c r="B214" s="0" t="n">
        <v>1737633</v>
      </c>
      <c r="C214" s="0" t="n">
        <v>1482342</v>
      </c>
      <c r="D214" s="0" t="n">
        <v>790069</v>
      </c>
      <c r="E214" s="0" t="n">
        <v>354881</v>
      </c>
      <c r="F214" s="0" t="n">
        <v>523242</v>
      </c>
      <c r="G214" s="0" t="n">
        <v>383676</v>
      </c>
      <c r="H214" s="0" t="n">
        <v>317240</v>
      </c>
      <c r="I214" s="0" t="n">
        <v>185920</v>
      </c>
      <c r="J214" s="0" t="n">
        <v>109194</v>
      </c>
      <c r="K214" s="0" t="n">
        <v>173205</v>
      </c>
    </row>
    <row r="215" customFormat="false" ht="15.75" hidden="false" customHeight="true" outlineLevel="0" collapsed="false">
      <c r="A215" s="0" t="s">
        <v>199</v>
      </c>
      <c r="B215" s="0" t="n">
        <v>0</v>
      </c>
      <c r="C215" s="0" t="n">
        <v>0</v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</row>
    <row r="216" customFormat="false" ht="15.75" hidden="false" customHeight="true" outlineLevel="0" collapsed="false">
      <c r="A216" s="0" t="s">
        <v>201</v>
      </c>
      <c r="B216" s="0" t="n">
        <v>0</v>
      </c>
      <c r="C216" s="0" t="n">
        <v>0</v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</row>
    <row r="217" customFormat="false" ht="15.75" hidden="false" customHeight="true" outlineLevel="0" collapsed="false">
      <c r="A217" s="0" t="s">
        <v>210</v>
      </c>
      <c r="B217" s="0" t="n">
        <v>0</v>
      </c>
      <c r="C217" s="0" t="n">
        <v>0</v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</row>
    <row r="218" customFormat="false" ht="15.75" hidden="false" customHeight="true" outlineLevel="0" collapsed="false">
      <c r="A218" s="0" t="s">
        <v>211</v>
      </c>
      <c r="B218" s="0" t="n">
        <v>0</v>
      </c>
      <c r="C218" s="0" t="n">
        <v>0</v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</row>
    <row r="219" customFormat="false" ht="15.75" hidden="false" customHeight="true" outlineLevel="0" collapsed="false">
      <c r="A219" s="0" t="s">
        <v>212</v>
      </c>
      <c r="B219" s="0" t="n">
        <v>0</v>
      </c>
      <c r="C219" s="0" t="n">
        <v>0</v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</row>
    <row r="220" customFormat="false" ht="15.75" hidden="false" customHeight="true" outlineLevel="0" collapsed="false">
      <c r="A220" s="0" t="s">
        <v>213</v>
      </c>
      <c r="B220" s="0" t="n">
        <v>0</v>
      </c>
      <c r="C220" s="0" t="n">
        <v>0</v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</row>
    <row r="221" customFormat="false" ht="15.75" hidden="false" customHeight="true" outlineLevel="0" collapsed="false">
      <c r="A221" s="0" t="s">
        <v>214</v>
      </c>
      <c r="B221" s="0" t="n">
        <v>0</v>
      </c>
      <c r="C221" s="0" t="n">
        <v>0</v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</row>
    <row r="222" customFormat="false" ht="15.75" hidden="false" customHeight="true" outlineLevel="0" collapsed="false">
      <c r="A222" s="0" t="s">
        <v>215</v>
      </c>
      <c r="B222" s="0" t="n">
        <v>0</v>
      </c>
      <c r="C222" s="0" t="n">
        <v>0</v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</row>
    <row r="223" customFormat="false" ht="15.75" hidden="false" customHeight="true" outlineLevel="0" collapsed="false">
      <c r="A223" s="0" t="s">
        <v>216</v>
      </c>
      <c r="B223" s="0" t="n">
        <v>0</v>
      </c>
      <c r="C223" s="0" t="n">
        <v>0</v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</row>
    <row r="224" customFormat="false" ht="15.75" hidden="false" customHeight="true" outlineLevel="0" collapsed="false">
      <c r="A224" s="0" t="s">
        <v>217</v>
      </c>
      <c r="B224" s="0" t="n">
        <v>0</v>
      </c>
      <c r="C224" s="0" t="n">
        <v>0</v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</row>
    <row r="225" customFormat="false" ht="15.75" hidden="false" customHeight="true" outlineLevel="0" collapsed="false">
      <c r="A225" s="0" t="s">
        <v>218</v>
      </c>
      <c r="B225" s="0" t="n">
        <v>0</v>
      </c>
      <c r="C225" s="0" t="n">
        <v>0</v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</row>
    <row r="226" customFormat="false" ht="15.75" hidden="false" customHeight="true" outlineLevel="0" collapsed="false">
      <c r="A226" s="0" t="s">
        <v>219</v>
      </c>
      <c r="B226" s="0" t="n">
        <v>0</v>
      </c>
      <c r="C226" s="0" t="n">
        <v>0</v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</row>
    <row r="227" customFormat="false" ht="15.75" hidden="false" customHeight="true" outlineLevel="0" collapsed="false">
      <c r="A227" s="0" t="s">
        <v>220</v>
      </c>
      <c r="B227" s="0" t="n">
        <v>0</v>
      </c>
      <c r="C227" s="0" t="n">
        <v>0</v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</row>
    <row r="228" customFormat="false" ht="15.75" hidden="false" customHeight="true" outlineLevel="0" collapsed="false">
      <c r="A228" s="0" t="s">
        <v>221</v>
      </c>
      <c r="B228" s="0" t="n">
        <v>0</v>
      </c>
      <c r="C228" s="0" t="n">
        <v>0</v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</row>
    <row r="229" customFormat="false" ht="15.75" hidden="false" customHeight="true" outlineLevel="0" collapsed="false">
      <c r="A229" s="0" t="s">
        <v>222</v>
      </c>
      <c r="B229" s="0" t="n">
        <v>0</v>
      </c>
      <c r="C229" s="0" t="n">
        <v>0</v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</row>
    <row r="230" customFormat="false" ht="15.75" hidden="false" customHeight="true" outlineLevel="0" collapsed="false">
      <c r="A230" s="0" t="s">
        <v>223</v>
      </c>
      <c r="B230" s="0" t="n">
        <v>0</v>
      </c>
      <c r="C230" s="0" t="n">
        <v>0</v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</row>
    <row r="231" customFormat="false" ht="15.75" hidden="false" customHeight="true" outlineLevel="0" collapsed="false">
      <c r="A231" s="0" t="s">
        <v>224</v>
      </c>
      <c r="B231" s="0" t="n">
        <v>0</v>
      </c>
      <c r="C231" s="0" t="n">
        <v>0</v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108710</v>
      </c>
    </row>
    <row r="232" customFormat="false" ht="15.75" hidden="false" customHeight="true" outlineLevel="0" collapsed="false">
      <c r="A232" s="0" t="s">
        <v>225</v>
      </c>
      <c r="B232" s="0" t="n">
        <v>0</v>
      </c>
      <c r="C232" s="0" t="n">
        <v>0</v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108710</v>
      </c>
    </row>
    <row r="233" customFormat="false" ht="15.75" hidden="false" customHeight="true" outlineLevel="0" collapsed="false">
      <c r="A233" s="0" t="s">
        <v>226</v>
      </c>
      <c r="B233" s="0" t="n">
        <v>0</v>
      </c>
      <c r="C233" s="0" t="n">
        <v>0</v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</row>
    <row r="234" customFormat="false" ht="15.75" hidden="false" customHeight="true" outlineLevel="0" collapsed="false">
      <c r="A234" s="0" t="s">
        <v>227</v>
      </c>
      <c r="B234" s="0" t="n">
        <v>0</v>
      </c>
      <c r="C234" s="0" t="n">
        <v>0</v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</row>
    <row r="235" customFormat="false" ht="15.75" hidden="false" customHeight="true" outlineLevel="0" collapsed="false">
      <c r="A235" s="0" t="s">
        <v>228</v>
      </c>
      <c r="B235" s="0" t="n">
        <v>0</v>
      </c>
      <c r="C235" s="0" t="n">
        <v>0</v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</row>
    <row r="236" customFormat="false" ht="15.75" hidden="false" customHeight="true" outlineLevel="0" collapsed="false">
      <c r="A236" s="0" t="s">
        <v>229</v>
      </c>
      <c r="B236" s="0" t="n">
        <v>0</v>
      </c>
      <c r="C236" s="0" t="n">
        <v>0</v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</row>
    <row r="237" customFormat="false" ht="15.75" hidden="false" customHeight="true" outlineLevel="0" collapsed="false">
      <c r="A237" s="0" t="s">
        <v>230</v>
      </c>
      <c r="B237" s="0" t="n">
        <v>518841</v>
      </c>
      <c r="C237" s="0" t="n">
        <v>386023</v>
      </c>
      <c r="D237" s="0" t="n">
        <v>260638</v>
      </c>
      <c r="E237" s="0" t="n">
        <v>-536517</v>
      </c>
      <c r="F237" s="0" t="n">
        <v>2410624</v>
      </c>
      <c r="G237" s="0" t="n">
        <v>-1773745</v>
      </c>
      <c r="H237" s="0" t="n">
        <v>624611</v>
      </c>
      <c r="I237" s="0" t="n">
        <v>453176</v>
      </c>
      <c r="J237" s="0" t="n">
        <v>749649</v>
      </c>
      <c r="K237" s="0" t="n">
        <v>1000713</v>
      </c>
    </row>
    <row r="238" customFormat="false" ht="15.75" hidden="false" customHeight="true" outlineLevel="0" collapsed="false">
      <c r="A238" s="0" t="s">
        <v>231</v>
      </c>
      <c r="B238" s="0" t="n">
        <v>153364</v>
      </c>
      <c r="C238" s="0" t="n">
        <v>38208</v>
      </c>
      <c r="D238" s="0" t="n">
        <v>-1055</v>
      </c>
      <c r="E238" s="0" t="n">
        <v>-238045</v>
      </c>
      <c r="F238" s="0" t="n">
        <v>31429</v>
      </c>
      <c r="G238" s="0" t="n">
        <v>-56764</v>
      </c>
      <c r="H238" s="0" t="n">
        <v>6277</v>
      </c>
      <c r="I238" s="0" t="n">
        <v>107490</v>
      </c>
      <c r="J238" s="0" t="n">
        <v>254657</v>
      </c>
      <c r="K238" s="0" t="n">
        <v>335067</v>
      </c>
    </row>
    <row r="239" customFormat="false" ht="15.75" hidden="false" customHeight="true" outlineLevel="0" collapsed="false">
      <c r="A239" s="0" t="s">
        <v>232</v>
      </c>
      <c r="B239" s="0" t="n">
        <v>104483</v>
      </c>
      <c r="C239" s="0" t="n">
        <v>83573</v>
      </c>
      <c r="D239" s="0" t="n">
        <v>50128</v>
      </c>
      <c r="E239" s="0" t="n">
        <v>976</v>
      </c>
      <c r="F239" s="0" t="n">
        <v>173331</v>
      </c>
      <c r="G239" s="0" t="n">
        <v>0</v>
      </c>
      <c r="H239" s="0" t="n">
        <v>47142</v>
      </c>
      <c r="I239" s="0" t="n">
        <v>117862</v>
      </c>
      <c r="J239" s="0" t="n">
        <v>259690</v>
      </c>
      <c r="K239" s="0" t="n">
        <v>332472</v>
      </c>
    </row>
    <row r="240" customFormat="false" ht="15.75" hidden="false" customHeight="true" outlineLevel="0" collapsed="false">
      <c r="A240" s="0" t="s">
        <v>233</v>
      </c>
      <c r="B240" s="0" t="n">
        <v>0</v>
      </c>
      <c r="C240" s="0" t="n">
        <v>0</v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</row>
    <row r="241" customFormat="false" ht="15.75" hidden="false" customHeight="true" outlineLevel="0" collapsed="false">
      <c r="A241" s="0" t="s">
        <v>234</v>
      </c>
      <c r="B241" s="0" t="n">
        <v>48881</v>
      </c>
      <c r="C241" s="0" t="n">
        <v>-45365</v>
      </c>
      <c r="D241" s="0" t="n">
        <v>-51183</v>
      </c>
      <c r="E241" s="0" t="n">
        <v>-239021</v>
      </c>
      <c r="F241" s="0" t="n">
        <v>-141902</v>
      </c>
      <c r="G241" s="0" t="n">
        <v>-56764</v>
      </c>
      <c r="H241" s="0" t="n">
        <v>-40865</v>
      </c>
      <c r="I241" s="0" t="n">
        <v>-10372</v>
      </c>
      <c r="J241" s="0" t="n">
        <v>-5033</v>
      </c>
      <c r="K241" s="0" t="n">
        <v>2595</v>
      </c>
    </row>
    <row r="242" customFormat="false" ht="15.75" hidden="false" customHeight="true" outlineLevel="0" collapsed="false">
      <c r="A242" s="0" t="s">
        <v>235</v>
      </c>
      <c r="B242" s="0" t="n">
        <v>0</v>
      </c>
      <c r="C242" s="0" t="n">
        <v>0</v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2595</v>
      </c>
    </row>
    <row r="243" customFormat="false" ht="15.75" hidden="false" customHeight="true" outlineLevel="0" collapsed="false">
      <c r="A243" s="0" t="s">
        <v>236</v>
      </c>
      <c r="B243" s="0" t="n">
        <v>0</v>
      </c>
      <c r="C243" s="0" t="n">
        <v>0</v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</row>
    <row r="244" customFormat="false" ht="15.75" hidden="false" customHeight="true" outlineLevel="0" collapsed="false">
      <c r="A244" s="0" t="s">
        <v>237</v>
      </c>
      <c r="B244" s="0" t="n">
        <v>0</v>
      </c>
      <c r="C244" s="0" t="n">
        <v>0</v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</row>
    <row r="245" customFormat="false" ht="15.75" hidden="false" customHeight="true" outlineLevel="0" collapsed="false">
      <c r="A245" s="0" t="s">
        <v>238</v>
      </c>
      <c r="B245" s="0" t="n">
        <v>365477</v>
      </c>
      <c r="C245" s="0" t="n">
        <v>347815</v>
      </c>
      <c r="D245" s="0" t="n">
        <v>261693</v>
      </c>
      <c r="E245" s="0" t="n">
        <v>-298472</v>
      </c>
      <c r="F245" s="0" t="n">
        <v>2379195</v>
      </c>
      <c r="G245" s="0" t="n">
        <v>-1716981</v>
      </c>
      <c r="H245" s="0" t="n">
        <v>618334</v>
      </c>
      <c r="I245" s="0" t="n">
        <v>345686</v>
      </c>
      <c r="J245" s="0" t="n">
        <v>494992</v>
      </c>
      <c r="K245" s="0" t="n">
        <v>665646</v>
      </c>
    </row>
    <row r="246" customFormat="false" ht="15.75" hidden="false" customHeight="true" outlineLevel="0" collapsed="false">
      <c r="A246" s="0" t="s">
        <v>239</v>
      </c>
      <c r="B246" s="0" t="n">
        <v>0</v>
      </c>
      <c r="C246" s="0" t="n">
        <v>0</v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</row>
    <row r="247" customFormat="false" ht="15.75" hidden="false" customHeight="true" outlineLevel="0" collapsed="false">
      <c r="A247" s="0" t="s">
        <v>240</v>
      </c>
    </row>
    <row r="248" customFormat="false" ht="15.75" hidden="false" customHeight="true" outlineLevel="0" collapsed="false">
      <c r="A248" s="0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52"/>
  <sheetViews>
    <sheetView showFormulas="false" showGridLines="true" showRowColHeaders="true" showZeros="true" rightToLeft="false" tabSelected="false" showOutlineSymbols="true" defaultGridColor="true" view="normal" topLeftCell="A209" colorId="64" zoomScale="100" zoomScaleNormal="100" zoomScalePageLayoutView="100" workbookViewId="0">
      <selection pane="topLeft" activeCell="N242" activeCellId="0" sqref="N242"/>
    </sheetView>
  </sheetViews>
  <sheetFormatPr defaultColWidth="10.83203125" defaultRowHeight="12.75" customHeight="true" zeroHeight="false" outlineLevelRow="0" outlineLevelCol="0"/>
  <cols>
    <col collapsed="false" customWidth="true" hidden="false" outlineLevel="0" max="1" min="1" style="1" width="55.33"/>
    <col collapsed="false" customWidth="true" hidden="true" outlineLevel="0" max="11" min="2" style="2" width="16.83"/>
    <col collapsed="false" customWidth="true" hidden="false" outlineLevel="0" max="12" min="12" style="3" width="2"/>
    <col collapsed="false" customWidth="true" hidden="false" outlineLevel="0" max="13" min="13" style="3" width="3.16"/>
    <col collapsed="false" customWidth="true" hidden="false" outlineLevel="0" max="14" min="14" style="3" width="42.67"/>
    <col collapsed="false" customWidth="true" hidden="false" outlineLevel="0" max="15" min="15" style="3" width="20.51"/>
    <col collapsed="false" customWidth="false" hidden="false" outlineLevel="0" max="16384" min="16" style="3" width="10.83"/>
  </cols>
  <sheetData>
    <row r="1" s="8" customFormat="true" ht="18.75" hidden="false" customHeight="true" outlineLevel="0" collapsed="false">
      <c r="A1" s="4" t="s">
        <v>242</v>
      </c>
      <c r="B1" s="5" t="n">
        <f aca="false">input!B1</f>
        <v>2024</v>
      </c>
      <c r="C1" s="5" t="n">
        <f aca="false">input!C1</f>
        <v>2023</v>
      </c>
      <c r="D1" s="5" t="n">
        <f aca="false">input!D1</f>
        <v>2022</v>
      </c>
      <c r="E1" s="5" t="n">
        <f aca="false">input!E1</f>
        <v>2021</v>
      </c>
      <c r="F1" s="5" t="n">
        <f aca="false">input!F1</f>
        <v>2020</v>
      </c>
      <c r="G1" s="5" t="n">
        <f aca="false">input!G1</f>
        <v>2019</v>
      </c>
      <c r="H1" s="5" t="n">
        <f aca="false">input!H1</f>
        <v>2018</v>
      </c>
      <c r="I1" s="5" t="n">
        <f aca="false">input!I1</f>
        <v>2017</v>
      </c>
      <c r="J1" s="5" t="n">
        <f aca="false">input!J1</f>
        <v>2016</v>
      </c>
      <c r="K1" s="5" t="n">
        <f aca="false">input!K1</f>
        <v>2015</v>
      </c>
      <c r="L1" s="6"/>
      <c r="M1" s="7" t="s">
        <v>243</v>
      </c>
      <c r="N1" s="6" t="s">
        <v>244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="11" customFormat="true" ht="13.5" hidden="false" customHeight="true" outlineLevel="0" collapsed="false">
      <c r="A2" s="9" t="str">
        <f aca="false">input!A2</f>
        <v>A. CREDITI VERSO SOCI</v>
      </c>
      <c r="B2" s="10" t="n">
        <f aca="false">$M2*input!B2</f>
        <v>-1050000</v>
      </c>
      <c r="C2" s="10" t="n">
        <f aca="false">$M2*input!C2</f>
        <v>-0</v>
      </c>
      <c r="D2" s="10" t="n">
        <f aca="false">$M2*input!D2</f>
        <v>-0</v>
      </c>
      <c r="E2" s="10" t="n">
        <f aca="false">$M2*input!E2</f>
        <v>-0</v>
      </c>
      <c r="F2" s="10" t="n">
        <f aca="false">$M2*input!F2</f>
        <v>-0</v>
      </c>
      <c r="G2" s="10" t="n">
        <f aca="false">$M2*input!G2</f>
        <v>-0</v>
      </c>
      <c r="H2" s="10" t="n">
        <f aca="false">$M2*input!H2</f>
        <v>-0</v>
      </c>
      <c r="I2" s="10" t="n">
        <f aca="false">$M2*input!I2</f>
        <v>-0</v>
      </c>
      <c r="J2" s="10" t="n">
        <f aca="false">$M2*input!J2</f>
        <v>-0</v>
      </c>
      <c r="K2" s="10" t="n">
        <f aca="false">$M2*input!K2</f>
        <v>-0</v>
      </c>
      <c r="M2" s="11" t="n">
        <v>-1</v>
      </c>
      <c r="N2" s="12" t="s">
        <v>245</v>
      </c>
    </row>
    <row r="3" customFormat="false" ht="12.75" hidden="false" customHeight="false" outlineLevel="0" collapsed="false">
      <c r="A3" s="13" t="str">
        <f aca="false">input!A3</f>
        <v>Quota di capitale richiamata</v>
      </c>
      <c r="B3" s="2" t="n">
        <f aca="false">$M3*input!B3</f>
        <v>0</v>
      </c>
      <c r="C3" s="2" t="n">
        <f aca="false">$M3*input!C3</f>
        <v>0</v>
      </c>
      <c r="D3" s="2" t="n">
        <f aca="false">$M3*input!D3</f>
        <v>0</v>
      </c>
      <c r="E3" s="2" t="n">
        <f aca="false">$M3*input!E3</f>
        <v>0</v>
      </c>
      <c r="F3" s="2" t="n">
        <f aca="false">$M3*input!F3</f>
        <v>0</v>
      </c>
      <c r="G3" s="2" t="n">
        <f aca="false">$M3*input!G3</f>
        <v>0</v>
      </c>
      <c r="H3" s="2" t="n">
        <f aca="false">$M3*input!H3</f>
        <v>0</v>
      </c>
      <c r="I3" s="2" t="n">
        <f aca="false">$M3*input!I3</f>
        <v>0</v>
      </c>
      <c r="J3" s="2" t="n">
        <f aca="false">$M3*input!J3</f>
        <v>0</v>
      </c>
      <c r="K3" s="2" t="n">
        <f aca="false">$M3*input!K3</f>
        <v>0</v>
      </c>
      <c r="M3" s="3" t="n">
        <v>1</v>
      </c>
    </row>
    <row r="4" customFormat="false" ht="12.75" hidden="false" customHeight="false" outlineLevel="0" collapsed="false">
      <c r="A4" s="13"/>
    </row>
    <row r="5" s="11" customFormat="true" ht="13.5" hidden="false" customHeight="true" outlineLevel="0" collapsed="false">
      <c r="A5" s="9" t="str">
        <f aca="false">input!A4</f>
        <v>B. TOTALE IMMOBILIZZAZIONI sep.ind. Di quelle conc. In loc. Finanz.</v>
      </c>
      <c r="B5" s="10" t="n">
        <f aca="false">$M5*input!B4</f>
        <v>38440965</v>
      </c>
      <c r="C5" s="10" t="n">
        <f aca="false">$M5*input!C4</f>
        <v>39562158</v>
      </c>
      <c r="D5" s="10" t="n">
        <f aca="false">$M5*input!D4</f>
        <v>38847268</v>
      </c>
      <c r="E5" s="10" t="n">
        <f aca="false">$M5*input!E4</f>
        <v>35202627</v>
      </c>
      <c r="F5" s="10" t="n">
        <f aca="false">$M5*input!F4</f>
        <v>10481494</v>
      </c>
      <c r="G5" s="10" t="n">
        <f aca="false">$M5*input!G4</f>
        <v>19446953</v>
      </c>
      <c r="H5" s="10" t="n">
        <f aca="false">$M5*input!H4</f>
        <v>18453555</v>
      </c>
      <c r="I5" s="10" t="n">
        <f aca="false">$M5*input!I4</f>
        <v>13238661</v>
      </c>
      <c r="J5" s="10" t="n">
        <f aca="false">$M5*input!J4</f>
        <v>5524513</v>
      </c>
      <c r="K5" s="10" t="n">
        <f aca="false">$M5*input!K4</f>
        <v>1467653</v>
      </c>
      <c r="M5" s="11" t="n">
        <v>1</v>
      </c>
    </row>
    <row r="6" customFormat="false" ht="12.75" hidden="false" customHeight="false" outlineLevel="0" collapsed="false">
      <c r="A6" s="13" t="str">
        <f aca="false">input!A5</f>
        <v>B.I. TOTALE IMMOB. IMMATERIALI</v>
      </c>
      <c r="B6" s="2" t="n">
        <f aca="false">$M6*input!B5</f>
        <v>31051</v>
      </c>
      <c r="C6" s="2" t="n">
        <f aca="false">$M6*input!C5</f>
        <v>40796</v>
      </c>
      <c r="D6" s="2" t="n">
        <f aca="false">$M6*input!D5</f>
        <v>56047</v>
      </c>
      <c r="E6" s="2" t="n">
        <f aca="false">$M6*input!E5</f>
        <v>72267</v>
      </c>
      <c r="F6" s="2" t="n">
        <f aca="false">$M6*input!F5</f>
        <v>66140</v>
      </c>
      <c r="G6" s="2" t="n">
        <f aca="false">$M6*input!G5</f>
        <v>357298</v>
      </c>
      <c r="H6" s="2" t="n">
        <f aca="false">$M6*input!H5</f>
        <v>371980</v>
      </c>
      <c r="I6" s="2" t="n">
        <f aca="false">$M6*input!I5</f>
        <v>413542</v>
      </c>
      <c r="J6" s="2" t="n">
        <f aca="false">$M6*input!J5</f>
        <v>451840</v>
      </c>
      <c r="K6" s="2" t="n">
        <f aca="false">$M6*input!K5</f>
        <v>511604</v>
      </c>
      <c r="M6" s="3" t="n">
        <v>1</v>
      </c>
      <c r="N6" s="3" t="s">
        <v>246</v>
      </c>
    </row>
    <row r="7" customFormat="false" ht="12.75" hidden="false" customHeight="false" outlineLevel="0" collapsed="false">
      <c r="A7" s="14" t="str">
        <f aca="false">input!A6</f>
        <v>B.I.1. Costi impianto e ampl.</v>
      </c>
      <c r="B7" s="2" t="n">
        <f aca="false">$M7*input!B6</f>
        <v>0</v>
      </c>
      <c r="C7" s="2" t="n">
        <f aca="false">$M7*input!C6</f>
        <v>0</v>
      </c>
      <c r="D7" s="2" t="n">
        <f aca="false">$M7*input!D6</f>
        <v>0</v>
      </c>
      <c r="E7" s="2" t="n">
        <f aca="false">$M7*input!E6</f>
        <v>0</v>
      </c>
      <c r="F7" s="2" t="n">
        <f aca="false">$M7*input!F6</f>
        <v>0</v>
      </c>
      <c r="G7" s="2" t="n">
        <f aca="false">$M7*input!G6</f>
        <v>0</v>
      </c>
      <c r="H7" s="2" t="n">
        <f aca="false">$M7*input!H6</f>
        <v>0</v>
      </c>
      <c r="I7" s="2" t="n">
        <f aca="false">$M7*input!I6</f>
        <v>0</v>
      </c>
      <c r="J7" s="2" t="n">
        <f aca="false">$M7*input!J6</f>
        <v>0</v>
      </c>
      <c r="K7" s="2" t="n">
        <f aca="false">$M7*input!K6</f>
        <v>0</v>
      </c>
      <c r="M7" s="3" t="n">
        <v>1</v>
      </c>
    </row>
    <row r="8" customFormat="false" ht="12.75" hidden="false" customHeight="false" outlineLevel="0" collapsed="false">
      <c r="A8" s="14" t="str">
        <f aca="false">input!A7</f>
        <v>B.I.2. Costi ricerca e pubb.</v>
      </c>
      <c r="B8" s="2" t="n">
        <f aca="false">$M8*input!B7</f>
        <v>0</v>
      </c>
      <c r="C8" s="2" t="n">
        <f aca="false">$M8*input!C7</f>
        <v>0</v>
      </c>
      <c r="D8" s="2" t="n">
        <f aca="false">$M8*input!D7</f>
        <v>0</v>
      </c>
      <c r="E8" s="2" t="n">
        <f aca="false">$M8*input!E7</f>
        <v>0</v>
      </c>
      <c r="F8" s="2" t="n">
        <f aca="false">$M8*input!F7</f>
        <v>0</v>
      </c>
      <c r="G8" s="2" t="n">
        <f aca="false">$M8*input!G7</f>
        <v>0</v>
      </c>
      <c r="H8" s="2" t="n">
        <f aca="false">$M8*input!H7</f>
        <v>0</v>
      </c>
      <c r="I8" s="2" t="n">
        <f aca="false">$M8*input!I7</f>
        <v>0</v>
      </c>
      <c r="J8" s="2" t="n">
        <f aca="false">$M8*input!J7</f>
        <v>0</v>
      </c>
      <c r="K8" s="2" t="n">
        <f aca="false">$M8*input!K7</f>
        <v>0</v>
      </c>
      <c r="M8" s="3" t="n">
        <v>1</v>
      </c>
    </row>
    <row r="9" customFormat="false" ht="12.75" hidden="false" customHeight="false" outlineLevel="0" collapsed="false">
      <c r="A9" s="14" t="str">
        <f aca="false">input!A8</f>
        <v>B.I.3. Diritti brevetto ind.</v>
      </c>
      <c r="B9" s="2" t="n">
        <f aca="false">$M9*input!B8</f>
        <v>0</v>
      </c>
      <c r="C9" s="2" t="n">
        <f aca="false">$M9*input!C8</f>
        <v>0</v>
      </c>
      <c r="D9" s="2" t="n">
        <f aca="false">$M9*input!D8</f>
        <v>0</v>
      </c>
      <c r="E9" s="2" t="n">
        <f aca="false">$M9*input!E8</f>
        <v>0</v>
      </c>
      <c r="F9" s="2" t="n">
        <f aca="false">$M9*input!F8</f>
        <v>0</v>
      </c>
      <c r="G9" s="2" t="n">
        <f aca="false">$M9*input!G8</f>
        <v>0</v>
      </c>
      <c r="H9" s="2" t="n">
        <f aca="false">$M9*input!H8</f>
        <v>0</v>
      </c>
      <c r="I9" s="2" t="n">
        <f aca="false">$M9*input!I8</f>
        <v>0</v>
      </c>
      <c r="J9" s="2" t="n">
        <f aca="false">$M9*input!J8</f>
        <v>0</v>
      </c>
      <c r="K9" s="2" t="n">
        <f aca="false">$M9*input!K8</f>
        <v>0</v>
      </c>
      <c r="M9" s="3" t="n">
        <v>1</v>
      </c>
    </row>
    <row r="10" customFormat="false" ht="12.75" hidden="false" customHeight="false" outlineLevel="0" collapsed="false">
      <c r="A10" s="14" t="str">
        <f aca="false">input!A9</f>
        <v>B.I.4. Concessioni, licenze</v>
      </c>
      <c r="B10" s="2" t="n">
        <f aca="false">$M10*input!B9</f>
        <v>2521</v>
      </c>
      <c r="C10" s="2" t="n">
        <f aca="false">$M10*input!C9</f>
        <v>4438</v>
      </c>
      <c r="D10" s="2" t="n">
        <f aca="false">$M10*input!D9</f>
        <v>8910</v>
      </c>
      <c r="E10" s="2" t="n">
        <f aca="false">$M10*input!E9</f>
        <v>17835</v>
      </c>
      <c r="F10" s="2" t="n">
        <f aca="false">$M10*input!F9</f>
        <v>11708</v>
      </c>
      <c r="G10" s="2" t="n">
        <f aca="false">$M10*input!G9</f>
        <v>30025</v>
      </c>
      <c r="H10" s="2" t="n">
        <f aca="false">$M10*input!H9</f>
        <v>6349</v>
      </c>
      <c r="I10" s="2" t="n">
        <f aca="false">$M10*input!I9</f>
        <v>5621</v>
      </c>
      <c r="J10" s="2" t="n">
        <f aca="false">$M10*input!J9</f>
        <v>0</v>
      </c>
      <c r="K10" s="2" t="n">
        <f aca="false">$M10*input!K9</f>
        <v>17711</v>
      </c>
      <c r="M10" s="3" t="n">
        <v>1</v>
      </c>
    </row>
    <row r="11" customFormat="false" ht="12.75" hidden="false" customHeight="false" outlineLevel="0" collapsed="false">
      <c r="A11" s="14" t="str">
        <f aca="false">input!A10</f>
        <v>B.I.5. Avviamento/Differenza di consolidamento</v>
      </c>
      <c r="B11" s="2" t="n">
        <f aca="false">$M11*input!B10</f>
        <v>0</v>
      </c>
      <c r="C11" s="2" t="n">
        <f aca="false">$M11*input!C10</f>
        <v>0</v>
      </c>
      <c r="D11" s="2" t="n">
        <f aca="false">$M11*input!D10</f>
        <v>0</v>
      </c>
      <c r="E11" s="2" t="n">
        <f aca="false">$M11*input!E10</f>
        <v>0</v>
      </c>
      <c r="F11" s="2" t="n">
        <f aca="false">$M11*input!F10</f>
        <v>0</v>
      </c>
      <c r="G11" s="2" t="n">
        <f aca="false">$M11*input!G10</f>
        <v>0</v>
      </c>
      <c r="H11" s="2" t="n">
        <f aca="false">$M11*input!H10</f>
        <v>0</v>
      </c>
      <c r="I11" s="2" t="n">
        <f aca="false">$M11*input!I10</f>
        <v>0</v>
      </c>
      <c r="J11" s="2" t="n">
        <f aca="false">$M11*input!J10</f>
        <v>0</v>
      </c>
      <c r="K11" s="2" t="n">
        <f aca="false">$M11*input!K10</f>
        <v>0</v>
      </c>
      <c r="M11" s="3" t="n">
        <v>1</v>
      </c>
    </row>
    <row r="12" customFormat="false" ht="12.75" hidden="false" customHeight="false" outlineLevel="0" collapsed="false">
      <c r="A12" s="14" t="str">
        <f aca="false">input!A11</f>
        <v>di cui: Avviamento</v>
      </c>
      <c r="B12" s="2" t="n">
        <f aca="false">$M12*input!B11</f>
        <v>0</v>
      </c>
      <c r="C12" s="2" t="n">
        <f aca="false">$M12*input!C11</f>
        <v>0</v>
      </c>
      <c r="D12" s="2" t="n">
        <f aca="false">$M12*input!D11</f>
        <v>0</v>
      </c>
      <c r="E12" s="2" t="n">
        <f aca="false">$M12*input!E11</f>
        <v>0</v>
      </c>
      <c r="F12" s="2" t="n">
        <f aca="false">$M12*input!F11</f>
        <v>0</v>
      </c>
      <c r="G12" s="2" t="n">
        <f aca="false">$M12*input!G11</f>
        <v>0</v>
      </c>
      <c r="H12" s="2" t="n">
        <f aca="false">$M12*input!H11</f>
        <v>0</v>
      </c>
      <c r="I12" s="2" t="n">
        <f aca="false">$M12*input!I11</f>
        <v>0</v>
      </c>
      <c r="J12" s="2" t="n">
        <f aca="false">$M12*input!J11</f>
        <v>0</v>
      </c>
      <c r="K12" s="2" t="n">
        <f aca="false">$M12*input!K11</f>
        <v>0</v>
      </c>
      <c r="M12" s="3" t="n">
        <v>1</v>
      </c>
    </row>
    <row r="13" customFormat="false" ht="12.75" hidden="false" customHeight="false" outlineLevel="0" collapsed="false">
      <c r="A13" s="14" t="str">
        <f aca="false">input!A12</f>
        <v>B.I.6. Imm. in corso</v>
      </c>
      <c r="B13" s="2" t="n">
        <f aca="false">$M13*input!B12</f>
        <v>0</v>
      </c>
      <c r="C13" s="2" t="n">
        <f aca="false">$M13*input!C12</f>
        <v>0</v>
      </c>
      <c r="D13" s="2" t="n">
        <f aca="false">$M13*input!D12</f>
        <v>0</v>
      </c>
      <c r="E13" s="2" t="n">
        <f aca="false">$M13*input!E12</f>
        <v>0</v>
      </c>
      <c r="F13" s="2" t="n">
        <f aca="false">$M13*input!F12</f>
        <v>0</v>
      </c>
      <c r="G13" s="2" t="n">
        <f aca="false">$M13*input!G12</f>
        <v>0</v>
      </c>
      <c r="H13" s="2" t="n">
        <f aca="false">$M13*input!H12</f>
        <v>0</v>
      </c>
      <c r="I13" s="2" t="n">
        <f aca="false">$M13*input!I12</f>
        <v>0</v>
      </c>
      <c r="J13" s="2" t="n">
        <f aca="false">$M13*input!J12</f>
        <v>0</v>
      </c>
      <c r="K13" s="2" t="n">
        <f aca="false">$M13*input!K12</f>
        <v>0</v>
      </c>
      <c r="M13" s="3" t="n">
        <v>1</v>
      </c>
    </row>
    <row r="14" customFormat="false" ht="12.75" hidden="false" customHeight="false" outlineLevel="0" collapsed="false">
      <c r="A14" s="14" t="str">
        <f aca="false">input!A13</f>
        <v>B.I.7. Altre immobiliz. Immateriali</v>
      </c>
      <c r="B14" s="2" t="n">
        <f aca="false">$M14*input!B13</f>
        <v>28530</v>
      </c>
      <c r="C14" s="2" t="n">
        <f aca="false">$M14*input!C13</f>
        <v>36358</v>
      </c>
      <c r="D14" s="2" t="n">
        <f aca="false">$M14*input!D13</f>
        <v>47137</v>
      </c>
      <c r="E14" s="2" t="n">
        <f aca="false">$M14*input!E13</f>
        <v>54432</v>
      </c>
      <c r="F14" s="2" t="n">
        <f aca="false">$M14*input!F13</f>
        <v>54432</v>
      </c>
      <c r="G14" s="2" t="n">
        <f aca="false">$M14*input!G13</f>
        <v>327273</v>
      </c>
      <c r="H14" s="2" t="n">
        <f aca="false">$M14*input!H13</f>
        <v>365631</v>
      </c>
      <c r="I14" s="2" t="n">
        <f aca="false">$M14*input!I13</f>
        <v>407921</v>
      </c>
      <c r="J14" s="2" t="n">
        <f aca="false">$M14*input!J13</f>
        <v>451840</v>
      </c>
      <c r="K14" s="2" t="n">
        <f aca="false">$M14*input!K13</f>
        <v>493893</v>
      </c>
      <c r="M14" s="3" t="n">
        <v>1</v>
      </c>
    </row>
    <row r="15" customFormat="false" ht="12.75" hidden="false" customHeight="false" outlineLevel="0" collapsed="false">
      <c r="A15" s="14" t="str">
        <f aca="false">input!A14</f>
        <v>Fondo amm.to Immob. Immateriali</v>
      </c>
      <c r="B15" s="2" t="n">
        <f aca="false">$M15*input!B14</f>
        <v>0</v>
      </c>
      <c r="C15" s="2" t="n">
        <f aca="false">$M15*input!C14</f>
        <v>0</v>
      </c>
      <c r="D15" s="2" t="n">
        <f aca="false">$M15*input!D14</f>
        <v>0</v>
      </c>
      <c r="E15" s="2" t="n">
        <f aca="false">$M15*input!E14</f>
        <v>0</v>
      </c>
      <c r="F15" s="2" t="n">
        <f aca="false">$M15*input!F14</f>
        <v>0</v>
      </c>
      <c r="G15" s="2" t="n">
        <f aca="false">$M15*input!G14</f>
        <v>0</v>
      </c>
      <c r="H15" s="2" t="n">
        <f aca="false">$M15*input!H14</f>
        <v>0</v>
      </c>
      <c r="I15" s="2" t="n">
        <f aca="false">$M15*input!I14</f>
        <v>0</v>
      </c>
      <c r="J15" s="2" t="n">
        <f aca="false">$M15*input!J14</f>
        <v>0</v>
      </c>
      <c r="K15" s="2" t="n">
        <f aca="false">$M15*input!K14</f>
        <v>0</v>
      </c>
      <c r="M15" s="3" t="n">
        <v>1</v>
      </c>
    </row>
    <row r="16" customFormat="false" ht="12.75" hidden="false" customHeight="false" outlineLevel="0" collapsed="false">
      <c r="A16" s="13" t="str">
        <f aca="false">input!A15</f>
        <v>B.II. TOTALE IMMOB. MATERIALI</v>
      </c>
      <c r="B16" s="2" t="n">
        <f aca="false">$M16*input!B15</f>
        <v>38405250</v>
      </c>
      <c r="C16" s="2" t="n">
        <f aca="false">$M16*input!C15</f>
        <v>39516723</v>
      </c>
      <c r="D16" s="2" t="n">
        <f aca="false">$M16*input!D15</f>
        <v>38786914</v>
      </c>
      <c r="E16" s="2" t="n">
        <f aca="false">$M16*input!E15</f>
        <v>35126044</v>
      </c>
      <c r="F16" s="2" t="n">
        <f aca="false">$M16*input!F15</f>
        <v>10409040</v>
      </c>
      <c r="G16" s="2" t="n">
        <f aca="false">$M16*input!G15</f>
        <v>19083354</v>
      </c>
      <c r="H16" s="2" t="n">
        <f aca="false">$M16*input!H15</f>
        <v>18075194</v>
      </c>
      <c r="I16" s="2" t="n">
        <f aca="false">$M16*input!I15</f>
        <v>12821075</v>
      </c>
      <c r="J16" s="2" t="n">
        <f aca="false">$M16*input!J15</f>
        <v>5068654</v>
      </c>
      <c r="K16" s="2" t="n">
        <f aca="false">$M16*input!K15</f>
        <v>952333</v>
      </c>
      <c r="M16" s="3" t="n">
        <v>1</v>
      </c>
      <c r="N16" s="3" t="s">
        <v>247</v>
      </c>
    </row>
    <row r="17" customFormat="false" ht="12.75" hidden="false" customHeight="false" outlineLevel="0" collapsed="false">
      <c r="A17" s="13" t="str">
        <f aca="false">input!A16</f>
        <v>di cui: Beni materiali concessi in locazione finanziaria</v>
      </c>
      <c r="B17" s="2" t="n">
        <f aca="false">$M17*input!B16</f>
        <v>0</v>
      </c>
      <c r="C17" s="2" t="n">
        <f aca="false">$M17*input!C16</f>
        <v>0</v>
      </c>
      <c r="D17" s="2" t="n">
        <f aca="false">$M17*input!D16</f>
        <v>0</v>
      </c>
      <c r="E17" s="2" t="n">
        <f aca="false">$M17*input!E16</f>
        <v>0</v>
      </c>
      <c r="F17" s="2" t="n">
        <f aca="false">$M17*input!F16</f>
        <v>0</v>
      </c>
      <c r="G17" s="2" t="n">
        <f aca="false">$M17*input!G16</f>
        <v>0</v>
      </c>
      <c r="H17" s="2" t="n">
        <f aca="false">$M17*input!H16</f>
        <v>0</v>
      </c>
      <c r="I17" s="2" t="n">
        <f aca="false">$M17*input!I16</f>
        <v>0</v>
      </c>
      <c r="J17" s="2" t="n">
        <f aca="false">$M17*input!J16</f>
        <v>0</v>
      </c>
      <c r="K17" s="2" t="n">
        <f aca="false">$M17*input!K16</f>
        <v>0</v>
      </c>
      <c r="M17" s="3" t="n">
        <v>1</v>
      </c>
    </row>
    <row r="18" customFormat="false" ht="12.75" hidden="false" customHeight="false" outlineLevel="0" collapsed="false">
      <c r="A18" s="14" t="str">
        <f aca="false">input!A17</f>
        <v>B.II.1. Terreni e fabbricati</v>
      </c>
      <c r="B18" s="2" t="n">
        <f aca="false">$M18*input!B17</f>
        <v>22832281</v>
      </c>
      <c r="C18" s="2" t="n">
        <f aca="false">$M18*input!C17</f>
        <v>23605745</v>
      </c>
      <c r="D18" s="2" t="n">
        <f aca="false">$M18*input!D17</f>
        <v>3916943</v>
      </c>
      <c r="E18" s="2" t="n">
        <f aca="false">$M18*input!E17</f>
        <v>3980146</v>
      </c>
      <c r="F18" s="2" t="n">
        <f aca="false">$M18*input!F17</f>
        <v>3980146</v>
      </c>
      <c r="G18" s="2" t="n">
        <f aca="false">$M18*input!G17</f>
        <v>13741141</v>
      </c>
      <c r="H18" s="2" t="n">
        <f aca="false">$M18*input!H17</f>
        <v>13650736</v>
      </c>
      <c r="I18" s="2" t="n">
        <f aca="false">$M18*input!I17</f>
        <v>2980303</v>
      </c>
      <c r="J18" s="2" t="n">
        <f aca="false">$M18*input!J17</f>
        <v>2924340</v>
      </c>
      <c r="K18" s="2" t="n">
        <f aca="false">$M18*input!K17</f>
        <v>308274</v>
      </c>
      <c r="M18" s="3" t="n">
        <v>1</v>
      </c>
    </row>
    <row r="19" customFormat="false" ht="12.75" hidden="false" customHeight="false" outlineLevel="0" collapsed="false">
      <c r="A19" s="14" t="str">
        <f aca="false">input!A18</f>
        <v>B.II.2. Impianti</v>
      </c>
      <c r="B19" s="2" t="n">
        <f aca="false">$M19*input!B18</f>
        <v>15221827</v>
      </c>
      <c r="C19" s="2" t="n">
        <f aca="false">$M19*input!C18</f>
        <v>15298707</v>
      </c>
      <c r="D19" s="2" t="n">
        <f aca="false">$M19*input!D18</f>
        <v>15941478</v>
      </c>
      <c r="E19" s="2" t="n">
        <f aca="false">$M19*input!E18</f>
        <v>10551469</v>
      </c>
      <c r="F19" s="2" t="n">
        <f aca="false">$M19*input!F18</f>
        <v>161677</v>
      </c>
      <c r="G19" s="2" t="n">
        <f aca="false">$M19*input!G18</f>
        <v>3804007</v>
      </c>
      <c r="H19" s="2" t="n">
        <f aca="false">$M19*input!H18</f>
        <v>3212300</v>
      </c>
      <c r="I19" s="2" t="n">
        <f aca="false">$M19*input!I18</f>
        <v>1915738</v>
      </c>
      <c r="J19" s="2" t="n">
        <f aca="false">$M19*input!J18</f>
        <v>1600084</v>
      </c>
      <c r="K19" s="2" t="n">
        <f aca="false">$M19*input!K18</f>
        <v>493925</v>
      </c>
      <c r="M19" s="3" t="n">
        <v>1</v>
      </c>
    </row>
    <row r="20" customFormat="false" ht="12.75" hidden="false" customHeight="false" outlineLevel="0" collapsed="false">
      <c r="A20" s="14" t="str">
        <f aca="false">input!A19</f>
        <v>B.II.3. Attrez. industriali</v>
      </c>
      <c r="B20" s="2" t="n">
        <f aca="false">$M20*input!B19</f>
        <v>149726</v>
      </c>
      <c r="C20" s="2" t="n">
        <f aca="false">$M20*input!C19</f>
        <v>187357</v>
      </c>
      <c r="D20" s="2" t="n">
        <f aca="false">$M20*input!D19</f>
        <v>241511</v>
      </c>
      <c r="E20" s="2" t="n">
        <f aca="false">$M20*input!E19</f>
        <v>239156</v>
      </c>
      <c r="F20" s="2" t="n">
        <f aca="false">$M20*input!F19</f>
        <v>27949</v>
      </c>
      <c r="G20" s="2" t="n">
        <f aca="false">$M20*input!G19</f>
        <v>253953</v>
      </c>
      <c r="H20" s="2" t="n">
        <f aca="false">$M20*input!H19</f>
        <v>229075</v>
      </c>
      <c r="I20" s="2" t="n">
        <f aca="false">$M20*input!I19</f>
        <v>38719</v>
      </c>
      <c r="J20" s="2" t="n">
        <f aca="false">$M20*input!J19</f>
        <v>21141</v>
      </c>
      <c r="K20" s="2" t="n">
        <f aca="false">$M20*input!K19</f>
        <v>29659</v>
      </c>
      <c r="M20" s="3" t="n">
        <v>1</v>
      </c>
    </row>
    <row r="21" customFormat="false" ht="12.75" hidden="false" customHeight="false" outlineLevel="0" collapsed="false">
      <c r="A21" s="14" t="str">
        <f aca="false">input!A20</f>
        <v>B.II.4. Altri beni</v>
      </c>
      <c r="B21" s="2" t="n">
        <f aca="false">$M21*input!B20</f>
        <v>190816</v>
      </c>
      <c r="C21" s="2" t="n">
        <f aca="false">$M21*input!C20</f>
        <v>240328</v>
      </c>
      <c r="D21" s="2" t="n">
        <f aca="false">$M21*input!D20</f>
        <v>291731</v>
      </c>
      <c r="E21" s="2" t="n">
        <f aca="false">$M21*input!E20</f>
        <v>232804</v>
      </c>
      <c r="F21" s="2" t="n">
        <f aca="false">$M21*input!F20</f>
        <v>61602</v>
      </c>
      <c r="G21" s="2" t="n">
        <f aca="false">$M21*input!G20</f>
        <v>174703</v>
      </c>
      <c r="H21" s="2" t="n">
        <f aca="false">$M21*input!H20</f>
        <v>120971</v>
      </c>
      <c r="I21" s="2" t="n">
        <f aca="false">$M21*input!I20</f>
        <v>121966</v>
      </c>
      <c r="J21" s="2" t="n">
        <f aca="false">$M21*input!J20</f>
        <v>123089</v>
      </c>
      <c r="K21" s="2" t="n">
        <f aca="false">$M21*input!K20</f>
        <v>120475</v>
      </c>
      <c r="M21" s="3" t="n">
        <v>1</v>
      </c>
    </row>
    <row r="22" customFormat="false" ht="12.75" hidden="false" customHeight="false" outlineLevel="0" collapsed="false">
      <c r="A22" s="14" t="str">
        <f aca="false">input!A21</f>
        <v>B.II.5. Imm. in corso/acconti</v>
      </c>
      <c r="B22" s="2" t="n">
        <f aca="false">$M22*input!B21</f>
        <v>10600</v>
      </c>
      <c r="C22" s="2" t="n">
        <f aca="false">$M22*input!C21</f>
        <v>184586</v>
      </c>
      <c r="D22" s="2" t="n">
        <f aca="false">$M22*input!D21</f>
        <v>18395251</v>
      </c>
      <c r="E22" s="2" t="n">
        <f aca="false">$M22*input!E21</f>
        <v>20122469</v>
      </c>
      <c r="F22" s="2" t="n">
        <f aca="false">$M22*input!F21</f>
        <v>6177666</v>
      </c>
      <c r="G22" s="2" t="n">
        <f aca="false">$M22*input!G21</f>
        <v>1109550</v>
      </c>
      <c r="H22" s="2" t="n">
        <f aca="false">$M22*input!H21</f>
        <v>862112</v>
      </c>
      <c r="I22" s="2" t="n">
        <f aca="false">$M22*input!I21</f>
        <v>7764349</v>
      </c>
      <c r="J22" s="2" t="n">
        <f aca="false">$M22*input!J21</f>
        <v>400000</v>
      </c>
      <c r="K22" s="2" t="n">
        <f aca="false">$M22*input!K21</f>
        <v>0</v>
      </c>
      <c r="M22" s="3" t="n">
        <v>1</v>
      </c>
    </row>
    <row r="23" customFormat="false" ht="12.75" hidden="false" customHeight="false" outlineLevel="0" collapsed="false">
      <c r="A23" s="14" t="str">
        <f aca="false">input!A22</f>
        <v>Fondo amm.to Immob. Materiali</v>
      </c>
      <c r="B23" s="2" t="n">
        <f aca="false">$M23*input!B22</f>
        <v>0</v>
      </c>
      <c r="C23" s="2" t="n">
        <f aca="false">$M23*input!C22</f>
        <v>0</v>
      </c>
      <c r="D23" s="2" t="n">
        <f aca="false">$M23*input!D22</f>
        <v>0</v>
      </c>
      <c r="E23" s="2" t="n">
        <f aca="false">$M23*input!E22</f>
        <v>0</v>
      </c>
      <c r="F23" s="2" t="n">
        <f aca="false">$M23*input!F22</f>
        <v>0</v>
      </c>
      <c r="G23" s="2" t="n">
        <f aca="false">$M23*input!G22</f>
        <v>0</v>
      </c>
      <c r="H23" s="2" t="n">
        <f aca="false">$M23*input!H22</f>
        <v>0</v>
      </c>
      <c r="I23" s="2" t="n">
        <f aca="false">$M23*input!I22</f>
        <v>0</v>
      </c>
      <c r="J23" s="2" t="n">
        <f aca="false">$M23*input!J22</f>
        <v>0</v>
      </c>
      <c r="K23" s="2" t="n">
        <f aca="false">$M23*input!K22</f>
        <v>0</v>
      </c>
      <c r="M23" s="3" t="n">
        <v>1</v>
      </c>
    </row>
    <row r="24" customFormat="false" ht="12.75" hidden="false" customHeight="false" outlineLevel="0" collapsed="false">
      <c r="A24" s="13" t="str">
        <f aca="false">input!A23</f>
        <v>B.III. TOTALE IMMOB. FINANZIARIE</v>
      </c>
      <c r="B24" s="2" t="n">
        <f aca="false">$M24*input!B23</f>
        <v>4664</v>
      </c>
      <c r="C24" s="2" t="n">
        <f aca="false">$M24*input!C23</f>
        <v>4639</v>
      </c>
      <c r="D24" s="2" t="n">
        <f aca="false">$M24*input!D23</f>
        <v>4307</v>
      </c>
      <c r="E24" s="2" t="n">
        <f aca="false">$M24*input!E23</f>
        <v>4316</v>
      </c>
      <c r="F24" s="2" t="n">
        <f aca="false">$M24*input!F23</f>
        <v>6314</v>
      </c>
      <c r="G24" s="2" t="n">
        <f aca="false">$M24*input!G23</f>
        <v>6301</v>
      </c>
      <c r="H24" s="2" t="n">
        <f aca="false">$M24*input!H23</f>
        <v>6381</v>
      </c>
      <c r="I24" s="2" t="n">
        <f aca="false">$M24*input!I23</f>
        <v>4044</v>
      </c>
      <c r="J24" s="2" t="n">
        <f aca="false">$M24*input!J23</f>
        <v>4019</v>
      </c>
      <c r="K24" s="2" t="n">
        <f aca="false">$M24*input!K23</f>
        <v>3716</v>
      </c>
      <c r="M24" s="3" t="n">
        <v>1</v>
      </c>
    </row>
    <row r="25" customFormat="false" ht="12.75" hidden="false" customHeight="false" outlineLevel="0" collapsed="false">
      <c r="A25" s="14" t="str">
        <f aca="false">input!A24</f>
        <v>di cui: esigibili entro l'esercizio successivo</v>
      </c>
      <c r="B25" s="2" t="n">
        <f aca="false">$M25*input!B24</f>
        <v>0</v>
      </c>
      <c r="C25" s="2" t="n">
        <f aca="false">$M25*input!C24</f>
        <v>0</v>
      </c>
      <c r="D25" s="2" t="n">
        <f aca="false">$M25*input!D24</f>
        <v>0</v>
      </c>
      <c r="E25" s="2" t="n">
        <f aca="false">$M25*input!E24</f>
        <v>0</v>
      </c>
      <c r="F25" s="2" t="n">
        <f aca="false">$M25*input!F24</f>
        <v>0</v>
      </c>
      <c r="G25" s="2" t="n">
        <f aca="false">$M25*input!G24</f>
        <v>0</v>
      </c>
      <c r="H25" s="2" t="n">
        <f aca="false">$M25*input!H24</f>
        <v>0</v>
      </c>
      <c r="I25" s="2" t="n">
        <f aca="false">$M25*input!I24</f>
        <v>0</v>
      </c>
      <c r="J25" s="2" t="n">
        <f aca="false">$M25*input!J24</f>
        <v>0</v>
      </c>
      <c r="K25" s="2" t="n">
        <f aca="false">$M25*input!K24</f>
        <v>0</v>
      </c>
      <c r="M25" s="3" t="n">
        <v>1</v>
      </c>
    </row>
    <row r="26" customFormat="false" ht="12.75" hidden="false" customHeight="false" outlineLevel="0" collapsed="false">
      <c r="A26" s="14" t="str">
        <f aca="false">input!A25</f>
        <v>B.III.1. TOT Partecipazioni</v>
      </c>
      <c r="B26" s="2" t="n">
        <f aca="false">$M26*input!B25</f>
        <v>3138</v>
      </c>
      <c r="C26" s="2" t="n">
        <f aca="false">$M26*input!C25</f>
        <v>3138</v>
      </c>
      <c r="D26" s="2" t="n">
        <f aca="false">$M26*input!D25</f>
        <v>3138</v>
      </c>
      <c r="E26" s="2" t="n">
        <f aca="false">$M26*input!E25</f>
        <v>3138</v>
      </c>
      <c r="F26" s="2" t="n">
        <f aca="false">$M26*input!F25</f>
        <v>3138</v>
      </c>
      <c r="G26" s="2" t="n">
        <f aca="false">$M26*input!G25</f>
        <v>3138</v>
      </c>
      <c r="H26" s="2" t="n">
        <f aca="false">$M26*input!H25</f>
        <v>3138</v>
      </c>
      <c r="I26" s="2" t="n">
        <f aca="false">$M26*input!I25</f>
        <v>3138</v>
      </c>
      <c r="J26" s="2" t="n">
        <f aca="false">$M26*input!J25</f>
        <v>3138</v>
      </c>
      <c r="K26" s="2" t="n">
        <f aca="false">$M26*input!K25</f>
        <v>2831</v>
      </c>
      <c r="M26" s="3" t="n">
        <v>1</v>
      </c>
    </row>
    <row r="27" customFormat="false" ht="12.75" hidden="false" customHeight="false" outlineLevel="0" collapsed="false">
      <c r="A27" s="15" t="str">
        <f aca="false">input!A26</f>
        <v>B.III.1.a. Imprese controllate</v>
      </c>
      <c r="B27" s="2" t="n">
        <f aca="false">$M27*input!B26</f>
        <v>0</v>
      </c>
      <c r="C27" s="2" t="n">
        <f aca="false">$M27*input!C26</f>
        <v>0</v>
      </c>
      <c r="D27" s="2" t="n">
        <f aca="false">$M27*input!D26</f>
        <v>0</v>
      </c>
      <c r="E27" s="2" t="n">
        <f aca="false">$M27*input!E26</f>
        <v>0</v>
      </c>
      <c r="F27" s="2" t="n">
        <f aca="false">$M27*input!F26</f>
        <v>0</v>
      </c>
      <c r="G27" s="2" t="n">
        <f aca="false">$M27*input!G26</f>
        <v>0</v>
      </c>
      <c r="H27" s="2" t="n">
        <f aca="false">$M27*input!H26</f>
        <v>0</v>
      </c>
      <c r="I27" s="2" t="n">
        <f aca="false">$M27*input!I26</f>
        <v>0</v>
      </c>
      <c r="J27" s="2" t="n">
        <f aca="false">$M27*input!J26</f>
        <v>0</v>
      </c>
      <c r="K27" s="2" t="n">
        <f aca="false">$M27*input!K26</f>
        <v>0</v>
      </c>
      <c r="M27" s="3" t="n">
        <v>1</v>
      </c>
      <c r="N27" s="3" t="s">
        <v>248</v>
      </c>
    </row>
    <row r="28" customFormat="false" ht="12.75" hidden="false" customHeight="false" outlineLevel="0" collapsed="false">
      <c r="A28" s="15" t="str">
        <f aca="false">input!A27</f>
        <v>B.III.1.b. Imprese collegate</v>
      </c>
      <c r="B28" s="2" t="n">
        <f aca="false">$M28*input!B27</f>
        <v>0</v>
      </c>
      <c r="C28" s="2" t="n">
        <f aca="false">$M28*input!C27</f>
        <v>0</v>
      </c>
      <c r="D28" s="2" t="n">
        <f aca="false">$M28*input!D27</f>
        <v>0</v>
      </c>
      <c r="E28" s="2" t="n">
        <f aca="false">$M28*input!E27</f>
        <v>0</v>
      </c>
      <c r="F28" s="2" t="n">
        <f aca="false">$M28*input!F27</f>
        <v>0</v>
      </c>
      <c r="G28" s="2" t="n">
        <f aca="false">$M28*input!G27</f>
        <v>0</v>
      </c>
      <c r="H28" s="2" t="n">
        <f aca="false">$M28*input!H27</f>
        <v>0</v>
      </c>
      <c r="I28" s="2" t="n">
        <f aca="false">$M28*input!I27</f>
        <v>0</v>
      </c>
      <c r="J28" s="2" t="n">
        <f aca="false">$M28*input!J27</f>
        <v>0</v>
      </c>
      <c r="K28" s="2" t="n">
        <f aca="false">$M28*input!K27</f>
        <v>0</v>
      </c>
      <c r="M28" s="3" t="n">
        <v>1</v>
      </c>
      <c r="N28" s="3" t="s">
        <v>248</v>
      </c>
    </row>
    <row r="29" customFormat="false" ht="12.75" hidden="false" customHeight="false" outlineLevel="0" collapsed="false">
      <c r="A29" s="15" t="str">
        <f aca="false">input!A28</f>
        <v>B.III.1.c. Imprese controllanti</v>
      </c>
      <c r="B29" s="2" t="n">
        <f aca="false">$M29*input!B28</f>
        <v>0</v>
      </c>
      <c r="C29" s="2" t="n">
        <f aca="false">$M29*input!C28</f>
        <v>0</v>
      </c>
      <c r="D29" s="2" t="n">
        <f aca="false">$M29*input!D28</f>
        <v>0</v>
      </c>
      <c r="E29" s="2" t="n">
        <f aca="false">$M29*input!E28</f>
        <v>0</v>
      </c>
      <c r="F29" s="2" t="n">
        <f aca="false">$M29*input!F28</f>
        <v>0</v>
      </c>
      <c r="G29" s="2" t="n">
        <f aca="false">$M29*input!G28</f>
        <v>0</v>
      </c>
      <c r="H29" s="2" t="n">
        <f aca="false">$M29*input!H28</f>
        <v>0</v>
      </c>
      <c r="I29" s="2" t="n">
        <f aca="false">$M29*input!I28</f>
        <v>0</v>
      </c>
      <c r="J29" s="2" t="n">
        <f aca="false">$M29*input!J28</f>
        <v>0</v>
      </c>
      <c r="K29" s="2" t="n">
        <f aca="false">$M29*input!K28</f>
        <v>0</v>
      </c>
      <c r="M29" s="3" t="n">
        <v>1</v>
      </c>
      <c r="N29" s="3" t="s">
        <v>249</v>
      </c>
    </row>
    <row r="30" customFormat="false" ht="12.75" hidden="false" customHeight="false" outlineLevel="0" collapsed="false">
      <c r="A30" s="15" t="str">
        <f aca="false">input!A29</f>
        <v>B.III.1.d. In imprese sottoposte al controllo delle controllanti</v>
      </c>
      <c r="B30" s="2" t="n">
        <f aca="false">$M30*input!B29</f>
        <v>0</v>
      </c>
      <c r="C30" s="2" t="n">
        <f aca="false">$M30*input!C29</f>
        <v>0</v>
      </c>
      <c r="D30" s="2" t="n">
        <f aca="false">$M30*input!D29</f>
        <v>0</v>
      </c>
      <c r="E30" s="2" t="n">
        <f aca="false">$M30*input!E29</f>
        <v>0</v>
      </c>
      <c r="F30" s="2" t="n">
        <f aca="false">$M30*input!F29</f>
        <v>0</v>
      </c>
      <c r="G30" s="2" t="n">
        <f aca="false">$M30*input!G29</f>
        <v>0</v>
      </c>
      <c r="H30" s="2" t="n">
        <f aca="false">$M30*input!H29</f>
        <v>0</v>
      </c>
      <c r="I30" s="2" t="n">
        <f aca="false">$M30*input!I29</f>
        <v>0</v>
      </c>
      <c r="J30" s="2" t="n">
        <f aca="false">$M30*input!J29</f>
        <v>0</v>
      </c>
      <c r="K30" s="2" t="n">
        <f aca="false">$M30*input!K29</f>
        <v>0</v>
      </c>
      <c r="M30" s="3" t="n">
        <v>1</v>
      </c>
      <c r="N30" s="3" t="s">
        <v>249</v>
      </c>
    </row>
    <row r="31" customFormat="false" ht="12.75" hidden="false" customHeight="false" outlineLevel="0" collapsed="false">
      <c r="A31" s="15" t="str">
        <f aca="false">input!A30</f>
        <v>B.III.1.d.bis. Altre imprese</v>
      </c>
      <c r="B31" s="2" t="n">
        <f aca="false">$M31*input!B30</f>
        <v>3138</v>
      </c>
      <c r="C31" s="2" t="n">
        <f aca="false">$M31*input!C30</f>
        <v>3138</v>
      </c>
      <c r="D31" s="2" t="n">
        <f aca="false">$M31*input!D30</f>
        <v>3138</v>
      </c>
      <c r="E31" s="2" t="n">
        <f aca="false">$M31*input!E30</f>
        <v>3138</v>
      </c>
      <c r="F31" s="2" t="n">
        <f aca="false">$M31*input!F30</f>
        <v>3138</v>
      </c>
      <c r="G31" s="2" t="n">
        <f aca="false">$M31*input!G30</f>
        <v>3138</v>
      </c>
      <c r="H31" s="2" t="n">
        <f aca="false">$M31*input!H30</f>
        <v>3138</v>
      </c>
      <c r="I31" s="2" t="n">
        <f aca="false">$M31*input!I30</f>
        <v>3138</v>
      </c>
      <c r="J31" s="2" t="n">
        <f aca="false">$M31*input!J30</f>
        <v>3138</v>
      </c>
      <c r="K31" s="2" t="n">
        <f aca="false">$M31*input!K30</f>
        <v>2831</v>
      </c>
      <c r="M31" s="3" t="n">
        <v>1</v>
      </c>
      <c r="N31" s="3" t="s">
        <v>248</v>
      </c>
    </row>
    <row r="32" customFormat="false" ht="12.75" hidden="false" customHeight="false" outlineLevel="0" collapsed="false">
      <c r="A32" s="14" t="str">
        <f aca="false">input!A31</f>
        <v>B.III.2. TOT CREDITI Imm. Fin.</v>
      </c>
      <c r="B32" s="2" t="n">
        <f aca="false">$M32*input!B31</f>
        <v>1526</v>
      </c>
      <c r="C32" s="2" t="n">
        <f aca="false">$M32*input!C31</f>
        <v>1501</v>
      </c>
      <c r="D32" s="2" t="n">
        <f aca="false">$M32*input!D31</f>
        <v>1169</v>
      </c>
      <c r="E32" s="2" t="n">
        <f aca="false">$M32*input!E31</f>
        <v>1178</v>
      </c>
      <c r="F32" s="2" t="n">
        <f aca="false">$M32*input!F31</f>
        <v>3176</v>
      </c>
      <c r="G32" s="2" t="n">
        <f aca="false">$M32*input!G31</f>
        <v>3163</v>
      </c>
      <c r="H32" s="2" t="n">
        <f aca="false">$M32*input!H31</f>
        <v>3243</v>
      </c>
      <c r="I32" s="2" t="n">
        <f aca="false">$M32*input!I31</f>
        <v>906</v>
      </c>
      <c r="J32" s="2" t="n">
        <f aca="false">$M32*input!J31</f>
        <v>881</v>
      </c>
      <c r="K32" s="2" t="n">
        <f aca="false">$M32*input!K31</f>
        <v>885</v>
      </c>
      <c r="M32" s="3" t="n">
        <v>1</v>
      </c>
    </row>
    <row r="33" customFormat="false" ht="12.75" hidden="false" customHeight="false" outlineLevel="0" collapsed="false">
      <c r="A33" s="15" t="str">
        <f aca="false">input!A32</f>
        <v>B.III.2.a. Cred. vs Controllate entro</v>
      </c>
      <c r="B33" s="2" t="n">
        <f aca="false">$M33*input!B32</f>
        <v>0</v>
      </c>
      <c r="C33" s="2" t="n">
        <f aca="false">$M33*input!C32</f>
        <v>0</v>
      </c>
      <c r="D33" s="2" t="n">
        <f aca="false">$M33*input!D32</f>
        <v>0</v>
      </c>
      <c r="E33" s="2" t="n">
        <f aca="false">$M33*input!E32</f>
        <v>0</v>
      </c>
      <c r="F33" s="2" t="n">
        <f aca="false">$M33*input!F32</f>
        <v>0</v>
      </c>
      <c r="G33" s="2" t="n">
        <f aca="false">$M33*input!G32</f>
        <v>0</v>
      </c>
      <c r="H33" s="2" t="n">
        <f aca="false">$M33*input!H32</f>
        <v>0</v>
      </c>
      <c r="I33" s="2" t="n">
        <f aca="false">$M33*input!I32</f>
        <v>0</v>
      </c>
      <c r="J33" s="2" t="n">
        <f aca="false">$M33*input!J32</f>
        <v>0</v>
      </c>
      <c r="K33" s="2" t="n">
        <f aca="false">$M33*input!K32</f>
        <v>0</v>
      </c>
      <c r="M33" s="3" t="n">
        <v>1</v>
      </c>
      <c r="N33" s="3" t="s">
        <v>250</v>
      </c>
    </row>
    <row r="34" customFormat="false" ht="12.75" hidden="false" customHeight="false" outlineLevel="0" collapsed="false">
      <c r="A34" s="15" t="str">
        <f aca="false">input!A33</f>
        <v>B.III.2.a. Cred. vs Controllate oltre</v>
      </c>
      <c r="B34" s="2" t="n">
        <f aca="false">$M34*input!B33</f>
        <v>0</v>
      </c>
      <c r="C34" s="2" t="n">
        <f aca="false">$M34*input!C33</f>
        <v>0</v>
      </c>
      <c r="D34" s="2" t="n">
        <f aca="false">$M34*input!D33</f>
        <v>0</v>
      </c>
      <c r="E34" s="2" t="n">
        <f aca="false">$M34*input!E33</f>
        <v>0</v>
      </c>
      <c r="F34" s="2" t="n">
        <f aca="false">$M34*input!F33</f>
        <v>0</v>
      </c>
      <c r="G34" s="2" t="n">
        <f aca="false">$M34*input!G33</f>
        <v>0</v>
      </c>
      <c r="H34" s="2" t="n">
        <f aca="false">$M34*input!H33</f>
        <v>0</v>
      </c>
      <c r="I34" s="2" t="n">
        <f aca="false">$M34*input!I33</f>
        <v>0</v>
      </c>
      <c r="J34" s="2" t="n">
        <f aca="false">$M34*input!J33</f>
        <v>0</v>
      </c>
      <c r="K34" s="2" t="n">
        <f aca="false">$M34*input!K33</f>
        <v>0</v>
      </c>
      <c r="M34" s="3" t="n">
        <v>1</v>
      </c>
      <c r="N34" s="3" t="s">
        <v>250</v>
      </c>
    </row>
    <row r="35" customFormat="false" ht="12.75" hidden="false" customHeight="false" outlineLevel="0" collapsed="false">
      <c r="A35" s="15" t="str">
        <f aca="false">input!A34</f>
        <v>B.III.2.b. Cred. vs Collegate entro</v>
      </c>
      <c r="B35" s="2" t="n">
        <f aca="false">$M35*input!B34</f>
        <v>0</v>
      </c>
      <c r="C35" s="2" t="n">
        <f aca="false">$M35*input!C34</f>
        <v>0</v>
      </c>
      <c r="D35" s="2" t="n">
        <f aca="false">$M35*input!D34</f>
        <v>0</v>
      </c>
      <c r="E35" s="2" t="n">
        <f aca="false">$M35*input!E34</f>
        <v>0</v>
      </c>
      <c r="F35" s="2" t="n">
        <f aca="false">$M35*input!F34</f>
        <v>0</v>
      </c>
      <c r="G35" s="2" t="n">
        <f aca="false">$M35*input!G34</f>
        <v>0</v>
      </c>
      <c r="H35" s="2" t="n">
        <f aca="false">$M35*input!H34</f>
        <v>0</v>
      </c>
      <c r="I35" s="2" t="n">
        <f aca="false">$M35*input!I34</f>
        <v>0</v>
      </c>
      <c r="J35" s="2" t="n">
        <f aca="false">$M35*input!J34</f>
        <v>0</v>
      </c>
      <c r="K35" s="2" t="n">
        <f aca="false">$M35*input!K34</f>
        <v>0</v>
      </c>
      <c r="M35" s="3" t="n">
        <v>1</v>
      </c>
      <c r="N35" s="3" t="s">
        <v>250</v>
      </c>
    </row>
    <row r="36" customFormat="false" ht="12.75" hidden="false" customHeight="false" outlineLevel="0" collapsed="false">
      <c r="A36" s="15" t="str">
        <f aca="false">input!A35</f>
        <v>B.III.2.b. Cred. vs Collegate oltre</v>
      </c>
      <c r="B36" s="2" t="n">
        <f aca="false">$M36*input!B35</f>
        <v>0</v>
      </c>
      <c r="C36" s="2" t="n">
        <f aca="false">$M36*input!C35</f>
        <v>0</v>
      </c>
      <c r="D36" s="2" t="n">
        <f aca="false">$M36*input!D35</f>
        <v>0</v>
      </c>
      <c r="E36" s="2" t="n">
        <f aca="false">$M36*input!E35</f>
        <v>0</v>
      </c>
      <c r="F36" s="2" t="n">
        <f aca="false">$M36*input!F35</f>
        <v>0</v>
      </c>
      <c r="G36" s="2" t="n">
        <f aca="false">$M36*input!G35</f>
        <v>0</v>
      </c>
      <c r="H36" s="2" t="n">
        <f aca="false">$M36*input!H35</f>
        <v>0</v>
      </c>
      <c r="I36" s="2" t="n">
        <f aca="false">$M36*input!I35</f>
        <v>0</v>
      </c>
      <c r="J36" s="2" t="n">
        <f aca="false">$M36*input!J35</f>
        <v>0</v>
      </c>
      <c r="K36" s="2" t="n">
        <f aca="false">$M36*input!K35</f>
        <v>0</v>
      </c>
      <c r="M36" s="3" t="n">
        <v>1</v>
      </c>
      <c r="N36" s="3" t="s">
        <v>250</v>
      </c>
    </row>
    <row r="37" customFormat="false" ht="12.75" hidden="false" customHeight="false" outlineLevel="0" collapsed="false">
      <c r="A37" s="15" t="str">
        <f aca="false">input!A36</f>
        <v>B.III.2.c. Cred. vs Controllanti entro</v>
      </c>
      <c r="B37" s="2" t="n">
        <f aca="false">$M37*input!B36</f>
        <v>-0</v>
      </c>
      <c r="C37" s="2" t="n">
        <f aca="false">$M37*input!C36</f>
        <v>-0</v>
      </c>
      <c r="D37" s="2" t="n">
        <f aca="false">$M37*input!D36</f>
        <v>-0</v>
      </c>
      <c r="E37" s="2" t="n">
        <f aca="false">$M37*input!E36</f>
        <v>-0</v>
      </c>
      <c r="F37" s="2" t="n">
        <f aca="false">$M37*input!F36</f>
        <v>-0</v>
      </c>
      <c r="G37" s="2" t="n">
        <f aca="false">$M37*input!G36</f>
        <v>-0</v>
      </c>
      <c r="H37" s="2" t="n">
        <f aca="false">$M37*input!H36</f>
        <v>-0</v>
      </c>
      <c r="I37" s="2" t="n">
        <f aca="false">$M37*input!I36</f>
        <v>-0</v>
      </c>
      <c r="J37" s="2" t="n">
        <f aca="false">$M37*input!J36</f>
        <v>-0</v>
      </c>
      <c r="K37" s="2" t="n">
        <f aca="false">$M37*input!K36</f>
        <v>-0</v>
      </c>
      <c r="M37" s="3" t="n">
        <v>-1</v>
      </c>
      <c r="N37" s="3" t="s">
        <v>245</v>
      </c>
    </row>
    <row r="38" customFormat="false" ht="12.75" hidden="false" customHeight="false" outlineLevel="0" collapsed="false">
      <c r="A38" s="15" t="str">
        <f aca="false">input!A37</f>
        <v>B.III.2.c. Cred. vs Controllanti oltre</v>
      </c>
      <c r="B38" s="2" t="n">
        <f aca="false">$M38*input!B37</f>
        <v>-0</v>
      </c>
      <c r="C38" s="2" t="n">
        <f aca="false">$M38*input!C37</f>
        <v>-0</v>
      </c>
      <c r="D38" s="2" t="n">
        <f aca="false">$M38*input!D37</f>
        <v>-0</v>
      </c>
      <c r="E38" s="2" t="n">
        <f aca="false">$M38*input!E37</f>
        <v>-0</v>
      </c>
      <c r="F38" s="2" t="n">
        <f aca="false">$M38*input!F37</f>
        <v>-0</v>
      </c>
      <c r="G38" s="2" t="n">
        <f aca="false">$M38*input!G37</f>
        <v>-0</v>
      </c>
      <c r="H38" s="2" t="n">
        <f aca="false">$M38*input!H37</f>
        <v>-0</v>
      </c>
      <c r="I38" s="2" t="n">
        <f aca="false">$M38*input!I37</f>
        <v>-0</v>
      </c>
      <c r="J38" s="2" t="n">
        <f aca="false">$M38*input!J37</f>
        <v>-0</v>
      </c>
      <c r="K38" s="2" t="n">
        <f aca="false">$M38*input!K37</f>
        <v>-0</v>
      </c>
      <c r="M38" s="3" t="n">
        <v>-1</v>
      </c>
      <c r="N38" s="3" t="s">
        <v>245</v>
      </c>
    </row>
    <row r="39" customFormat="false" ht="12.75" hidden="false" customHeight="false" outlineLevel="0" collapsed="false">
      <c r="A39" s="15" t="str">
        <f aca="false">input!A38</f>
        <v>B.III.2.d. Cred. vs imprese sottoposte al controllo delle controllanti entro</v>
      </c>
      <c r="B39" s="2" t="n">
        <f aca="false">$M39*input!B38</f>
        <v>-0</v>
      </c>
      <c r="C39" s="2" t="n">
        <f aca="false">$M39*input!C38</f>
        <v>-0</v>
      </c>
      <c r="D39" s="2" t="n">
        <f aca="false">$M39*input!D38</f>
        <v>-0</v>
      </c>
      <c r="E39" s="2" t="n">
        <f aca="false">$M39*input!E38</f>
        <v>-0</v>
      </c>
      <c r="F39" s="2" t="n">
        <f aca="false">$M39*input!F38</f>
        <v>-0</v>
      </c>
      <c r="G39" s="2" t="n">
        <f aca="false">$M39*input!G38</f>
        <v>-0</v>
      </c>
      <c r="H39" s="2" t="n">
        <f aca="false">$M39*input!H38</f>
        <v>-0</v>
      </c>
      <c r="I39" s="2" t="n">
        <f aca="false">$M39*input!I38</f>
        <v>-0</v>
      </c>
      <c r="J39" s="2" t="n">
        <f aca="false">$M39*input!J38</f>
        <v>-0</v>
      </c>
      <c r="K39" s="2" t="n">
        <f aca="false">$M39*input!K38</f>
        <v>-0</v>
      </c>
      <c r="M39" s="3" t="n">
        <v>-1</v>
      </c>
      <c r="N39" s="3" t="s">
        <v>245</v>
      </c>
    </row>
    <row r="40" customFormat="false" ht="12.75" hidden="false" customHeight="false" outlineLevel="0" collapsed="false">
      <c r="A40" s="15" t="str">
        <f aca="false">input!A39</f>
        <v>B.III.2.d. Cred. vs imprese sottoposte al controllo delle controllanti oltre</v>
      </c>
      <c r="B40" s="2" t="n">
        <f aca="false">$M40*input!B39</f>
        <v>-0</v>
      </c>
      <c r="C40" s="2" t="n">
        <f aca="false">$M40*input!C39</f>
        <v>-0</v>
      </c>
      <c r="D40" s="2" t="n">
        <f aca="false">$M40*input!D39</f>
        <v>-0</v>
      </c>
      <c r="E40" s="2" t="n">
        <f aca="false">$M40*input!E39</f>
        <v>-0</v>
      </c>
      <c r="F40" s="2" t="n">
        <f aca="false">$M40*input!F39</f>
        <v>-0</v>
      </c>
      <c r="G40" s="2" t="n">
        <f aca="false">$M40*input!G39</f>
        <v>-0</v>
      </c>
      <c r="H40" s="2" t="n">
        <f aca="false">$M40*input!H39</f>
        <v>-0</v>
      </c>
      <c r="I40" s="2" t="n">
        <f aca="false">$M40*input!I39</f>
        <v>-0</v>
      </c>
      <c r="J40" s="2" t="n">
        <f aca="false">$M40*input!J39</f>
        <v>-0</v>
      </c>
      <c r="K40" s="2" t="n">
        <f aca="false">$M40*input!K39</f>
        <v>-0</v>
      </c>
      <c r="M40" s="3" t="n">
        <v>-1</v>
      </c>
      <c r="N40" s="3" t="s">
        <v>245</v>
      </c>
    </row>
    <row r="41" customFormat="false" ht="12.75" hidden="false" customHeight="false" outlineLevel="0" collapsed="false">
      <c r="A41" s="15" t="str">
        <f aca="false">input!A40</f>
        <v>B.III.2.d.bis. Cred. vs Altri entro</v>
      </c>
      <c r="B41" s="2" t="n">
        <f aca="false">$M41*input!B40</f>
        <v>0</v>
      </c>
      <c r="C41" s="2" t="n">
        <f aca="false">$M41*input!C40</f>
        <v>0</v>
      </c>
      <c r="D41" s="2" t="n">
        <f aca="false">$M41*input!D40</f>
        <v>0</v>
      </c>
      <c r="E41" s="2" t="n">
        <f aca="false">$M41*input!E40</f>
        <v>0</v>
      </c>
      <c r="F41" s="2" t="n">
        <f aca="false">$M41*input!F40</f>
        <v>0</v>
      </c>
      <c r="G41" s="2" t="n">
        <f aca="false">$M41*input!G40</f>
        <v>0</v>
      </c>
      <c r="H41" s="2" t="n">
        <f aca="false">$M41*input!H40</f>
        <v>0</v>
      </c>
      <c r="I41" s="2" t="n">
        <f aca="false">$M41*input!I40</f>
        <v>0</v>
      </c>
      <c r="J41" s="2" t="n">
        <f aca="false">$M41*input!J40</f>
        <v>0</v>
      </c>
      <c r="K41" s="2" t="n">
        <f aca="false">$M41*input!K40</f>
        <v>0</v>
      </c>
      <c r="M41" s="3" t="n">
        <v>1</v>
      </c>
      <c r="N41" s="3" t="s">
        <v>251</v>
      </c>
    </row>
    <row r="42" customFormat="false" ht="12" hidden="false" customHeight="true" outlineLevel="0" collapsed="false">
      <c r="A42" s="15" t="str">
        <f aca="false">input!A41</f>
        <v>B.III.2.d.bis Cred. vs Altri oltre</v>
      </c>
      <c r="B42" s="2" t="n">
        <f aca="false">$M42*input!B41</f>
        <v>1526</v>
      </c>
      <c r="C42" s="2" t="n">
        <f aca="false">$M42*input!C41</f>
        <v>1501</v>
      </c>
      <c r="D42" s="2" t="n">
        <f aca="false">$M42*input!D41</f>
        <v>1169</v>
      </c>
      <c r="E42" s="2" t="n">
        <f aca="false">$M42*input!E41</f>
        <v>1178</v>
      </c>
      <c r="F42" s="2" t="n">
        <f aca="false">$M42*input!F41</f>
        <v>3176</v>
      </c>
      <c r="G42" s="2" t="n">
        <f aca="false">$M42*input!G41</f>
        <v>3163</v>
      </c>
      <c r="H42" s="2" t="n">
        <f aca="false">$M42*input!H41</f>
        <v>3243</v>
      </c>
      <c r="I42" s="2" t="n">
        <f aca="false">$M42*input!I41</f>
        <v>906</v>
      </c>
      <c r="J42" s="2" t="n">
        <f aca="false">$M42*input!J41</f>
        <v>881</v>
      </c>
      <c r="K42" s="2" t="n">
        <f aca="false">$M42*input!K41</f>
        <v>885</v>
      </c>
      <c r="M42" s="3" t="n">
        <v>1</v>
      </c>
      <c r="N42" s="3" t="s">
        <v>251</v>
      </c>
    </row>
    <row r="43" customFormat="false" ht="12.75" hidden="false" customHeight="false" outlineLevel="0" collapsed="false">
      <c r="A43" s="14" t="str">
        <f aca="false">input!A42</f>
        <v>B.III. CREDITI FIN. A BREVE</v>
      </c>
      <c r="B43" s="2" t="n">
        <f aca="false">$M43*input!B42</f>
        <v>0</v>
      </c>
      <c r="C43" s="2" t="n">
        <f aca="false">$M43*input!C42</f>
        <v>0</v>
      </c>
      <c r="D43" s="2" t="n">
        <f aca="false">$M43*input!D42</f>
        <v>0</v>
      </c>
      <c r="E43" s="2" t="n">
        <f aca="false">$M43*input!E42</f>
        <v>0</v>
      </c>
      <c r="F43" s="2" t="n">
        <f aca="false">$M43*input!F42</f>
        <v>0</v>
      </c>
      <c r="G43" s="2" t="n">
        <f aca="false">$M43*input!G42</f>
        <v>0</v>
      </c>
      <c r="H43" s="2" t="n">
        <f aca="false">$M43*input!H42</f>
        <v>0</v>
      </c>
      <c r="I43" s="2" t="n">
        <f aca="false">$M43*input!I42</f>
        <v>0</v>
      </c>
      <c r="J43" s="2" t="n">
        <f aca="false">$M43*input!J42</f>
        <v>0</v>
      </c>
      <c r="K43" s="2" t="n">
        <f aca="false">$M43*input!K42</f>
        <v>0</v>
      </c>
      <c r="M43" s="3" t="n">
        <v>1</v>
      </c>
    </row>
    <row r="44" customFormat="false" ht="12.75" hidden="false" customHeight="false" outlineLevel="0" collapsed="false">
      <c r="A44" s="14" t="str">
        <f aca="false">input!A43</f>
        <v>B.III. CREDITI FIN. A OLTRE</v>
      </c>
      <c r="B44" s="2" t="n">
        <f aca="false">$M44*input!B43</f>
        <v>1526</v>
      </c>
      <c r="C44" s="2" t="n">
        <f aca="false">$M44*input!C43</f>
        <v>1501</v>
      </c>
      <c r="D44" s="2" t="n">
        <f aca="false">$M44*input!D43</f>
        <v>1169</v>
      </c>
      <c r="E44" s="2" t="n">
        <f aca="false">$M44*input!E43</f>
        <v>1178</v>
      </c>
      <c r="F44" s="2" t="n">
        <f aca="false">$M44*input!F43</f>
        <v>3176</v>
      </c>
      <c r="G44" s="2" t="n">
        <f aca="false">$M44*input!G43</f>
        <v>3163</v>
      </c>
      <c r="H44" s="2" t="n">
        <f aca="false">$M44*input!H43</f>
        <v>3243</v>
      </c>
      <c r="I44" s="2" t="n">
        <f aca="false">$M44*input!I43</f>
        <v>906</v>
      </c>
      <c r="J44" s="2" t="n">
        <f aca="false">$M44*input!J43</f>
        <v>881</v>
      </c>
      <c r="K44" s="2" t="n">
        <f aca="false">$M44*input!K43</f>
        <v>885</v>
      </c>
      <c r="M44" s="3" t="n">
        <v>1</v>
      </c>
    </row>
    <row r="45" customFormat="false" ht="12.75" hidden="false" customHeight="false" outlineLevel="0" collapsed="false">
      <c r="A45" s="14" t="str">
        <f aca="false">input!A44</f>
        <v>B.III.3. Altri titoli</v>
      </c>
      <c r="B45" s="2" t="n">
        <f aca="false">$M45*input!B44</f>
        <v>0</v>
      </c>
      <c r="C45" s="2" t="n">
        <f aca="false">$M45*input!C44</f>
        <v>0</v>
      </c>
      <c r="D45" s="2" t="n">
        <f aca="false">$M45*input!D44</f>
        <v>0</v>
      </c>
      <c r="E45" s="2" t="n">
        <f aca="false">$M45*input!E44</f>
        <v>0</v>
      </c>
      <c r="F45" s="2" t="n">
        <f aca="false">$M45*input!F44</f>
        <v>0</v>
      </c>
      <c r="G45" s="2" t="n">
        <f aca="false">$M45*input!G44</f>
        <v>0</v>
      </c>
      <c r="H45" s="2" t="n">
        <f aca="false">$M45*input!H44</f>
        <v>0</v>
      </c>
      <c r="I45" s="2" t="n">
        <f aca="false">$M45*input!I44</f>
        <v>0</v>
      </c>
      <c r="J45" s="2" t="n">
        <f aca="false">$M45*input!J44</f>
        <v>0</v>
      </c>
      <c r="K45" s="2" t="n">
        <f aca="false">$M45*input!K44</f>
        <v>0</v>
      </c>
      <c r="M45" s="3" t="n">
        <v>1</v>
      </c>
      <c r="N45" s="3" t="s">
        <v>248</v>
      </c>
    </row>
    <row r="46" customFormat="false" ht="12.75" hidden="false" customHeight="false" outlineLevel="0" collapsed="false">
      <c r="A46" s="15" t="str">
        <f aca="false">input!A45</f>
        <v>B.III.3.bis. Azioni proprie</v>
      </c>
      <c r="B46" s="2" t="n">
        <f aca="false">$M46*input!B45</f>
        <v>-0</v>
      </c>
      <c r="C46" s="2" t="n">
        <f aca="false">$M46*input!C45</f>
        <v>-0</v>
      </c>
      <c r="D46" s="2" t="n">
        <f aca="false">$M46*input!D45</f>
        <v>-0</v>
      </c>
      <c r="E46" s="2" t="n">
        <f aca="false">$M46*input!E45</f>
        <v>-0</v>
      </c>
      <c r="F46" s="2" t="n">
        <f aca="false">$M46*input!F45</f>
        <v>-0</v>
      </c>
      <c r="G46" s="2" t="n">
        <f aca="false">$M46*input!G45</f>
        <v>-0</v>
      </c>
      <c r="H46" s="2" t="n">
        <f aca="false">$M46*input!H45</f>
        <v>-0</v>
      </c>
      <c r="I46" s="2" t="n">
        <f aca="false">$M46*input!I45</f>
        <v>-0</v>
      </c>
      <c r="J46" s="2" t="n">
        <f aca="false">$M46*input!J45</f>
        <v>-0</v>
      </c>
      <c r="K46" s="2" t="n">
        <f aca="false">$M46*input!K45</f>
        <v>-0</v>
      </c>
      <c r="M46" s="3" t="n">
        <v>-1</v>
      </c>
      <c r="N46" s="3" t="s">
        <v>249</v>
      </c>
    </row>
    <row r="47" customFormat="false" ht="12.75" hidden="false" customHeight="false" outlineLevel="0" collapsed="false">
      <c r="A47" s="14" t="str">
        <f aca="false">input!A46</f>
        <v>B.III.4. Strumenti finanziari derivati attivi</v>
      </c>
      <c r="B47" s="2" t="n">
        <f aca="false">$M47*input!B46</f>
        <v>0</v>
      </c>
      <c r="C47" s="2" t="n">
        <f aca="false">$M47*input!C46</f>
        <v>0</v>
      </c>
      <c r="D47" s="2" t="n">
        <f aca="false">$M47*input!D46</f>
        <v>0</v>
      </c>
      <c r="E47" s="2" t="n">
        <f aca="false">$M47*input!E46</f>
        <v>0</v>
      </c>
      <c r="F47" s="2" t="n">
        <f aca="false">$M47*input!F46</f>
        <v>0</v>
      </c>
      <c r="G47" s="2" t="n">
        <f aca="false">$M47*input!G46</f>
        <v>0</v>
      </c>
      <c r="H47" s="2" t="n">
        <f aca="false">$M47*input!H46</f>
        <v>0</v>
      </c>
      <c r="I47" s="2" t="n">
        <f aca="false">$M47*input!I46</f>
        <v>0</v>
      </c>
      <c r="J47" s="2" t="n">
        <f aca="false">$M47*input!J46</f>
        <v>0</v>
      </c>
      <c r="K47" s="2" t="n">
        <f aca="false">$M47*input!K46</f>
        <v>0</v>
      </c>
      <c r="M47" s="3" t="n">
        <v>1</v>
      </c>
      <c r="N47" s="3" t="s">
        <v>252</v>
      </c>
    </row>
    <row r="48" customFormat="false" ht="12.75" hidden="false" customHeight="false" outlineLevel="0" collapsed="false">
      <c r="A48" s="13" t="str">
        <f aca="false">input!A47</f>
        <v>Azioni proprie DI CUI: Val nominale</v>
      </c>
      <c r="B48" s="2" t="n">
        <f aca="false">$M48*input!B47</f>
        <v>0</v>
      </c>
      <c r="C48" s="2" t="n">
        <f aca="false">$M48*input!C47</f>
        <v>0</v>
      </c>
      <c r="D48" s="2" t="n">
        <f aca="false">$M48*input!D47</f>
        <v>0</v>
      </c>
      <c r="E48" s="2" t="n">
        <f aca="false">$M48*input!E47</f>
        <v>0</v>
      </c>
      <c r="F48" s="2" t="n">
        <f aca="false">$M48*input!F47</f>
        <v>0</v>
      </c>
      <c r="G48" s="2" t="n">
        <f aca="false">$M48*input!G47</f>
        <v>0</v>
      </c>
      <c r="H48" s="2" t="n">
        <f aca="false">$M48*input!H47</f>
        <v>0</v>
      </c>
      <c r="I48" s="2" t="n">
        <f aca="false">$M48*input!I47</f>
        <v>0</v>
      </c>
      <c r="J48" s="2" t="n">
        <f aca="false">$M48*input!J47</f>
        <v>0</v>
      </c>
      <c r="K48" s="2" t="n">
        <f aca="false">$M48*input!K47</f>
        <v>0</v>
      </c>
      <c r="M48" s="3" t="n">
        <v>1</v>
      </c>
    </row>
    <row r="49" customFormat="false" ht="12.75" hidden="false" customHeight="false" outlineLevel="0" collapsed="false">
      <c r="A49" s="16" t="s">
        <v>253</v>
      </c>
    </row>
    <row r="50" s="11" customFormat="true" ht="13.5" hidden="false" customHeight="true" outlineLevel="0" collapsed="false">
      <c r="A50" s="9" t="str">
        <f aca="false">input!A48</f>
        <v>C. ATTIVO CIRCOLANTE</v>
      </c>
      <c r="B50" s="10" t="n">
        <f aca="false">$M50*input!B48</f>
        <v>21621077</v>
      </c>
      <c r="C50" s="10" t="n">
        <f aca="false">$M50*input!C48</f>
        <v>17823878</v>
      </c>
      <c r="D50" s="10" t="n">
        <f aca="false">$M50*input!D48</f>
        <v>15526155</v>
      </c>
      <c r="E50" s="10" t="n">
        <f aca="false">$M50*input!E48</f>
        <v>11190400</v>
      </c>
      <c r="F50" s="10" t="n">
        <f aca="false">$M50*input!F48</f>
        <v>15238160</v>
      </c>
      <c r="G50" s="10" t="n">
        <f aca="false">$M50*input!G48</f>
        <v>12526418</v>
      </c>
      <c r="H50" s="10" t="n">
        <f aca="false">$M50*input!H48</f>
        <v>10223659</v>
      </c>
      <c r="I50" s="10" t="n">
        <f aca="false">$M50*input!I48</f>
        <v>8930767</v>
      </c>
      <c r="J50" s="10" t="n">
        <f aca="false">$M50*input!J48</f>
        <v>6506344</v>
      </c>
      <c r="K50" s="10" t="n">
        <f aca="false">$M50*input!K48</f>
        <v>6638782</v>
      </c>
      <c r="M50" s="11" t="n">
        <v>1</v>
      </c>
    </row>
    <row r="51" customFormat="false" ht="12.75" hidden="false" customHeight="false" outlineLevel="0" collapsed="false">
      <c r="A51" s="13" t="str">
        <f aca="false">input!A49</f>
        <v>C.I. TOTALE RIMANENZE</v>
      </c>
      <c r="B51" s="2" t="n">
        <f aca="false">$M51*input!B49</f>
        <v>9013430</v>
      </c>
      <c r="C51" s="2" t="n">
        <f aca="false">$M51*input!C49</f>
        <v>8214881</v>
      </c>
      <c r="D51" s="2" t="n">
        <f aca="false">$M51*input!D49</f>
        <v>5784833</v>
      </c>
      <c r="E51" s="2" t="n">
        <f aca="false">$M51*input!E49</f>
        <v>944914</v>
      </c>
      <c r="F51" s="2" t="n">
        <f aca="false">$M51*input!F49</f>
        <v>1011493</v>
      </c>
      <c r="G51" s="2" t="n">
        <f aca="false">$M51*input!G49</f>
        <v>6636488</v>
      </c>
      <c r="H51" s="2" t="n">
        <f aca="false">$M51*input!H49</f>
        <v>4798602</v>
      </c>
      <c r="I51" s="2" t="n">
        <f aca="false">$M51*input!I49</f>
        <v>3101691</v>
      </c>
      <c r="J51" s="2" t="n">
        <f aca="false">$M51*input!J49</f>
        <v>2298138</v>
      </c>
      <c r="K51" s="2" t="n">
        <f aca="false">$M51*input!K49</f>
        <v>2186681</v>
      </c>
      <c r="M51" s="3" t="n">
        <v>1</v>
      </c>
    </row>
    <row r="52" customFormat="false" ht="12.75" hidden="false" customHeight="false" outlineLevel="0" collapsed="false">
      <c r="A52" s="14" t="str">
        <f aca="false">input!A50</f>
        <v>C.I.1. Materie prime</v>
      </c>
      <c r="B52" s="2" t="n">
        <f aca="false">$M52*input!B50</f>
        <v>647917</v>
      </c>
      <c r="C52" s="2" t="n">
        <f aca="false">$M52*input!C50</f>
        <v>694043</v>
      </c>
      <c r="D52" s="2" t="n">
        <f aca="false">$M52*input!D50</f>
        <v>701455</v>
      </c>
      <c r="E52" s="2" t="n">
        <f aca="false">$M52*input!E50</f>
        <v>232147</v>
      </c>
      <c r="F52" s="2" t="n">
        <f aca="false">$M52*input!F50</f>
        <v>135964</v>
      </c>
      <c r="G52" s="2" t="n">
        <f aca="false">$M52*input!G50</f>
        <v>248728</v>
      </c>
      <c r="H52" s="2" t="n">
        <f aca="false">$M52*input!H50</f>
        <v>346994</v>
      </c>
      <c r="I52" s="2" t="n">
        <f aca="false">$M52*input!I50</f>
        <v>360403</v>
      </c>
      <c r="J52" s="2" t="n">
        <f aca="false">$M52*input!J50</f>
        <v>396213</v>
      </c>
      <c r="K52" s="2" t="n">
        <f aca="false">$M52*input!K50</f>
        <v>364261</v>
      </c>
      <c r="M52" s="3" t="n">
        <v>1</v>
      </c>
      <c r="N52" s="3" t="s">
        <v>254</v>
      </c>
    </row>
    <row r="53" customFormat="false" ht="12.75" hidden="false" customHeight="false" outlineLevel="0" collapsed="false">
      <c r="A53" s="14" t="str">
        <f aca="false">input!A51</f>
        <v>C.I.2. Prodotti semilav./in corso</v>
      </c>
      <c r="B53" s="2" t="n">
        <f aca="false">$M53*input!B51</f>
        <v>4793648</v>
      </c>
      <c r="C53" s="2" t="n">
        <f aca="false">$M53*input!C51</f>
        <v>4776290</v>
      </c>
      <c r="D53" s="2" t="n">
        <f aca="false">$M53*input!D51</f>
        <v>3470398</v>
      </c>
      <c r="E53" s="2" t="n">
        <f aca="false">$M53*input!E51</f>
        <v>148050</v>
      </c>
      <c r="F53" s="2" t="n">
        <f aca="false">$M53*input!F51</f>
        <v>116388</v>
      </c>
      <c r="G53" s="2" t="n">
        <f aca="false">$M53*input!G51</f>
        <v>4510983</v>
      </c>
      <c r="H53" s="2" t="n">
        <f aca="false">$M53*input!H51</f>
        <v>3087359</v>
      </c>
      <c r="I53" s="2" t="n">
        <f aca="false">$M53*input!I51</f>
        <v>2333191</v>
      </c>
      <c r="J53" s="2" t="n">
        <f aca="false">$M53*input!J51</f>
        <v>1661296</v>
      </c>
      <c r="K53" s="2" t="n">
        <f aca="false">$M53*input!K51</f>
        <v>1689644</v>
      </c>
      <c r="M53" s="3" t="n">
        <v>1</v>
      </c>
      <c r="N53" s="3" t="s">
        <v>254</v>
      </c>
    </row>
    <row r="54" customFormat="false" ht="12.75" hidden="false" customHeight="false" outlineLevel="0" collapsed="false">
      <c r="A54" s="14" t="str">
        <f aca="false">input!A52</f>
        <v>C.I.3. Lavori in corso</v>
      </c>
      <c r="B54" s="2" t="n">
        <f aca="false">$M54*input!B52</f>
        <v>0</v>
      </c>
      <c r="C54" s="2" t="n">
        <f aca="false">$M54*input!C52</f>
        <v>0</v>
      </c>
      <c r="D54" s="2" t="n">
        <f aca="false">$M54*input!D52</f>
        <v>0</v>
      </c>
      <c r="E54" s="2" t="n">
        <f aca="false">$M54*input!E52</f>
        <v>0</v>
      </c>
      <c r="F54" s="2" t="n">
        <f aca="false">$M54*input!F52</f>
        <v>0</v>
      </c>
      <c r="G54" s="2" t="n">
        <f aca="false">$M54*input!G52</f>
        <v>0</v>
      </c>
      <c r="H54" s="2" t="n">
        <f aca="false">$M54*input!H52</f>
        <v>0</v>
      </c>
      <c r="I54" s="2" t="n">
        <f aca="false">$M54*input!I52</f>
        <v>0</v>
      </c>
      <c r="J54" s="2" t="n">
        <f aca="false">$M54*input!J52</f>
        <v>0</v>
      </c>
      <c r="K54" s="2" t="n">
        <f aca="false">$M54*input!K52</f>
        <v>0</v>
      </c>
      <c r="M54" s="3" t="n">
        <v>1</v>
      </c>
      <c r="N54" s="3" t="s">
        <v>254</v>
      </c>
    </row>
    <row r="55" customFormat="false" ht="12.75" hidden="false" customHeight="false" outlineLevel="0" collapsed="false">
      <c r="A55" s="14" t="str">
        <f aca="false">input!A53</f>
        <v>C.I.4. Prodotti finiti</v>
      </c>
      <c r="B55" s="2" t="n">
        <f aca="false">$M55*input!B53</f>
        <v>3571865</v>
      </c>
      <c r="C55" s="2" t="n">
        <f aca="false">$M55*input!C53</f>
        <v>2744548</v>
      </c>
      <c r="D55" s="2" t="n">
        <f aca="false">$M55*input!D53</f>
        <v>1612980</v>
      </c>
      <c r="E55" s="2" t="n">
        <f aca="false">$M55*input!E53</f>
        <v>564717</v>
      </c>
      <c r="F55" s="2" t="n">
        <f aca="false">$M55*input!F53</f>
        <v>759141</v>
      </c>
      <c r="G55" s="2" t="n">
        <f aca="false">$M55*input!G53</f>
        <v>1876777</v>
      </c>
      <c r="H55" s="2" t="n">
        <f aca="false">$M55*input!H53</f>
        <v>1364249</v>
      </c>
      <c r="I55" s="2" t="n">
        <f aca="false">$M55*input!I53</f>
        <v>408097</v>
      </c>
      <c r="J55" s="2" t="n">
        <f aca="false">$M55*input!J53</f>
        <v>240629</v>
      </c>
      <c r="K55" s="2" t="n">
        <f aca="false">$M55*input!K53</f>
        <v>132776</v>
      </c>
      <c r="M55" s="3" t="n">
        <v>1</v>
      </c>
      <c r="N55" s="3" t="s">
        <v>254</v>
      </c>
    </row>
    <row r="56" customFormat="false" ht="12.75" hidden="false" customHeight="false" outlineLevel="0" collapsed="false">
      <c r="A56" s="14" t="str">
        <f aca="false">input!A54</f>
        <v>C.I.5. Acconti</v>
      </c>
      <c r="B56" s="2" t="n">
        <f aca="false">$M56*input!B54</f>
        <v>0</v>
      </c>
      <c r="C56" s="2" t="n">
        <f aca="false">$M56*input!C54</f>
        <v>0</v>
      </c>
      <c r="D56" s="2" t="n">
        <f aca="false">$M56*input!D54</f>
        <v>0</v>
      </c>
      <c r="E56" s="2" t="n">
        <f aca="false">$M56*input!E54</f>
        <v>0</v>
      </c>
      <c r="F56" s="2" t="n">
        <f aca="false">$M56*input!F54</f>
        <v>0</v>
      </c>
      <c r="G56" s="2" t="n">
        <f aca="false">$M56*input!G54</f>
        <v>0</v>
      </c>
      <c r="H56" s="2" t="n">
        <f aca="false">$M56*input!H54</f>
        <v>0</v>
      </c>
      <c r="I56" s="2" t="n">
        <f aca="false">$M56*input!I54</f>
        <v>0</v>
      </c>
      <c r="J56" s="2" t="n">
        <f aca="false">$M56*input!J54</f>
        <v>0</v>
      </c>
      <c r="K56" s="2" t="n">
        <f aca="false">$M56*input!K54</f>
        <v>0</v>
      </c>
      <c r="M56" s="3" t="n">
        <v>1</v>
      </c>
      <c r="N56" s="3" t="s">
        <v>255</v>
      </c>
    </row>
    <row r="57" customFormat="false" ht="12.75" hidden="false" customHeight="false" outlineLevel="0" collapsed="false">
      <c r="A57" s="14" t="str">
        <f aca="false">input!A55</f>
        <v>Immobilizzazioni materiali destinate alla vendita</v>
      </c>
      <c r="B57" s="2" t="n">
        <f aca="false">$M57*input!B55</f>
        <v>0</v>
      </c>
      <c r="C57" s="2" t="n">
        <f aca="false">$M57*input!C55</f>
        <v>0</v>
      </c>
      <c r="D57" s="2" t="n">
        <f aca="false">$M57*input!D55</f>
        <v>0</v>
      </c>
      <c r="E57" s="2" t="n">
        <f aca="false">$M57*input!E55</f>
        <v>0</v>
      </c>
      <c r="F57" s="2" t="n">
        <f aca="false">$M57*input!F55</f>
        <v>0</v>
      </c>
      <c r="G57" s="2" t="n">
        <f aca="false">$M57*input!G55</f>
        <v>0</v>
      </c>
      <c r="H57" s="2" t="n">
        <f aca="false">$M57*input!H55</f>
        <v>0</v>
      </c>
      <c r="I57" s="2" t="n">
        <f aca="false">$M57*input!I55</f>
        <v>0</v>
      </c>
      <c r="J57" s="2" t="n">
        <f aca="false">$M57*input!J55</f>
        <v>0</v>
      </c>
      <c r="K57" s="2" t="n">
        <f aca="false">$M57*input!K55</f>
        <v>0</v>
      </c>
      <c r="M57" s="3" t="n">
        <v>1</v>
      </c>
      <c r="N57" s="3" t="s">
        <v>247</v>
      </c>
    </row>
    <row r="58" customFormat="false" ht="12.75" hidden="false" customHeight="false" outlineLevel="0" collapsed="false">
      <c r="A58" s="13" t="str">
        <f aca="false">input!A56</f>
        <v>C.II. TOTALE CREDITI</v>
      </c>
      <c r="B58" s="2" t="n">
        <f aca="false">$M58*input!B56</f>
        <v>12595990</v>
      </c>
      <c r="C58" s="2" t="n">
        <f aca="false">$M58*input!C56</f>
        <v>9562656</v>
      </c>
      <c r="D58" s="2" t="n">
        <f aca="false">$M58*input!D56</f>
        <v>9629324</v>
      </c>
      <c r="E58" s="2" t="n">
        <f aca="false">$M58*input!E56</f>
        <v>9287287</v>
      </c>
      <c r="F58" s="2" t="n">
        <f aca="false">$M58*input!F56</f>
        <v>5262004</v>
      </c>
      <c r="G58" s="2" t="n">
        <f aca="false">$M58*input!G56</f>
        <v>5494865</v>
      </c>
      <c r="H58" s="2" t="n">
        <f aca="false">$M58*input!H56</f>
        <v>5175593</v>
      </c>
      <c r="I58" s="2" t="n">
        <f aca="false">$M58*input!I56</f>
        <v>5682245</v>
      </c>
      <c r="J58" s="2" t="n">
        <f aca="false">$M58*input!J56</f>
        <v>4128310</v>
      </c>
      <c r="K58" s="2" t="n">
        <f aca="false">$M58*input!K56</f>
        <v>4392165</v>
      </c>
      <c r="M58" s="3" t="n">
        <v>1</v>
      </c>
    </row>
    <row r="59" customFormat="false" ht="12.75" hidden="false" customHeight="false" outlineLevel="0" collapsed="false">
      <c r="A59" s="14" t="str">
        <f aca="false">input!A57</f>
        <v>C.II.1. Cred. vs Clienti entro</v>
      </c>
      <c r="B59" s="2" t="n">
        <f aca="false">$M59*input!B57</f>
        <v>5072536</v>
      </c>
      <c r="C59" s="2" t="n">
        <f aca="false">$M59*input!C57</f>
        <v>4656610</v>
      </c>
      <c r="D59" s="2" t="n">
        <f aca="false">$M59*input!D57</f>
        <v>3891919</v>
      </c>
      <c r="E59" s="2" t="n">
        <f aca="false">$M59*input!E57</f>
        <v>2806882</v>
      </c>
      <c r="F59" s="2" t="n">
        <f aca="false">$M59*input!F57</f>
        <v>2220598</v>
      </c>
      <c r="G59" s="2" t="n">
        <f aca="false">$M59*input!G57</f>
        <v>5064957</v>
      </c>
      <c r="H59" s="2" t="n">
        <f aca="false">$M59*input!H57</f>
        <v>4426084</v>
      </c>
      <c r="I59" s="2" t="n">
        <f aca="false">$M59*input!I57</f>
        <v>3981145</v>
      </c>
      <c r="J59" s="2" t="n">
        <f aca="false">$M59*input!J57</f>
        <v>3926759</v>
      </c>
      <c r="K59" s="2" t="n">
        <f aca="false">$M59*input!K57</f>
        <v>3696647</v>
      </c>
      <c r="M59" s="3" t="n">
        <v>1</v>
      </c>
      <c r="N59" s="3" t="s">
        <v>256</v>
      </c>
    </row>
    <row r="60" customFormat="false" ht="12.75" hidden="false" customHeight="false" outlineLevel="0" collapsed="false">
      <c r="A60" s="14" t="str">
        <f aca="false">input!A58</f>
        <v>C.II.1. Cred. vs Clienti oltre</v>
      </c>
      <c r="B60" s="2" t="n">
        <f aca="false">$M60*input!B58</f>
        <v>0</v>
      </c>
      <c r="C60" s="2" t="n">
        <f aca="false">$M60*input!C58</f>
        <v>0</v>
      </c>
      <c r="D60" s="2" t="n">
        <f aca="false">$M60*input!D58</f>
        <v>0</v>
      </c>
      <c r="E60" s="2" t="n">
        <f aca="false">$M60*input!E58</f>
        <v>0</v>
      </c>
      <c r="F60" s="2" t="n">
        <f aca="false">$M60*input!F58</f>
        <v>0</v>
      </c>
      <c r="G60" s="2" t="n">
        <f aca="false">$M60*input!G58</f>
        <v>0</v>
      </c>
      <c r="H60" s="2" t="n">
        <f aca="false">$M60*input!H58</f>
        <v>0</v>
      </c>
      <c r="I60" s="2" t="n">
        <f aca="false">$M60*input!I58</f>
        <v>0</v>
      </c>
      <c r="J60" s="2" t="n">
        <f aca="false">$M60*input!J58</f>
        <v>0</v>
      </c>
      <c r="K60" s="2" t="n">
        <f aca="false">$M60*input!K58</f>
        <v>0</v>
      </c>
      <c r="M60" s="3" t="n">
        <v>1</v>
      </c>
      <c r="N60" s="3" t="s">
        <v>256</v>
      </c>
    </row>
    <row r="61" customFormat="false" ht="12.75" hidden="false" customHeight="false" outlineLevel="0" collapsed="false">
      <c r="A61" s="14" t="str">
        <f aca="false">input!A59</f>
        <v>C.II.2. Cred. vs Controllate entro</v>
      </c>
      <c r="B61" s="2" t="n">
        <f aca="false">$M61*input!B59</f>
        <v>0</v>
      </c>
      <c r="C61" s="2" t="n">
        <f aca="false">$M61*input!C59</f>
        <v>0</v>
      </c>
      <c r="D61" s="2" t="n">
        <f aca="false">$M61*input!D59</f>
        <v>0</v>
      </c>
      <c r="E61" s="2" t="n">
        <f aca="false">$M61*input!E59</f>
        <v>0</v>
      </c>
      <c r="F61" s="2" t="n">
        <f aca="false">$M61*input!F59</f>
        <v>0</v>
      </c>
      <c r="G61" s="2" t="n">
        <f aca="false">$M61*input!G59</f>
        <v>0</v>
      </c>
      <c r="H61" s="2" t="n">
        <f aca="false">$M61*input!H59</f>
        <v>0</v>
      </c>
      <c r="I61" s="2" t="n">
        <f aca="false">$M61*input!I59</f>
        <v>0</v>
      </c>
      <c r="J61" s="2" t="n">
        <f aca="false">$M61*input!J59</f>
        <v>0</v>
      </c>
      <c r="K61" s="2" t="n">
        <f aca="false">$M61*input!K59</f>
        <v>0</v>
      </c>
      <c r="M61" s="3" t="n">
        <v>1</v>
      </c>
      <c r="N61" s="3" t="s">
        <v>250</v>
      </c>
    </row>
    <row r="62" customFormat="false" ht="12.75" hidden="false" customHeight="false" outlineLevel="0" collapsed="false">
      <c r="A62" s="14" t="str">
        <f aca="false">input!A60</f>
        <v>C.II.2. Cred. vs Controllate oltre</v>
      </c>
      <c r="B62" s="2" t="n">
        <f aca="false">$M62*input!B60</f>
        <v>0</v>
      </c>
      <c r="C62" s="2" t="n">
        <f aca="false">$M62*input!C60</f>
        <v>0</v>
      </c>
      <c r="D62" s="2" t="n">
        <f aca="false">$M62*input!D60</f>
        <v>0</v>
      </c>
      <c r="E62" s="2" t="n">
        <f aca="false">$M62*input!E60</f>
        <v>0</v>
      </c>
      <c r="F62" s="2" t="n">
        <f aca="false">$M62*input!F60</f>
        <v>0</v>
      </c>
      <c r="G62" s="2" t="n">
        <f aca="false">$M62*input!G60</f>
        <v>0</v>
      </c>
      <c r="H62" s="2" t="n">
        <f aca="false">$M62*input!H60</f>
        <v>0</v>
      </c>
      <c r="I62" s="2" t="n">
        <f aca="false">$M62*input!I60</f>
        <v>0</v>
      </c>
      <c r="J62" s="2" t="n">
        <f aca="false">$M62*input!J60</f>
        <v>0</v>
      </c>
      <c r="K62" s="2" t="n">
        <f aca="false">$M62*input!K60</f>
        <v>0</v>
      </c>
      <c r="M62" s="3" t="n">
        <v>1</v>
      </c>
      <c r="N62" s="3" t="s">
        <v>250</v>
      </c>
    </row>
    <row r="63" customFormat="false" ht="12.75" hidden="false" customHeight="false" outlineLevel="0" collapsed="false">
      <c r="A63" s="14" t="str">
        <f aca="false">input!A61</f>
        <v>C.II.3. Cred. vs Collegate entro</v>
      </c>
      <c r="B63" s="2" t="n">
        <f aca="false">$M63*input!B61</f>
        <v>0</v>
      </c>
      <c r="C63" s="2" t="n">
        <f aca="false">$M63*input!C61</f>
        <v>0</v>
      </c>
      <c r="D63" s="2" t="n">
        <f aca="false">$M63*input!D61</f>
        <v>0</v>
      </c>
      <c r="E63" s="2" t="n">
        <f aca="false">$M63*input!E61</f>
        <v>0</v>
      </c>
      <c r="F63" s="2" t="n">
        <f aca="false">$M63*input!F61</f>
        <v>0</v>
      </c>
      <c r="G63" s="2" t="n">
        <f aca="false">$M63*input!G61</f>
        <v>0</v>
      </c>
      <c r="H63" s="2" t="n">
        <f aca="false">$M63*input!H61</f>
        <v>0</v>
      </c>
      <c r="I63" s="2" t="n">
        <f aca="false">$M63*input!I61</f>
        <v>0</v>
      </c>
      <c r="J63" s="2" t="n">
        <f aca="false">$M63*input!J61</f>
        <v>0</v>
      </c>
      <c r="K63" s="2" t="n">
        <f aca="false">$M63*input!K61</f>
        <v>0</v>
      </c>
      <c r="M63" s="3" t="n">
        <v>1</v>
      </c>
      <c r="N63" s="3" t="s">
        <v>250</v>
      </c>
    </row>
    <row r="64" customFormat="false" ht="12.75" hidden="false" customHeight="false" outlineLevel="0" collapsed="false">
      <c r="A64" s="14" t="str">
        <f aca="false">input!A62</f>
        <v>C.II.3. Cred. vs Collegate oltre</v>
      </c>
      <c r="B64" s="2" t="n">
        <f aca="false">$M64*input!B62</f>
        <v>0</v>
      </c>
      <c r="C64" s="2" t="n">
        <f aca="false">$M64*input!C62</f>
        <v>0</v>
      </c>
      <c r="D64" s="2" t="n">
        <f aca="false">$M64*input!D62</f>
        <v>0</v>
      </c>
      <c r="E64" s="2" t="n">
        <f aca="false">$M64*input!E62</f>
        <v>0</v>
      </c>
      <c r="F64" s="2" t="n">
        <f aca="false">$M64*input!F62</f>
        <v>0</v>
      </c>
      <c r="G64" s="2" t="n">
        <f aca="false">$M64*input!G62</f>
        <v>0</v>
      </c>
      <c r="H64" s="2" t="n">
        <f aca="false">$M64*input!H62</f>
        <v>0</v>
      </c>
      <c r="I64" s="2" t="n">
        <f aca="false">$M64*input!I62</f>
        <v>0</v>
      </c>
      <c r="J64" s="2" t="n">
        <f aca="false">$M64*input!J62</f>
        <v>0</v>
      </c>
      <c r="K64" s="2" t="n">
        <f aca="false">$M64*input!K62</f>
        <v>0</v>
      </c>
      <c r="M64" s="3" t="n">
        <v>1</v>
      </c>
      <c r="N64" s="3" t="s">
        <v>250</v>
      </c>
    </row>
    <row r="65" customFormat="false" ht="12.75" hidden="false" customHeight="false" outlineLevel="0" collapsed="false">
      <c r="A65" s="14" t="str">
        <f aca="false">input!A63</f>
        <v>C.II.4. Cred. vs Controllanti entro</v>
      </c>
      <c r="B65" s="2" t="n">
        <f aca="false">$M65*input!B63</f>
        <v>-0</v>
      </c>
      <c r="C65" s="2" t="n">
        <f aca="false">$M65*input!C63</f>
        <v>-0</v>
      </c>
      <c r="D65" s="2" t="n">
        <f aca="false">$M65*input!D63</f>
        <v>-0</v>
      </c>
      <c r="E65" s="2" t="n">
        <f aca="false">$M65*input!E63</f>
        <v>-0</v>
      </c>
      <c r="F65" s="2" t="n">
        <f aca="false">$M65*input!F63</f>
        <v>-0</v>
      </c>
      <c r="G65" s="2" t="n">
        <f aca="false">$M65*input!G63</f>
        <v>-0</v>
      </c>
      <c r="H65" s="2" t="n">
        <f aca="false">$M65*input!H63</f>
        <v>-0</v>
      </c>
      <c r="I65" s="2" t="n">
        <f aca="false">$M65*input!I63</f>
        <v>-0</v>
      </c>
      <c r="J65" s="2" t="n">
        <f aca="false">$M65*input!J63</f>
        <v>-0</v>
      </c>
      <c r="K65" s="2" t="n">
        <f aca="false">$M65*input!K63</f>
        <v>-0</v>
      </c>
      <c r="M65" s="3" t="n">
        <v>-1</v>
      </c>
      <c r="N65" s="3" t="s">
        <v>245</v>
      </c>
    </row>
    <row r="66" customFormat="false" ht="12.75" hidden="false" customHeight="false" outlineLevel="0" collapsed="false">
      <c r="A66" s="14" t="str">
        <f aca="false">input!A64</f>
        <v>C.II.4. Cred. vs Controllanti oltre</v>
      </c>
      <c r="B66" s="2" t="n">
        <f aca="false">$M66*input!B64</f>
        <v>-0</v>
      </c>
      <c r="C66" s="2" t="n">
        <f aca="false">$M66*input!C64</f>
        <v>-0</v>
      </c>
      <c r="D66" s="2" t="n">
        <f aca="false">$M66*input!D64</f>
        <v>-0</v>
      </c>
      <c r="E66" s="2" t="n">
        <f aca="false">$M66*input!E64</f>
        <v>-0</v>
      </c>
      <c r="F66" s="2" t="n">
        <f aca="false">$M66*input!F64</f>
        <v>-0</v>
      </c>
      <c r="G66" s="2" t="n">
        <f aca="false">$M66*input!G64</f>
        <v>-0</v>
      </c>
      <c r="H66" s="2" t="n">
        <f aca="false">$M66*input!H64</f>
        <v>-0</v>
      </c>
      <c r="I66" s="2" t="n">
        <f aca="false">$M66*input!I64</f>
        <v>-0</v>
      </c>
      <c r="J66" s="2" t="n">
        <f aca="false">$M66*input!J64</f>
        <v>-0</v>
      </c>
      <c r="K66" s="2" t="n">
        <f aca="false">$M66*input!K64</f>
        <v>-0</v>
      </c>
      <c r="M66" s="3" t="n">
        <v>-1</v>
      </c>
      <c r="N66" s="3" t="s">
        <v>245</v>
      </c>
    </row>
    <row r="67" customFormat="false" ht="12.75" hidden="false" customHeight="false" outlineLevel="0" collapsed="false">
      <c r="A67" s="14" t="str">
        <f aca="false">input!A65</f>
        <v>C.II.5. Cred. vs imprese sottoposte al controllo delle controllanti entro</v>
      </c>
      <c r="B67" s="2" t="n">
        <f aca="false">$M67*input!B65</f>
        <v>-0</v>
      </c>
      <c r="C67" s="2" t="n">
        <f aca="false">$M67*input!C65</f>
        <v>-0</v>
      </c>
      <c r="D67" s="2" t="n">
        <f aca="false">$M67*input!D65</f>
        <v>-0</v>
      </c>
      <c r="E67" s="2" t="n">
        <f aca="false">$M67*input!E65</f>
        <v>-0</v>
      </c>
      <c r="F67" s="2" t="n">
        <f aca="false">$M67*input!F65</f>
        <v>-0</v>
      </c>
      <c r="G67" s="2" t="n">
        <f aca="false">$M67*input!G65</f>
        <v>-0</v>
      </c>
      <c r="H67" s="2" t="n">
        <f aca="false">$M67*input!H65</f>
        <v>-0</v>
      </c>
      <c r="I67" s="2" t="n">
        <f aca="false">$M67*input!I65</f>
        <v>-0</v>
      </c>
      <c r="J67" s="2" t="n">
        <f aca="false">$M67*input!J65</f>
        <v>-0</v>
      </c>
      <c r="K67" s="2" t="n">
        <f aca="false">$M67*input!K65</f>
        <v>-0</v>
      </c>
      <c r="M67" s="3" t="n">
        <v>-1</v>
      </c>
      <c r="N67" s="3" t="s">
        <v>245</v>
      </c>
    </row>
    <row r="68" customFormat="false" ht="12.75" hidden="false" customHeight="false" outlineLevel="0" collapsed="false">
      <c r="A68" s="14" t="str">
        <f aca="false">input!A66</f>
        <v>C.II.5. Cred. vs imprese sottoposte al controllo delle controllanti oltre</v>
      </c>
      <c r="B68" s="2" t="n">
        <f aca="false">$M68*input!B66</f>
        <v>-0</v>
      </c>
      <c r="C68" s="2" t="n">
        <f aca="false">$M68*input!C66</f>
        <v>-0</v>
      </c>
      <c r="D68" s="2" t="n">
        <f aca="false">$M68*input!D66</f>
        <v>-0</v>
      </c>
      <c r="E68" s="2" t="n">
        <f aca="false">$M68*input!E66</f>
        <v>-0</v>
      </c>
      <c r="F68" s="2" t="n">
        <f aca="false">$M68*input!F66</f>
        <v>-0</v>
      </c>
      <c r="G68" s="2" t="n">
        <f aca="false">$M68*input!G66</f>
        <v>-0</v>
      </c>
      <c r="H68" s="2" t="n">
        <f aca="false">$M68*input!H66</f>
        <v>-0</v>
      </c>
      <c r="I68" s="2" t="n">
        <f aca="false">$M68*input!I66</f>
        <v>-0</v>
      </c>
      <c r="J68" s="2" t="n">
        <f aca="false">$M68*input!J66</f>
        <v>-0</v>
      </c>
      <c r="K68" s="2" t="n">
        <f aca="false">$M68*input!K66</f>
        <v>-0</v>
      </c>
      <c r="M68" s="3" t="n">
        <v>-1</v>
      </c>
      <c r="N68" s="3" t="s">
        <v>245</v>
      </c>
    </row>
    <row r="69" customFormat="false" ht="12.75" hidden="false" customHeight="false" outlineLevel="0" collapsed="false">
      <c r="A69" s="14" t="str">
        <f aca="false">input!A67</f>
        <v>C.II.5.bis. Cred. tributari entro</v>
      </c>
      <c r="B69" s="2" t="n">
        <f aca="false">$M69*input!B67</f>
        <v>881234</v>
      </c>
      <c r="C69" s="2" t="n">
        <f aca="false">$M69*input!C67</f>
        <v>3140538</v>
      </c>
      <c r="D69" s="2" t="n">
        <f aca="false">$M69*input!D67</f>
        <v>2549089</v>
      </c>
      <c r="E69" s="2" t="n">
        <f aca="false">$M69*input!E67</f>
        <v>3466968</v>
      </c>
      <c r="F69" s="2" t="n">
        <f aca="false">$M69*input!F67</f>
        <v>610209</v>
      </c>
      <c r="G69" s="2" t="n">
        <f aca="false">$M69*input!G67</f>
        <v>50281</v>
      </c>
      <c r="H69" s="2" t="n">
        <f aca="false">$M69*input!H67</f>
        <v>239064</v>
      </c>
      <c r="I69" s="2" t="n">
        <f aca="false">$M69*input!I67</f>
        <v>938937</v>
      </c>
      <c r="J69" s="2" t="n">
        <f aca="false">$M69*input!J67</f>
        <v>162883</v>
      </c>
      <c r="K69" s="2" t="n">
        <f aca="false">$M69*input!K67</f>
        <v>8359</v>
      </c>
      <c r="M69" s="3" t="n">
        <v>1</v>
      </c>
      <c r="N69" s="3" t="s">
        <v>257</v>
      </c>
    </row>
    <row r="70" customFormat="false" ht="12.75" hidden="false" customHeight="false" outlineLevel="0" collapsed="false">
      <c r="A70" s="14" t="str">
        <f aca="false">input!A68</f>
        <v>C.II.5.bis. Cred. tributari oltre</v>
      </c>
      <c r="B70" s="2" t="n">
        <f aca="false">$M70*input!B68</f>
        <v>4214</v>
      </c>
      <c r="C70" s="2" t="n">
        <f aca="false">$M70*input!C68</f>
        <v>276633</v>
      </c>
      <c r="D70" s="2" t="n">
        <f aca="false">$M70*input!D68</f>
        <v>2275134</v>
      </c>
      <c r="E70" s="2" t="n">
        <f aca="false">$M70*input!E68</f>
        <v>2133056</v>
      </c>
      <c r="F70" s="2" t="n">
        <f aca="false">$M70*input!F68</f>
        <v>0</v>
      </c>
      <c r="G70" s="2" t="n">
        <f aca="false">$M70*input!G68</f>
        <v>0</v>
      </c>
      <c r="H70" s="2" t="n">
        <f aca="false">$M70*input!H68</f>
        <v>0</v>
      </c>
      <c r="I70" s="2" t="n">
        <f aca="false">$M70*input!I68</f>
        <v>0</v>
      </c>
      <c r="J70" s="2" t="n">
        <f aca="false">$M70*input!J68</f>
        <v>0</v>
      </c>
      <c r="K70" s="2" t="n">
        <f aca="false">$M70*input!K68</f>
        <v>0</v>
      </c>
      <c r="M70" s="3" t="n">
        <v>1</v>
      </c>
      <c r="N70" s="3" t="s">
        <v>257</v>
      </c>
    </row>
    <row r="71" customFormat="false" ht="12.75" hidden="false" customHeight="false" outlineLevel="0" collapsed="false">
      <c r="A71" s="14" t="str">
        <f aca="false">input!A69</f>
        <v>C.II.5.ter. Cred. per imposte anticipate entro</v>
      </c>
      <c r="B71" s="2" t="n">
        <f aca="false">$M71*input!B69</f>
        <v>534220</v>
      </c>
      <c r="C71" s="2" t="n">
        <f aca="false">$M71*input!C69</f>
        <v>583101</v>
      </c>
      <c r="D71" s="2" t="n">
        <f aca="false">$M71*input!D69</f>
        <v>537736</v>
      </c>
      <c r="E71" s="2" t="n">
        <f aca="false">$M71*input!E69</f>
        <v>486553</v>
      </c>
      <c r="F71" s="2" t="n">
        <f aca="false">$M71*input!F69</f>
        <v>247532</v>
      </c>
      <c r="G71" s="2" t="n">
        <f aca="false">$M71*input!G69</f>
        <v>105630</v>
      </c>
      <c r="H71" s="2" t="n">
        <f aca="false">$M71*input!H69</f>
        <v>71399</v>
      </c>
      <c r="I71" s="2" t="n">
        <f aca="false">$M71*input!I69</f>
        <v>30534</v>
      </c>
      <c r="J71" s="2" t="n">
        <f aca="false">$M71*input!J69</f>
        <v>20163</v>
      </c>
      <c r="K71" s="2" t="n">
        <f aca="false">$M71*input!K69</f>
        <v>15130</v>
      </c>
      <c r="M71" s="3" t="n">
        <v>1</v>
      </c>
      <c r="N71" s="3" t="s">
        <v>258</v>
      </c>
    </row>
    <row r="72" customFormat="false" ht="12.75" hidden="false" customHeight="false" outlineLevel="0" collapsed="false">
      <c r="A72" s="14" t="str">
        <f aca="false">input!A70</f>
        <v>C.II.5.ter. Cred. per imposte anticipate oltre</v>
      </c>
      <c r="B72" s="2" t="n">
        <f aca="false">$M72*input!B70</f>
        <v>0</v>
      </c>
      <c r="C72" s="2" t="n">
        <f aca="false">$M72*input!C70</f>
        <v>0</v>
      </c>
      <c r="D72" s="2" t="n">
        <f aca="false">$M72*input!D70</f>
        <v>0</v>
      </c>
      <c r="E72" s="2" t="n">
        <f aca="false">$M72*input!E70</f>
        <v>0</v>
      </c>
      <c r="F72" s="2" t="n">
        <f aca="false">$M72*input!F70</f>
        <v>0</v>
      </c>
      <c r="G72" s="2" t="n">
        <f aca="false">$M72*input!G70</f>
        <v>0</v>
      </c>
      <c r="H72" s="2" t="n">
        <f aca="false">$M72*input!H70</f>
        <v>0</v>
      </c>
      <c r="I72" s="2" t="n">
        <f aca="false">$M72*input!I70</f>
        <v>0</v>
      </c>
      <c r="J72" s="2" t="n">
        <f aca="false">$M72*input!J70</f>
        <v>0</v>
      </c>
      <c r="K72" s="2" t="n">
        <f aca="false">$M72*input!K70</f>
        <v>0</v>
      </c>
      <c r="M72" s="3" t="n">
        <v>1</v>
      </c>
      <c r="N72" s="3" t="s">
        <v>258</v>
      </c>
    </row>
    <row r="73" customFormat="false" ht="12.75" hidden="false" customHeight="false" outlineLevel="0" collapsed="false">
      <c r="A73" s="14" t="str">
        <f aca="false">input!A71</f>
        <v>C.II.5.quater. Cred. verso altri entro</v>
      </c>
      <c r="B73" s="2" t="n">
        <f aca="false">$M73*input!B71</f>
        <v>6103786</v>
      </c>
      <c r="C73" s="2" t="n">
        <f aca="false">$M73*input!C71</f>
        <v>905774</v>
      </c>
      <c r="D73" s="2" t="n">
        <f aca="false">$M73*input!D71</f>
        <v>375446</v>
      </c>
      <c r="E73" s="2" t="n">
        <f aca="false">$M73*input!E71</f>
        <v>380774</v>
      </c>
      <c r="F73" s="2" t="n">
        <f aca="false">$M73*input!F71</f>
        <v>2097800</v>
      </c>
      <c r="G73" s="2" t="n">
        <f aca="false">$M73*input!G71</f>
        <v>98347</v>
      </c>
      <c r="H73" s="2" t="n">
        <f aca="false">$M73*input!H71</f>
        <v>263396</v>
      </c>
      <c r="I73" s="2" t="n">
        <f aca="false">$M73*input!I71</f>
        <v>670115</v>
      </c>
      <c r="J73" s="2" t="n">
        <f aca="false">$M73*input!J71</f>
        <v>18505</v>
      </c>
      <c r="K73" s="2" t="n">
        <f aca="false">$M73*input!K71</f>
        <v>672029</v>
      </c>
      <c r="M73" s="3" t="n">
        <v>1</v>
      </c>
      <c r="N73" s="3" t="s">
        <v>255</v>
      </c>
    </row>
    <row r="74" customFormat="false" ht="12.75" hidden="false" customHeight="false" outlineLevel="0" collapsed="false">
      <c r="A74" s="14" t="str">
        <f aca="false">input!A72</f>
        <v>C.II.5.quater. Cred. verso altri oltre</v>
      </c>
      <c r="B74" s="2" t="n">
        <f aca="false">$M74*input!B72</f>
        <v>0</v>
      </c>
      <c r="C74" s="2" t="n">
        <f aca="false">$M74*input!C72</f>
        <v>0</v>
      </c>
      <c r="D74" s="2" t="n">
        <f aca="false">$M74*input!D72</f>
        <v>0</v>
      </c>
      <c r="E74" s="2" t="n">
        <f aca="false">$M74*input!E72</f>
        <v>13054</v>
      </c>
      <c r="F74" s="2" t="n">
        <f aca="false">$M74*input!F72</f>
        <v>85865</v>
      </c>
      <c r="G74" s="2" t="n">
        <f aca="false">$M74*input!G72</f>
        <v>175650</v>
      </c>
      <c r="H74" s="2" t="n">
        <f aca="false">$M74*input!H72</f>
        <v>175650</v>
      </c>
      <c r="I74" s="2" t="n">
        <f aca="false">$M74*input!I72</f>
        <v>61514</v>
      </c>
      <c r="J74" s="2" t="n">
        <f aca="false">$M74*input!J72</f>
        <v>0</v>
      </c>
      <c r="K74" s="2" t="n">
        <f aca="false">$M74*input!K72</f>
        <v>0</v>
      </c>
      <c r="M74" s="3" t="n">
        <v>1</v>
      </c>
      <c r="N74" s="3" t="s">
        <v>255</v>
      </c>
    </row>
    <row r="75" customFormat="false" ht="12.75" hidden="false" customHeight="false" outlineLevel="0" collapsed="false">
      <c r="A75" s="14" t="str">
        <f aca="false">input!A73</f>
        <v>C.II. Crediti a breve</v>
      </c>
      <c r="B75" s="2" t="n">
        <f aca="false">$M75*input!B73</f>
        <v>12591776</v>
      </c>
      <c r="C75" s="2" t="n">
        <f aca="false">$M75*input!C73</f>
        <v>9286023</v>
      </c>
      <c r="D75" s="2" t="n">
        <f aca="false">$M75*input!D73</f>
        <v>7354190</v>
      </c>
      <c r="E75" s="2" t="n">
        <f aca="false">$M75*input!E73</f>
        <v>7141177</v>
      </c>
      <c r="F75" s="2" t="n">
        <f aca="false">$M75*input!F73</f>
        <v>5176139</v>
      </c>
      <c r="G75" s="2" t="n">
        <f aca="false">$M75*input!G73</f>
        <v>5319215</v>
      </c>
      <c r="H75" s="2" t="n">
        <f aca="false">$M75*input!H73</f>
        <v>4999943</v>
      </c>
      <c r="I75" s="2" t="n">
        <f aca="false">$M75*input!I73</f>
        <v>5620731</v>
      </c>
      <c r="J75" s="2" t="n">
        <f aca="false">$M75*input!J73</f>
        <v>4128310</v>
      </c>
      <c r="K75" s="2" t="n">
        <f aca="false">$M75*input!K73</f>
        <v>4392165</v>
      </c>
      <c r="M75" s="3" t="n">
        <v>1</v>
      </c>
    </row>
    <row r="76" customFormat="false" ht="12.75" hidden="false" customHeight="false" outlineLevel="0" collapsed="false">
      <c r="A76" s="14" t="str">
        <f aca="false">input!A74</f>
        <v>Crediti per imposte anticipate</v>
      </c>
      <c r="B76" s="2" t="n">
        <f aca="false">$M76*input!B74</f>
        <v>0</v>
      </c>
      <c r="C76" s="2" t="n">
        <f aca="false">$M76*input!C74</f>
        <v>0</v>
      </c>
      <c r="D76" s="2" t="n">
        <f aca="false">$M76*input!D74</f>
        <v>0</v>
      </c>
      <c r="E76" s="2" t="n">
        <f aca="false">$M76*input!E74</f>
        <v>0</v>
      </c>
      <c r="F76" s="2" t="n">
        <f aca="false">$M76*input!F74</f>
        <v>0</v>
      </c>
      <c r="G76" s="2" t="n">
        <f aca="false">$M76*input!G74</f>
        <v>0</v>
      </c>
      <c r="H76" s="2" t="n">
        <f aca="false">$M76*input!H74</f>
        <v>0</v>
      </c>
      <c r="I76" s="2" t="n">
        <f aca="false">$M76*input!I74</f>
        <v>0</v>
      </c>
      <c r="J76" s="2" t="n">
        <f aca="false">$M76*input!J74</f>
        <v>0</v>
      </c>
      <c r="K76" s="2" t="n">
        <f aca="false">$M76*input!K74</f>
        <v>0</v>
      </c>
      <c r="M76" s="3" t="n">
        <v>1</v>
      </c>
    </row>
    <row r="77" customFormat="false" ht="12.75" hidden="false" customHeight="false" outlineLevel="0" collapsed="false">
      <c r="A77" s="14" t="str">
        <f aca="false">input!A75</f>
        <v>C.II. Crediti a oltre</v>
      </c>
      <c r="B77" s="2" t="n">
        <f aca="false">$M77*input!B75</f>
        <v>4214</v>
      </c>
      <c r="C77" s="2" t="n">
        <f aca="false">$M77*input!C75</f>
        <v>276633</v>
      </c>
      <c r="D77" s="2" t="n">
        <f aca="false">$M77*input!D75</f>
        <v>2275134</v>
      </c>
      <c r="E77" s="2" t="n">
        <f aca="false">$M77*input!E75</f>
        <v>2146110</v>
      </c>
      <c r="F77" s="2" t="n">
        <f aca="false">$M77*input!F75</f>
        <v>85865</v>
      </c>
      <c r="G77" s="2" t="n">
        <f aca="false">$M77*input!G75</f>
        <v>175650</v>
      </c>
      <c r="H77" s="2" t="n">
        <f aca="false">$M77*input!H75</f>
        <v>175650</v>
      </c>
      <c r="I77" s="2" t="n">
        <f aca="false">$M77*input!I75</f>
        <v>61514</v>
      </c>
      <c r="J77" s="2" t="n">
        <f aca="false">$M77*input!J75</f>
        <v>0</v>
      </c>
      <c r="K77" s="2" t="n">
        <f aca="false">$M77*input!K75</f>
        <v>0</v>
      </c>
      <c r="M77" s="3" t="n">
        <v>1</v>
      </c>
    </row>
    <row r="78" customFormat="false" ht="12.75" hidden="false" customHeight="false" outlineLevel="0" collapsed="false">
      <c r="A78" s="13" t="str">
        <f aca="false">input!A76</f>
        <v>C.III. TOTALE ATTIVITA' FINANZIARIE</v>
      </c>
      <c r="B78" s="2" t="n">
        <f aca="false">$M78*input!B76</f>
        <v>0</v>
      </c>
      <c r="C78" s="2" t="n">
        <f aca="false">$M78*input!C76</f>
        <v>0</v>
      </c>
      <c r="D78" s="2" t="n">
        <f aca="false">$M78*input!D76</f>
        <v>0</v>
      </c>
      <c r="E78" s="2" t="n">
        <f aca="false">$M78*input!E76</f>
        <v>0</v>
      </c>
      <c r="F78" s="2" t="n">
        <f aca="false">$M78*input!F76</f>
        <v>0</v>
      </c>
      <c r="G78" s="2" t="n">
        <f aca="false">$M78*input!G76</f>
        <v>0</v>
      </c>
      <c r="H78" s="2" t="n">
        <f aca="false">$M78*input!H76</f>
        <v>0</v>
      </c>
      <c r="I78" s="2" t="n">
        <f aca="false">$M78*input!I76</f>
        <v>0</v>
      </c>
      <c r="J78" s="2" t="n">
        <f aca="false">$M78*input!J76</f>
        <v>0</v>
      </c>
      <c r="K78" s="2" t="n">
        <f aca="false">$M78*input!K76</f>
        <v>0</v>
      </c>
      <c r="M78" s="3" t="n">
        <v>1</v>
      </c>
    </row>
    <row r="79" customFormat="false" ht="12.75" hidden="false" customHeight="false" outlineLevel="0" collapsed="false">
      <c r="A79" s="14" t="str">
        <f aca="false">input!A77</f>
        <v>C.III.1. Partec.ni in Controllate</v>
      </c>
      <c r="B79" s="2" t="n">
        <f aca="false">$M79*input!B77</f>
        <v>0</v>
      </c>
      <c r="C79" s="2" t="n">
        <f aca="false">$M79*input!C77</f>
        <v>0</v>
      </c>
      <c r="D79" s="2" t="n">
        <f aca="false">$M79*input!D77</f>
        <v>0</v>
      </c>
      <c r="E79" s="2" t="n">
        <f aca="false">$M79*input!E77</f>
        <v>0</v>
      </c>
      <c r="F79" s="2" t="n">
        <f aca="false">$M79*input!F77</f>
        <v>0</v>
      </c>
      <c r="G79" s="2" t="n">
        <f aca="false">$M79*input!G77</f>
        <v>0</v>
      </c>
      <c r="H79" s="2" t="n">
        <f aca="false">$M79*input!H77</f>
        <v>0</v>
      </c>
      <c r="I79" s="2" t="n">
        <f aca="false">$M79*input!I77</f>
        <v>0</v>
      </c>
      <c r="J79" s="2" t="n">
        <f aca="false">$M79*input!J77</f>
        <v>0</v>
      </c>
      <c r="K79" s="2" t="n">
        <f aca="false">$M79*input!K77</f>
        <v>0</v>
      </c>
      <c r="M79" s="3" t="n">
        <v>1</v>
      </c>
      <c r="N79" s="3" t="s">
        <v>248</v>
      </c>
    </row>
    <row r="80" customFormat="false" ht="12.75" hidden="false" customHeight="false" outlineLevel="0" collapsed="false">
      <c r="A80" s="14" t="str">
        <f aca="false">input!A78</f>
        <v>C.III.2. Partec.ni in Collegate</v>
      </c>
      <c r="B80" s="2" t="n">
        <f aca="false">$M80*input!B78</f>
        <v>0</v>
      </c>
      <c r="C80" s="2" t="n">
        <f aca="false">$M80*input!C78</f>
        <v>0</v>
      </c>
      <c r="D80" s="2" t="n">
        <f aca="false">$M80*input!D78</f>
        <v>0</v>
      </c>
      <c r="E80" s="2" t="n">
        <f aca="false">$M80*input!E78</f>
        <v>0</v>
      </c>
      <c r="F80" s="2" t="n">
        <f aca="false">$M80*input!F78</f>
        <v>0</v>
      </c>
      <c r="G80" s="2" t="n">
        <f aca="false">$M80*input!G78</f>
        <v>0</v>
      </c>
      <c r="H80" s="2" t="n">
        <f aca="false">$M80*input!H78</f>
        <v>0</v>
      </c>
      <c r="I80" s="2" t="n">
        <f aca="false">$M80*input!I78</f>
        <v>0</v>
      </c>
      <c r="J80" s="2" t="n">
        <f aca="false">$M80*input!J78</f>
        <v>0</v>
      </c>
      <c r="K80" s="2" t="n">
        <f aca="false">$M80*input!K78</f>
        <v>0</v>
      </c>
      <c r="M80" s="3" t="n">
        <v>1</v>
      </c>
      <c r="N80" s="3" t="s">
        <v>248</v>
      </c>
    </row>
    <row r="81" customFormat="false" ht="12.75" hidden="false" customHeight="false" outlineLevel="0" collapsed="false">
      <c r="A81" s="14" t="str">
        <f aca="false">input!A79</f>
        <v>C.III.3. Partec.ni in Controllanti</v>
      </c>
      <c r="B81" s="2" t="n">
        <f aca="false">$M81*input!B79</f>
        <v>-0</v>
      </c>
      <c r="C81" s="2" t="n">
        <f aca="false">$M81*input!C79</f>
        <v>-0</v>
      </c>
      <c r="D81" s="2" t="n">
        <f aca="false">$M81*input!D79</f>
        <v>-0</v>
      </c>
      <c r="E81" s="2" t="n">
        <f aca="false">$M81*input!E79</f>
        <v>-0</v>
      </c>
      <c r="F81" s="2" t="n">
        <f aca="false">$M81*input!F79</f>
        <v>-0</v>
      </c>
      <c r="G81" s="2" t="n">
        <f aca="false">$M81*input!G79</f>
        <v>-0</v>
      </c>
      <c r="H81" s="2" t="n">
        <f aca="false">$M81*input!H79</f>
        <v>-0</v>
      </c>
      <c r="I81" s="2" t="n">
        <f aca="false">$M81*input!I79</f>
        <v>-0</v>
      </c>
      <c r="J81" s="2" t="n">
        <f aca="false">$M81*input!J79</f>
        <v>-0</v>
      </c>
      <c r="K81" s="2" t="n">
        <f aca="false">$M81*input!K79</f>
        <v>-0</v>
      </c>
      <c r="M81" s="3" t="n">
        <v>-1</v>
      </c>
      <c r="N81" s="3" t="s">
        <v>249</v>
      </c>
    </row>
    <row r="82" customFormat="false" ht="12.75" hidden="false" customHeight="false" outlineLevel="0" collapsed="false">
      <c r="A82" s="14" t="str">
        <f aca="false">input!A80</f>
        <v>C.III.3.bis. Partec.ni in imprese sottoposte al controllo delle controllanti</v>
      </c>
      <c r="B82" s="2" t="n">
        <f aca="false">$M82*input!B80</f>
        <v>-0</v>
      </c>
      <c r="C82" s="2" t="n">
        <f aca="false">$M82*input!C80</f>
        <v>-0</v>
      </c>
      <c r="D82" s="2" t="n">
        <f aca="false">$M82*input!D80</f>
        <v>-0</v>
      </c>
      <c r="E82" s="2" t="n">
        <f aca="false">$M82*input!E80</f>
        <v>-0</v>
      </c>
      <c r="F82" s="2" t="n">
        <f aca="false">$M82*input!F80</f>
        <v>-0</v>
      </c>
      <c r="G82" s="2" t="n">
        <f aca="false">$M82*input!G80</f>
        <v>-0</v>
      </c>
      <c r="H82" s="2" t="n">
        <f aca="false">$M82*input!H80</f>
        <v>-0</v>
      </c>
      <c r="I82" s="2" t="n">
        <f aca="false">$M82*input!I80</f>
        <v>-0</v>
      </c>
      <c r="J82" s="2" t="n">
        <f aca="false">$M82*input!J80</f>
        <v>-0</v>
      </c>
      <c r="K82" s="2" t="n">
        <f aca="false">$M82*input!K80</f>
        <v>-0</v>
      </c>
      <c r="M82" s="3" t="n">
        <v>-1</v>
      </c>
      <c r="N82" s="3" t="s">
        <v>249</v>
      </c>
    </row>
    <row r="83" customFormat="false" ht="12.75" hidden="false" customHeight="false" outlineLevel="0" collapsed="false">
      <c r="A83" s="14" t="str">
        <f aca="false">input!A81</f>
        <v>C.III.4. Altre Partec.ni</v>
      </c>
      <c r="B83" s="2" t="n">
        <f aca="false">$M83*input!B81</f>
        <v>0</v>
      </c>
      <c r="C83" s="2" t="n">
        <f aca="false">$M83*input!C81</f>
        <v>0</v>
      </c>
      <c r="D83" s="2" t="n">
        <f aca="false">$M83*input!D81</f>
        <v>0</v>
      </c>
      <c r="E83" s="2" t="n">
        <f aca="false">$M83*input!E81</f>
        <v>0</v>
      </c>
      <c r="F83" s="2" t="n">
        <f aca="false">$M83*input!F81</f>
        <v>0</v>
      </c>
      <c r="G83" s="2" t="n">
        <f aca="false">$M83*input!G81</f>
        <v>0</v>
      </c>
      <c r="H83" s="2" t="n">
        <f aca="false">$M83*input!H81</f>
        <v>0</v>
      </c>
      <c r="I83" s="2" t="n">
        <f aca="false">$M83*input!I81</f>
        <v>0</v>
      </c>
      <c r="J83" s="2" t="n">
        <f aca="false">$M83*input!J81</f>
        <v>0</v>
      </c>
      <c r="K83" s="2" t="n">
        <f aca="false">$M83*input!K81</f>
        <v>0</v>
      </c>
      <c r="M83" s="3" t="n">
        <v>1</v>
      </c>
      <c r="N83" s="3" t="s">
        <v>248</v>
      </c>
    </row>
    <row r="84" customFormat="false" ht="12.75" hidden="false" customHeight="false" outlineLevel="0" collapsed="false">
      <c r="A84" s="14" t="str">
        <f aca="false">input!A82</f>
        <v>C.III.4.bis. Azioni proprie</v>
      </c>
      <c r="B84" s="2" t="n">
        <f aca="false">$M84*input!B82</f>
        <v>-0</v>
      </c>
      <c r="C84" s="2" t="n">
        <f aca="false">$M84*input!C82</f>
        <v>-0</v>
      </c>
      <c r="D84" s="2" t="n">
        <f aca="false">$M84*input!D82</f>
        <v>-0</v>
      </c>
      <c r="E84" s="2" t="n">
        <f aca="false">$M84*input!E82</f>
        <v>-0</v>
      </c>
      <c r="F84" s="2" t="n">
        <f aca="false">$M84*input!F82</f>
        <v>-0</v>
      </c>
      <c r="G84" s="2" t="n">
        <f aca="false">$M84*input!G82</f>
        <v>-0</v>
      </c>
      <c r="H84" s="2" t="n">
        <f aca="false">$M84*input!H82</f>
        <v>-0</v>
      </c>
      <c r="I84" s="2" t="n">
        <f aca="false">$M84*input!I82</f>
        <v>-0</v>
      </c>
      <c r="J84" s="2" t="n">
        <f aca="false">$M84*input!J82</f>
        <v>-0</v>
      </c>
      <c r="K84" s="2" t="n">
        <f aca="false">$M84*input!K82</f>
        <v>-0</v>
      </c>
      <c r="M84" s="3" t="n">
        <v>-1</v>
      </c>
      <c r="N84" s="3" t="s">
        <v>249</v>
      </c>
    </row>
    <row r="85" customFormat="false" ht="12.75" hidden="false" customHeight="false" outlineLevel="0" collapsed="false">
      <c r="A85" s="14" t="str">
        <f aca="false">input!A83</f>
        <v>Azioni proprie DI CUI: Val nominale</v>
      </c>
      <c r="B85" s="2" t="n">
        <f aca="false">$M85*input!B83</f>
        <v>0</v>
      </c>
      <c r="C85" s="2" t="n">
        <f aca="false">$M85*input!C83</f>
        <v>0</v>
      </c>
      <c r="D85" s="2" t="n">
        <f aca="false">$M85*input!D83</f>
        <v>0</v>
      </c>
      <c r="E85" s="2" t="n">
        <f aca="false">$M85*input!E83</f>
        <v>0</v>
      </c>
      <c r="F85" s="2" t="n">
        <f aca="false">$M85*input!F83</f>
        <v>0</v>
      </c>
      <c r="G85" s="2" t="n">
        <f aca="false">$M85*input!G83</f>
        <v>0</v>
      </c>
      <c r="H85" s="2" t="n">
        <f aca="false">$M85*input!H83</f>
        <v>0</v>
      </c>
      <c r="I85" s="2" t="n">
        <f aca="false">$M85*input!I83</f>
        <v>0</v>
      </c>
      <c r="J85" s="2" t="n">
        <f aca="false">$M85*input!J83</f>
        <v>0</v>
      </c>
      <c r="K85" s="2" t="n">
        <f aca="false">$M85*input!K83</f>
        <v>0</v>
      </c>
      <c r="M85" s="3" t="n">
        <v>1</v>
      </c>
    </row>
    <row r="86" customFormat="false" ht="12.75" hidden="false" customHeight="false" outlineLevel="0" collapsed="false">
      <c r="A86" s="14" t="str">
        <f aca="false">input!A84</f>
        <v>C.III.5. Strumenti finanziari derivati attivi</v>
      </c>
      <c r="B86" s="2" t="n">
        <f aca="false">$M86*input!B84</f>
        <v>0</v>
      </c>
      <c r="C86" s="2" t="n">
        <f aca="false">$M86*input!C84</f>
        <v>0</v>
      </c>
      <c r="D86" s="2" t="n">
        <f aca="false">$M86*input!D84</f>
        <v>0</v>
      </c>
      <c r="E86" s="2" t="n">
        <f aca="false">$M86*input!E84</f>
        <v>0</v>
      </c>
      <c r="F86" s="2" t="n">
        <f aca="false">$M86*input!F84</f>
        <v>0</v>
      </c>
      <c r="G86" s="2" t="n">
        <f aca="false">$M86*input!G84</f>
        <v>0</v>
      </c>
      <c r="H86" s="2" t="n">
        <f aca="false">$M86*input!H84</f>
        <v>0</v>
      </c>
      <c r="I86" s="2" t="n">
        <f aca="false">$M86*input!I84</f>
        <v>0</v>
      </c>
      <c r="J86" s="2" t="n">
        <f aca="false">$M86*input!J84</f>
        <v>0</v>
      </c>
      <c r="K86" s="2" t="n">
        <f aca="false">$M86*input!K84</f>
        <v>0</v>
      </c>
      <c r="M86" s="3" t="n">
        <v>1</v>
      </c>
      <c r="N86" s="3" t="s">
        <v>252</v>
      </c>
    </row>
    <row r="87" customFormat="false" ht="12.75" hidden="false" customHeight="false" outlineLevel="0" collapsed="false">
      <c r="A87" s="14" t="str">
        <f aca="false">input!A85</f>
        <v>C.III.6. Altri titoli</v>
      </c>
      <c r="B87" s="2" t="n">
        <f aca="false">$M87*input!B85</f>
        <v>0</v>
      </c>
      <c r="C87" s="2" t="n">
        <f aca="false">$M87*input!C85</f>
        <v>0</v>
      </c>
      <c r="D87" s="2" t="n">
        <f aca="false">$M87*input!D85</f>
        <v>0</v>
      </c>
      <c r="E87" s="2" t="n">
        <f aca="false">$M87*input!E85</f>
        <v>0</v>
      </c>
      <c r="F87" s="2" t="n">
        <f aca="false">$M87*input!F85</f>
        <v>0</v>
      </c>
      <c r="G87" s="2" t="n">
        <f aca="false">$M87*input!G85</f>
        <v>0</v>
      </c>
      <c r="H87" s="2" t="n">
        <f aca="false">$M87*input!H85</f>
        <v>0</v>
      </c>
      <c r="I87" s="2" t="n">
        <f aca="false">$M87*input!I85</f>
        <v>0</v>
      </c>
      <c r="J87" s="2" t="n">
        <f aca="false">$M87*input!J85</f>
        <v>0</v>
      </c>
      <c r="K87" s="2" t="n">
        <f aca="false">$M87*input!K85</f>
        <v>0</v>
      </c>
      <c r="M87" s="3" t="n">
        <v>1</v>
      </c>
      <c r="N87" s="3" t="s">
        <v>259</v>
      </c>
    </row>
    <row r="88" customFormat="false" ht="12.75" hidden="false" customHeight="false" outlineLevel="0" collapsed="false">
      <c r="A88" s="14" t="str">
        <f aca="false">input!A86</f>
        <v>C.III.7. Attività finanziarie per la gestione accentrata della tesoreria</v>
      </c>
      <c r="B88" s="2" t="n">
        <f aca="false">$M88*input!B86</f>
        <v>0</v>
      </c>
      <c r="C88" s="2" t="n">
        <f aca="false">$M88*input!C86</f>
        <v>0</v>
      </c>
      <c r="D88" s="2" t="n">
        <f aca="false">$M88*input!D86</f>
        <v>0</v>
      </c>
      <c r="E88" s="2" t="n">
        <f aca="false">$M88*input!E86</f>
        <v>0</v>
      </c>
      <c r="F88" s="2" t="n">
        <f aca="false">$M88*input!F86</f>
        <v>0</v>
      </c>
      <c r="G88" s="2" t="n">
        <f aca="false">$M88*input!G86</f>
        <v>0</v>
      </c>
      <c r="H88" s="2" t="n">
        <f aca="false">$M88*input!H86</f>
        <v>0</v>
      </c>
      <c r="I88" s="2" t="n">
        <f aca="false">$M88*input!I86</f>
        <v>0</v>
      </c>
      <c r="J88" s="2" t="n">
        <f aca="false">$M88*input!J86</f>
        <v>0</v>
      </c>
      <c r="K88" s="2" t="n">
        <f aca="false">$M88*input!K86</f>
        <v>0</v>
      </c>
      <c r="M88" s="3" t="n">
        <v>1</v>
      </c>
      <c r="N88" s="3" t="s">
        <v>260</v>
      </c>
    </row>
    <row r="89" customFormat="false" ht="12.75" hidden="false" customHeight="false" outlineLevel="0" collapsed="false">
      <c r="A89" s="13" t="str">
        <f aca="false">input!A87</f>
        <v>C.IV. TOT. DISPON. LIQUIDE</v>
      </c>
      <c r="B89" s="2" t="n">
        <f aca="false">$M89*input!B87</f>
        <v>11657</v>
      </c>
      <c r="C89" s="2" t="n">
        <f aca="false">$M89*input!C87</f>
        <v>46341</v>
      </c>
      <c r="D89" s="2" t="n">
        <f aca="false">$M89*input!D87</f>
        <v>111998</v>
      </c>
      <c r="E89" s="2" t="n">
        <f aca="false">$M89*input!E87</f>
        <v>958199</v>
      </c>
      <c r="F89" s="2" t="n">
        <f aca="false">$M89*input!F87</f>
        <v>8964663</v>
      </c>
      <c r="G89" s="2" t="n">
        <f aca="false">$M89*input!G87</f>
        <v>395065</v>
      </c>
      <c r="H89" s="2" t="n">
        <f aca="false">$M89*input!H87</f>
        <v>249464</v>
      </c>
      <c r="I89" s="2" t="n">
        <f aca="false">$M89*input!I87</f>
        <v>146831</v>
      </c>
      <c r="J89" s="2" t="n">
        <f aca="false">$M89*input!J87</f>
        <v>79896</v>
      </c>
      <c r="K89" s="2" t="n">
        <f aca="false">$M89*input!K87</f>
        <v>59936</v>
      </c>
      <c r="M89" s="3" t="n">
        <v>1</v>
      </c>
    </row>
    <row r="90" customFormat="false" ht="12.75" hidden="false" customHeight="false" outlineLevel="0" collapsed="false">
      <c r="A90" s="14" t="str">
        <f aca="false">input!A88</f>
        <v>C.IV.1. Depositi bancari</v>
      </c>
      <c r="B90" s="2" t="n">
        <f aca="false">$M90*input!B88</f>
        <v>9557</v>
      </c>
      <c r="C90" s="2" t="n">
        <f aca="false">$M90*input!C88</f>
        <v>42074</v>
      </c>
      <c r="D90" s="2" t="n">
        <f aca="false">$M90*input!D88</f>
        <v>105634</v>
      </c>
      <c r="E90" s="2" t="n">
        <f aca="false">$M90*input!E88</f>
        <v>954563</v>
      </c>
      <c r="F90" s="2" t="n">
        <f aca="false">$M90*input!F88</f>
        <v>8962838</v>
      </c>
      <c r="G90" s="2" t="n">
        <f aca="false">$M90*input!G88</f>
        <v>392781</v>
      </c>
      <c r="H90" s="2" t="n">
        <f aca="false">$M90*input!H88</f>
        <v>230250</v>
      </c>
      <c r="I90" s="2" t="n">
        <f aca="false">$M90*input!I88</f>
        <v>137758</v>
      </c>
      <c r="J90" s="2" t="n">
        <f aca="false">$M90*input!J88</f>
        <v>75301</v>
      </c>
      <c r="K90" s="2" t="n">
        <f aca="false">$M90*input!K88</f>
        <v>52387</v>
      </c>
      <c r="M90" s="3" t="n">
        <v>1</v>
      </c>
      <c r="N90" s="3" t="s">
        <v>260</v>
      </c>
    </row>
    <row r="91" customFormat="false" ht="12.75" hidden="false" customHeight="false" outlineLevel="0" collapsed="false">
      <c r="A91" s="14" t="str">
        <f aca="false">input!A89</f>
        <v>C.IV.2. Assegni</v>
      </c>
      <c r="B91" s="2" t="n">
        <f aca="false">$M91*input!B89</f>
        <v>0</v>
      </c>
      <c r="C91" s="2" t="n">
        <f aca="false">$M91*input!C89</f>
        <v>0</v>
      </c>
      <c r="D91" s="2" t="n">
        <f aca="false">$M91*input!D89</f>
        <v>0</v>
      </c>
      <c r="E91" s="2" t="n">
        <f aca="false">$M91*input!E89</f>
        <v>0</v>
      </c>
      <c r="F91" s="2" t="n">
        <f aca="false">$M91*input!F89</f>
        <v>0</v>
      </c>
      <c r="G91" s="2" t="n">
        <f aca="false">$M91*input!G89</f>
        <v>0</v>
      </c>
      <c r="H91" s="2" t="n">
        <f aca="false">$M91*input!H89</f>
        <v>0</v>
      </c>
      <c r="I91" s="2" t="n">
        <f aca="false">$M91*input!I89</f>
        <v>0</v>
      </c>
      <c r="J91" s="2" t="n">
        <f aca="false">$M91*input!J89</f>
        <v>0</v>
      </c>
      <c r="K91" s="2" t="n">
        <f aca="false">$M91*input!K89</f>
        <v>0</v>
      </c>
      <c r="M91" s="3" t="n">
        <v>1</v>
      </c>
      <c r="N91" s="3" t="s">
        <v>260</v>
      </c>
    </row>
    <row r="92" customFormat="false" ht="12.75" hidden="false" customHeight="false" outlineLevel="0" collapsed="false">
      <c r="A92" s="14" t="str">
        <f aca="false">input!A90</f>
        <v>C.IV.3. Denaro in cassa</v>
      </c>
      <c r="B92" s="2" t="n">
        <f aca="false">$M92*input!B90</f>
        <v>2100</v>
      </c>
      <c r="C92" s="2" t="n">
        <f aca="false">$M92*input!C90</f>
        <v>4267</v>
      </c>
      <c r="D92" s="2" t="n">
        <f aca="false">$M92*input!D90</f>
        <v>6364</v>
      </c>
      <c r="E92" s="2" t="n">
        <f aca="false">$M92*input!E90</f>
        <v>3636</v>
      </c>
      <c r="F92" s="2" t="n">
        <f aca="false">$M92*input!F90</f>
        <v>1825</v>
      </c>
      <c r="G92" s="2" t="n">
        <f aca="false">$M92*input!G90</f>
        <v>2284</v>
      </c>
      <c r="H92" s="2" t="n">
        <f aca="false">$M92*input!H90</f>
        <v>19214</v>
      </c>
      <c r="I92" s="2" t="n">
        <f aca="false">$M92*input!I90</f>
        <v>9073</v>
      </c>
      <c r="J92" s="2" t="n">
        <f aca="false">$M92*input!J90</f>
        <v>4595</v>
      </c>
      <c r="K92" s="2" t="n">
        <f aca="false">$M92*input!K90</f>
        <v>7549</v>
      </c>
      <c r="M92" s="3" t="n">
        <v>1</v>
      </c>
      <c r="N92" s="3" t="s">
        <v>260</v>
      </c>
    </row>
    <row r="93" s="11" customFormat="true" ht="13.5" hidden="false" customHeight="true" outlineLevel="0" collapsed="false">
      <c r="A93" s="9" t="str">
        <f aca="false">input!A91</f>
        <v>D. RATEI E RISCONTI</v>
      </c>
      <c r="B93" s="10" t="n">
        <f aca="false">$M93*input!B91</f>
        <v>332754</v>
      </c>
      <c r="C93" s="10" t="n">
        <f aca="false">$M93*input!C91</f>
        <v>93634</v>
      </c>
      <c r="D93" s="10" t="n">
        <f aca="false">$M93*input!D91</f>
        <v>86206</v>
      </c>
      <c r="E93" s="10" t="n">
        <f aca="false">$M93*input!E91</f>
        <v>105996</v>
      </c>
      <c r="F93" s="10" t="n">
        <f aca="false">$M93*input!F91</f>
        <v>77206</v>
      </c>
      <c r="G93" s="10" t="n">
        <f aca="false">$M93*input!G91</f>
        <v>432989</v>
      </c>
      <c r="H93" s="10" t="n">
        <f aca="false">$M93*input!H91</f>
        <v>460730</v>
      </c>
      <c r="I93" s="10" t="n">
        <f aca="false">$M93*input!I91</f>
        <v>327631</v>
      </c>
      <c r="J93" s="10" t="n">
        <f aca="false">$M93*input!J91</f>
        <v>320744</v>
      </c>
      <c r="K93" s="10" t="n">
        <f aca="false">$M93*input!K91</f>
        <v>370614</v>
      </c>
      <c r="M93" s="11" t="n">
        <v>1</v>
      </c>
      <c r="N93" s="11" t="s">
        <v>255</v>
      </c>
    </row>
    <row r="94" customFormat="false" ht="12.75" hidden="false" customHeight="false" outlineLevel="0" collapsed="false">
      <c r="A94" s="13" t="str">
        <f aca="false">input!A92</f>
        <v>Disaggio su prestiti</v>
      </c>
      <c r="B94" s="2" t="n">
        <f aca="false">$M94*input!B92</f>
        <v>0</v>
      </c>
      <c r="C94" s="2" t="n">
        <f aca="false">$M94*input!C92</f>
        <v>0</v>
      </c>
      <c r="D94" s="2" t="n">
        <f aca="false">$M94*input!D92</f>
        <v>0</v>
      </c>
      <c r="E94" s="2" t="n">
        <f aca="false">$M94*input!E92</f>
        <v>0</v>
      </c>
      <c r="F94" s="2" t="n">
        <f aca="false">$M94*input!F92</f>
        <v>0</v>
      </c>
      <c r="G94" s="2" t="n">
        <f aca="false">$M94*input!G92</f>
        <v>0</v>
      </c>
      <c r="H94" s="2" t="n">
        <f aca="false">$M94*input!H92</f>
        <v>0</v>
      </c>
      <c r="I94" s="2" t="n">
        <f aca="false">$M94*input!I92</f>
        <v>0</v>
      </c>
      <c r="J94" s="2" t="n">
        <f aca="false">$M94*input!J92</f>
        <v>0</v>
      </c>
      <c r="K94" s="2" t="n">
        <f aca="false">$M94*input!K92</f>
        <v>0</v>
      </c>
      <c r="M94" s="3" t="n">
        <v>1</v>
      </c>
    </row>
    <row r="95" s="19" customFormat="true" ht="13.5" hidden="false" customHeight="true" outlineLevel="0" collapsed="false">
      <c r="A95" s="17" t="str">
        <f aca="false">input!A93</f>
        <v>TOTALE ATTIVO</v>
      </c>
      <c r="B95" s="18" t="n">
        <f aca="false">$M95*input!B93</f>
        <v>61444796</v>
      </c>
      <c r="C95" s="18" t="n">
        <f aca="false">$M95*input!C93</f>
        <v>57479670</v>
      </c>
      <c r="D95" s="18" t="n">
        <f aca="false">$M95*input!D93</f>
        <v>54459629</v>
      </c>
      <c r="E95" s="18" t="n">
        <f aca="false">$M95*input!E93</f>
        <v>46499023</v>
      </c>
      <c r="F95" s="18" t="n">
        <f aca="false">$M95*input!F93</f>
        <v>25796860</v>
      </c>
      <c r="G95" s="18" t="n">
        <f aca="false">$M95*input!G93</f>
        <v>32406360</v>
      </c>
      <c r="H95" s="18" t="n">
        <f aca="false">$M95*input!H93</f>
        <v>29137944</v>
      </c>
      <c r="I95" s="18" t="n">
        <f aca="false">$M95*input!I93</f>
        <v>22497059</v>
      </c>
      <c r="J95" s="18" t="n">
        <f aca="false">$M95*input!J93</f>
        <v>12351601</v>
      </c>
      <c r="K95" s="18" t="n">
        <f aca="false">$M95*input!K93</f>
        <v>8477049</v>
      </c>
      <c r="L95" s="11"/>
      <c r="M95" s="11" t="n">
        <v>1</v>
      </c>
    </row>
    <row r="96" customFormat="false" ht="12.75" hidden="false" customHeight="false" outlineLevel="0" collapsed="false">
      <c r="A96" s="3"/>
    </row>
    <row r="97" customFormat="false" ht="18" hidden="false" customHeight="true" outlineLevel="0" collapsed="false">
      <c r="A97" s="20" t="str">
        <f aca="false">input!A94</f>
        <v>Passivo</v>
      </c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2"/>
      <c r="M97" s="22"/>
    </row>
    <row r="98" s="11" customFormat="true" ht="13.5" hidden="false" customHeight="true" outlineLevel="0" collapsed="false">
      <c r="A98" s="9" t="str">
        <f aca="false">input!A95</f>
        <v>PATRIMONIO NETTO</v>
      </c>
      <c r="B98" s="10" t="n">
        <f aca="false">$M98*input!B95</f>
        <v>0</v>
      </c>
      <c r="C98" s="10" t="n">
        <f aca="false">$M98*input!C95</f>
        <v>0</v>
      </c>
      <c r="D98" s="10" t="n">
        <f aca="false">$M98*input!D95</f>
        <v>0</v>
      </c>
      <c r="E98" s="10" t="n">
        <f aca="false">$M98*input!E95</f>
        <v>0</v>
      </c>
      <c r="F98" s="10" t="n">
        <f aca="false">$M98*input!F95</f>
        <v>0</v>
      </c>
      <c r="G98" s="10" t="n">
        <f aca="false">$M98*input!G95</f>
        <v>0</v>
      </c>
      <c r="H98" s="10" t="n">
        <f aca="false">$M98*input!H95</f>
        <v>0</v>
      </c>
      <c r="I98" s="10" t="n">
        <f aca="false">$M98*input!I95</f>
        <v>0</v>
      </c>
      <c r="J98" s="10" t="n">
        <f aca="false">$M98*input!J95</f>
        <v>0</v>
      </c>
      <c r="K98" s="10" t="n">
        <f aca="false">$M98*input!K95</f>
        <v>0</v>
      </c>
      <c r="M98" s="11" t="n">
        <v>1</v>
      </c>
    </row>
    <row r="99" customFormat="false" ht="12.75" hidden="false" customHeight="false" outlineLevel="0" collapsed="false">
      <c r="A99" s="1" t="str">
        <f aca="false">input!A96</f>
        <v>A. TOTALE PATRIMONIO NETTO</v>
      </c>
      <c r="B99" s="2" t="n">
        <f aca="false">$M99*input!B96</f>
        <v>5979951</v>
      </c>
      <c r="C99" s="2" t="n">
        <f aca="false">$M99*input!C96</f>
        <v>4214474</v>
      </c>
      <c r="D99" s="2" t="n">
        <f aca="false">$M99*input!D96</f>
        <v>3866660</v>
      </c>
      <c r="E99" s="2" t="n">
        <f aca="false">$M99*input!E96</f>
        <v>3604968</v>
      </c>
      <c r="F99" s="2" t="n">
        <f aca="false">$M99*input!F96</f>
        <v>3903442</v>
      </c>
      <c r="G99" s="2" t="n">
        <f aca="false">$M99*input!G96</f>
        <v>1524247</v>
      </c>
      <c r="H99" s="2" t="n">
        <f aca="false">$M99*input!H96</f>
        <v>3241230</v>
      </c>
      <c r="I99" s="2" t="n">
        <f aca="false">$M99*input!I96</f>
        <v>2622890</v>
      </c>
      <c r="J99" s="2" t="n">
        <f aca="false">$M99*input!J96</f>
        <v>2277205</v>
      </c>
      <c r="K99" s="2" t="n">
        <f aca="false">$M99*input!K96</f>
        <v>1782213</v>
      </c>
      <c r="M99" s="3" t="n">
        <v>1</v>
      </c>
    </row>
    <row r="100" customFormat="false" ht="12.75" hidden="false" customHeight="false" outlineLevel="0" collapsed="false">
      <c r="A100" s="13" t="str">
        <f aca="false">input!A97</f>
        <v>A.I. Capitale sociale</v>
      </c>
      <c r="B100" s="2" t="n">
        <f aca="false">$M100*input!B97</f>
        <v>1500000</v>
      </c>
      <c r="C100" s="2" t="n">
        <f aca="false">$M100*input!C97</f>
        <v>100000</v>
      </c>
      <c r="D100" s="2" t="n">
        <f aca="false">$M100*input!D97</f>
        <v>100000</v>
      </c>
      <c r="E100" s="2" t="n">
        <f aca="false">$M100*input!E97</f>
        <v>100000</v>
      </c>
      <c r="F100" s="2" t="n">
        <f aca="false">$M100*input!F97</f>
        <v>100000</v>
      </c>
      <c r="G100" s="2" t="n">
        <f aca="false">$M100*input!G97</f>
        <v>100000</v>
      </c>
      <c r="H100" s="2" t="n">
        <f aca="false">$M100*input!H97</f>
        <v>100000</v>
      </c>
      <c r="I100" s="2" t="n">
        <f aca="false">$M100*input!I97</f>
        <v>100000</v>
      </c>
      <c r="J100" s="2" t="n">
        <f aca="false">$M100*input!J97</f>
        <v>100000</v>
      </c>
      <c r="K100" s="2" t="n">
        <f aca="false">$M100*input!K97</f>
        <v>100000</v>
      </c>
      <c r="M100" s="3" t="n">
        <v>1</v>
      </c>
      <c r="N100" s="3" t="s">
        <v>261</v>
      </c>
    </row>
    <row r="101" customFormat="false" ht="12.75" hidden="false" customHeight="false" outlineLevel="0" collapsed="false">
      <c r="A101" s="14" t="str">
        <f aca="false">input!A98</f>
        <v>di cui: Versamenti soci in c/capitale</v>
      </c>
      <c r="B101" s="2" t="n">
        <f aca="false">$M101*input!B98</f>
        <v>0</v>
      </c>
      <c r="C101" s="2" t="n">
        <f aca="false">$M101*input!C98</f>
        <v>0</v>
      </c>
      <c r="D101" s="2" t="n">
        <f aca="false">$M101*input!D98</f>
        <v>0</v>
      </c>
      <c r="E101" s="2" t="n">
        <f aca="false">$M101*input!E98</f>
        <v>0</v>
      </c>
      <c r="F101" s="2" t="n">
        <f aca="false">$M101*input!F98</f>
        <v>0</v>
      </c>
      <c r="G101" s="2" t="n">
        <f aca="false">$M101*input!G98</f>
        <v>0</v>
      </c>
      <c r="H101" s="2" t="n">
        <f aca="false">$M101*input!H98</f>
        <v>0</v>
      </c>
      <c r="I101" s="2" t="n">
        <f aca="false">$M101*input!I98</f>
        <v>0</v>
      </c>
      <c r="J101" s="2" t="n">
        <f aca="false">$M101*input!J98</f>
        <v>0</v>
      </c>
      <c r="K101" s="2" t="n">
        <f aca="false">$M101*input!K98</f>
        <v>0</v>
      </c>
      <c r="M101" s="3" t="n">
        <v>1</v>
      </c>
    </row>
    <row r="102" customFormat="false" ht="12.75" hidden="false" customHeight="false" outlineLevel="0" collapsed="false">
      <c r="A102" s="14" t="str">
        <f aca="false">input!A99</f>
        <v>di cui: Versamenti in c/futuro aumento di capitale</v>
      </c>
      <c r="B102" s="2" t="n">
        <f aca="false">$M102*input!B99</f>
        <v>0</v>
      </c>
      <c r="C102" s="2" t="n">
        <f aca="false">$M102*input!C99</f>
        <v>0</v>
      </c>
      <c r="D102" s="2" t="n">
        <f aca="false">$M102*input!D99</f>
        <v>0</v>
      </c>
      <c r="E102" s="2" t="n">
        <f aca="false">$M102*input!E99</f>
        <v>0</v>
      </c>
      <c r="F102" s="2" t="n">
        <f aca="false">$M102*input!F99</f>
        <v>0</v>
      </c>
      <c r="G102" s="2" t="n">
        <f aca="false">$M102*input!G99</f>
        <v>0</v>
      </c>
      <c r="H102" s="2" t="n">
        <f aca="false">$M102*input!H99</f>
        <v>0</v>
      </c>
      <c r="I102" s="2" t="n">
        <f aca="false">$M102*input!I99</f>
        <v>0</v>
      </c>
      <c r="J102" s="2" t="n">
        <f aca="false">$M102*input!J99</f>
        <v>0</v>
      </c>
      <c r="K102" s="2" t="n">
        <f aca="false">$M102*input!K99</f>
        <v>0</v>
      </c>
      <c r="M102" s="3" t="n">
        <v>1</v>
      </c>
    </row>
    <row r="103" customFormat="false" ht="12.75" hidden="false" customHeight="false" outlineLevel="0" collapsed="false">
      <c r="A103" s="14" t="str">
        <f aca="false">input!A100</f>
        <v>di cui: Versamenti in c/capitale</v>
      </c>
      <c r="B103" s="2" t="n">
        <f aca="false">$M103*input!B100</f>
        <v>290000</v>
      </c>
      <c r="C103" s="2" t="n">
        <f aca="false">$M103*input!C100</f>
        <v>290000</v>
      </c>
      <c r="D103" s="2" t="n">
        <f aca="false">$M103*input!D100</f>
        <v>290000</v>
      </c>
      <c r="E103" s="2" t="n">
        <f aca="false">$M103*input!E100</f>
        <v>290000</v>
      </c>
      <c r="F103" s="2" t="n">
        <f aca="false">$M103*input!F100</f>
        <v>290000</v>
      </c>
      <c r="G103" s="2" t="n">
        <f aca="false">$M103*input!G100</f>
        <v>290000</v>
      </c>
      <c r="H103" s="2" t="n">
        <f aca="false">$M103*input!H100</f>
        <v>290000</v>
      </c>
      <c r="I103" s="2" t="n">
        <f aca="false">$M103*input!I100</f>
        <v>290000</v>
      </c>
      <c r="J103" s="2" t="n">
        <f aca="false">$M103*input!J100</f>
        <v>290000</v>
      </c>
      <c r="K103" s="2" t="n">
        <f aca="false">$M103*input!K100</f>
        <v>290000</v>
      </c>
      <c r="M103" s="3" t="n">
        <v>1</v>
      </c>
    </row>
    <row r="104" customFormat="false" ht="12.75" hidden="false" customHeight="false" outlineLevel="0" collapsed="false">
      <c r="A104" s="14" t="str">
        <f aca="false">input!A101</f>
        <v>di cui: Versamenti a copertura perdite</v>
      </c>
      <c r="B104" s="2" t="n">
        <f aca="false">$M104*input!B101</f>
        <v>0</v>
      </c>
      <c r="C104" s="2" t="n">
        <f aca="false">$M104*input!C101</f>
        <v>0</v>
      </c>
      <c r="D104" s="2" t="n">
        <f aca="false">$M104*input!D101</f>
        <v>0</v>
      </c>
      <c r="E104" s="2" t="n">
        <f aca="false">$M104*input!E101</f>
        <v>0</v>
      </c>
      <c r="F104" s="2" t="n">
        <f aca="false">$M104*input!F101</f>
        <v>0</v>
      </c>
      <c r="G104" s="2" t="n">
        <f aca="false">$M104*input!G101</f>
        <v>0</v>
      </c>
      <c r="H104" s="2" t="n">
        <f aca="false">$M104*input!H101</f>
        <v>0</v>
      </c>
      <c r="I104" s="2" t="n">
        <f aca="false">$M104*input!I101</f>
        <v>0</v>
      </c>
      <c r="J104" s="2" t="n">
        <f aca="false">$M104*input!J101</f>
        <v>0</v>
      </c>
      <c r="K104" s="2" t="n">
        <f aca="false">$M104*input!K101</f>
        <v>0</v>
      </c>
      <c r="M104" s="3" t="n">
        <v>1</v>
      </c>
    </row>
    <row r="105" customFormat="false" ht="12.75" hidden="false" customHeight="false" outlineLevel="0" collapsed="false">
      <c r="A105" s="13" t="str">
        <f aca="false">input!A102</f>
        <v>A.II. Riserva da sovrapprezzo</v>
      </c>
      <c r="B105" s="2" t="n">
        <f aca="false">$M105*input!B102</f>
        <v>0</v>
      </c>
      <c r="C105" s="2" t="n">
        <f aca="false">$M105*input!C102</f>
        <v>0</v>
      </c>
      <c r="D105" s="2" t="n">
        <f aca="false">$M105*input!D102</f>
        <v>0</v>
      </c>
      <c r="E105" s="2" t="n">
        <f aca="false">$M105*input!E102</f>
        <v>0</v>
      </c>
      <c r="F105" s="2" t="n">
        <f aca="false">$M105*input!F102</f>
        <v>0</v>
      </c>
      <c r="G105" s="2" t="n">
        <f aca="false">$M105*input!G102</f>
        <v>0</v>
      </c>
      <c r="H105" s="2" t="n">
        <f aca="false">$M105*input!H102</f>
        <v>0</v>
      </c>
      <c r="I105" s="2" t="n">
        <f aca="false">$M105*input!I102</f>
        <v>0</v>
      </c>
      <c r="J105" s="2" t="n">
        <f aca="false">$M105*input!J102</f>
        <v>0</v>
      </c>
      <c r="K105" s="2" t="n">
        <f aca="false">$M105*input!K102</f>
        <v>0</v>
      </c>
      <c r="M105" s="3" t="n">
        <v>1</v>
      </c>
      <c r="N105" s="3" t="s">
        <v>261</v>
      </c>
    </row>
    <row r="106" customFormat="false" ht="12.75" hidden="false" customHeight="false" outlineLevel="0" collapsed="false">
      <c r="A106" s="13" t="str">
        <f aca="false">input!A103</f>
        <v>A.III. Riserva di rivalutazione</v>
      </c>
      <c r="B106" s="2" t="n">
        <f aca="false">$M106*input!B103</f>
        <v>0</v>
      </c>
      <c r="C106" s="2" t="n">
        <f aca="false">$M106*input!C103</f>
        <v>0</v>
      </c>
      <c r="D106" s="2" t="n">
        <f aca="false">$M106*input!D103</f>
        <v>0</v>
      </c>
      <c r="E106" s="2" t="n">
        <f aca="false">$M106*input!E103</f>
        <v>0</v>
      </c>
      <c r="F106" s="2" t="n">
        <f aca="false">$M106*input!F103</f>
        <v>0</v>
      </c>
      <c r="G106" s="2" t="n">
        <f aca="false">$M106*input!G103</f>
        <v>0</v>
      </c>
      <c r="H106" s="2" t="n">
        <f aca="false">$M106*input!H103</f>
        <v>0</v>
      </c>
      <c r="I106" s="2" t="n">
        <f aca="false">$M106*input!I103</f>
        <v>0</v>
      </c>
      <c r="J106" s="2" t="n">
        <f aca="false">$M106*input!J103</f>
        <v>0</v>
      </c>
      <c r="K106" s="2" t="n">
        <f aca="false">$M106*input!K103</f>
        <v>0</v>
      </c>
      <c r="M106" s="3" t="n">
        <v>1</v>
      </c>
      <c r="N106" s="3" t="s">
        <v>262</v>
      </c>
    </row>
    <row r="107" customFormat="false" ht="12.75" hidden="false" customHeight="false" outlineLevel="0" collapsed="false">
      <c r="A107" s="13" t="str">
        <f aca="false">input!A104</f>
        <v>A.IV. Riserva legale</v>
      </c>
      <c r="B107" s="2" t="n">
        <f aca="false">$M107*input!B104</f>
        <v>20000</v>
      </c>
      <c r="C107" s="2" t="n">
        <f aca="false">$M107*input!C104</f>
        <v>20000</v>
      </c>
      <c r="D107" s="2" t="n">
        <f aca="false">$M107*input!D104</f>
        <v>20000</v>
      </c>
      <c r="E107" s="2" t="n">
        <f aca="false">$M107*input!E104</f>
        <v>20000</v>
      </c>
      <c r="F107" s="2" t="n">
        <f aca="false">$M107*input!F104</f>
        <v>20000</v>
      </c>
      <c r="G107" s="2" t="n">
        <f aca="false">$M107*input!G104</f>
        <v>20000</v>
      </c>
      <c r="H107" s="2" t="n">
        <f aca="false">$M107*input!H104</f>
        <v>20000</v>
      </c>
      <c r="I107" s="2" t="n">
        <f aca="false">$M107*input!I104</f>
        <v>20000</v>
      </c>
      <c r="J107" s="2" t="n">
        <f aca="false">$M107*input!J104</f>
        <v>20000</v>
      </c>
      <c r="K107" s="2" t="n">
        <f aca="false">$M107*input!K104</f>
        <v>20000</v>
      </c>
      <c r="M107" s="3" t="n">
        <v>1</v>
      </c>
      <c r="N107" s="3" t="s">
        <v>263</v>
      </c>
    </row>
    <row r="108" customFormat="false" ht="12.75" hidden="false" customHeight="false" outlineLevel="0" collapsed="false">
      <c r="A108" s="13" t="str">
        <f aca="false">input!A105</f>
        <v>A.V. Riserva statutaria</v>
      </c>
      <c r="B108" s="2" t="n">
        <f aca="false">$M108*input!B105</f>
        <v>0</v>
      </c>
      <c r="C108" s="2" t="n">
        <f aca="false">$M108*input!C105</f>
        <v>0</v>
      </c>
      <c r="D108" s="2" t="n">
        <f aca="false">$M108*input!D105</f>
        <v>0</v>
      </c>
      <c r="E108" s="2" t="n">
        <f aca="false">$M108*input!E105</f>
        <v>0</v>
      </c>
      <c r="F108" s="2" t="n">
        <f aca="false">$M108*input!F105</f>
        <v>0</v>
      </c>
      <c r="G108" s="2" t="n">
        <f aca="false">$M108*input!G105</f>
        <v>0</v>
      </c>
      <c r="H108" s="2" t="n">
        <f aca="false">$M108*input!H105</f>
        <v>0</v>
      </c>
      <c r="I108" s="2" t="n">
        <f aca="false">$M108*input!I105</f>
        <v>0</v>
      </c>
      <c r="J108" s="2" t="n">
        <f aca="false">$M108*input!J105</f>
        <v>0</v>
      </c>
      <c r="K108" s="2" t="n">
        <f aca="false">$M108*input!K105</f>
        <v>0</v>
      </c>
      <c r="M108" s="3" t="n">
        <v>1</v>
      </c>
      <c r="N108" s="3" t="s">
        <v>263</v>
      </c>
    </row>
    <row r="109" customFormat="false" ht="12.75" hidden="false" customHeight="false" outlineLevel="0" collapsed="false">
      <c r="A109" s="14" t="str">
        <f aca="false">input!A106</f>
        <v>Riserva azioni proprie</v>
      </c>
      <c r="B109" s="2" t="n">
        <f aca="false">$M109*input!B106</f>
        <v>0</v>
      </c>
      <c r="C109" s="2" t="n">
        <f aca="false">$M109*input!C106</f>
        <v>0</v>
      </c>
      <c r="D109" s="2" t="n">
        <f aca="false">$M109*input!D106</f>
        <v>0</v>
      </c>
      <c r="E109" s="2" t="n">
        <f aca="false">$M109*input!E106</f>
        <v>0</v>
      </c>
      <c r="F109" s="2" t="n">
        <f aca="false">$M109*input!F106</f>
        <v>0</v>
      </c>
      <c r="G109" s="2" t="n">
        <f aca="false">$M109*input!G106</f>
        <v>0</v>
      </c>
      <c r="H109" s="2" t="n">
        <f aca="false">$M109*input!H106</f>
        <v>0</v>
      </c>
      <c r="I109" s="2" t="n">
        <f aca="false">$M109*input!I106</f>
        <v>0</v>
      </c>
      <c r="J109" s="2" t="n">
        <f aca="false">$M109*input!J106</f>
        <v>0</v>
      </c>
      <c r="K109" s="2" t="n">
        <f aca="false">$M109*input!K106</f>
        <v>0</v>
      </c>
      <c r="M109" s="3" t="n">
        <v>1</v>
      </c>
      <c r="N109" s="3" t="s">
        <v>249</v>
      </c>
    </row>
    <row r="110" customFormat="false" ht="12.75" hidden="false" customHeight="false" outlineLevel="0" collapsed="false">
      <c r="A110" s="13" t="str">
        <f aca="false">input!A107</f>
        <v>A.VI. Altre riserve</v>
      </c>
      <c r="B110" s="2" t="n">
        <f aca="false">$M110*input!B107</f>
        <v>289999</v>
      </c>
      <c r="C110" s="2" t="n">
        <f aca="false">$M110*input!C107</f>
        <v>289999</v>
      </c>
      <c r="D110" s="2" t="n">
        <f aca="false">$M110*input!D107</f>
        <v>290000</v>
      </c>
      <c r="E110" s="2" t="n">
        <f aca="false">$M110*input!E107</f>
        <v>290000</v>
      </c>
      <c r="F110" s="2" t="n">
        <f aca="false">$M110*input!F107</f>
        <v>290002</v>
      </c>
      <c r="G110" s="2" t="n">
        <f aca="false">$M110*input!G107</f>
        <v>290002</v>
      </c>
      <c r="H110" s="2" t="n">
        <f aca="false">$M110*input!H107</f>
        <v>290004</v>
      </c>
      <c r="I110" s="2" t="n">
        <f aca="false">$M110*input!I107</f>
        <v>289999</v>
      </c>
      <c r="J110" s="2" t="n">
        <f aca="false">$M110*input!J107</f>
        <v>290000</v>
      </c>
      <c r="K110" s="2" t="n">
        <f aca="false">$M110*input!K107</f>
        <v>290000</v>
      </c>
      <c r="M110" s="3" t="n">
        <v>1</v>
      </c>
      <c r="N110" s="3" t="s">
        <v>263</v>
      </c>
    </row>
    <row r="111" customFormat="false" ht="12.75" hidden="false" customHeight="false" outlineLevel="0" collapsed="false">
      <c r="A111" s="14" t="str">
        <f aca="false">input!A108</f>
        <v>Riserva da cons. del Gruppo</v>
      </c>
      <c r="B111" s="2" t="n">
        <f aca="false">$M111*input!B108</f>
        <v>0</v>
      </c>
      <c r="C111" s="2" t="n">
        <f aca="false">$M111*input!C108</f>
        <v>0</v>
      </c>
      <c r="D111" s="2" t="n">
        <f aca="false">$M111*input!D108</f>
        <v>0</v>
      </c>
      <c r="E111" s="2" t="n">
        <f aca="false">$M111*input!E108</f>
        <v>0</v>
      </c>
      <c r="F111" s="2" t="n">
        <f aca="false">$M111*input!F108</f>
        <v>0</v>
      </c>
      <c r="G111" s="2" t="n">
        <f aca="false">$M111*input!G108</f>
        <v>0</v>
      </c>
      <c r="H111" s="2" t="n">
        <f aca="false">$M111*input!H108</f>
        <v>0</v>
      </c>
      <c r="I111" s="2" t="n">
        <f aca="false">$M111*input!I108</f>
        <v>0</v>
      </c>
      <c r="J111" s="2" t="n">
        <f aca="false">$M111*input!J108</f>
        <v>0</v>
      </c>
      <c r="K111" s="2" t="n">
        <f aca="false">$M111*input!K108</f>
        <v>0</v>
      </c>
      <c r="M111" s="3" t="n">
        <v>1</v>
      </c>
    </row>
    <row r="112" customFormat="false" ht="12.75" hidden="false" customHeight="false" outlineLevel="0" collapsed="false">
      <c r="A112" s="13" t="str">
        <f aca="false">input!A109</f>
        <v>A.VII. Riserva per operazioni di copertura dei flussi finanziari attesi</v>
      </c>
      <c r="B112" s="2" t="n">
        <f aca="false">$M112*input!B109</f>
        <v>0</v>
      </c>
      <c r="C112" s="2" t="n">
        <f aca="false">$M112*input!C109</f>
        <v>0</v>
      </c>
      <c r="D112" s="2" t="n">
        <f aca="false">$M112*input!D109</f>
        <v>0</v>
      </c>
      <c r="E112" s="2" t="n">
        <f aca="false">$M112*input!E109</f>
        <v>0</v>
      </c>
      <c r="F112" s="2" t="n">
        <f aca="false">$M112*input!F109</f>
        <v>0</v>
      </c>
      <c r="G112" s="2" t="n">
        <f aca="false">$M112*input!G109</f>
        <v>0</v>
      </c>
      <c r="H112" s="2" t="n">
        <f aca="false">$M112*input!H109</f>
        <v>0</v>
      </c>
      <c r="I112" s="2" t="n">
        <f aca="false">$M112*input!I109</f>
        <v>0</v>
      </c>
      <c r="J112" s="2" t="n">
        <f aca="false">$M112*input!J109</f>
        <v>0</v>
      </c>
      <c r="K112" s="2" t="n">
        <f aca="false">$M112*input!K109</f>
        <v>0</v>
      </c>
      <c r="M112" s="3" t="n">
        <v>1</v>
      </c>
      <c r="N112" s="3" t="s">
        <v>262</v>
      </c>
    </row>
    <row r="113" customFormat="false" ht="12.75" hidden="false" customHeight="false" outlineLevel="0" collapsed="false">
      <c r="A113" s="13" t="str">
        <f aca="false">input!A110</f>
        <v>A.VIII. Utile/perdita a nuovo</v>
      </c>
      <c r="B113" s="2" t="n">
        <f aca="false">$M113*input!B110</f>
        <v>3804475</v>
      </c>
      <c r="C113" s="2" t="n">
        <f aca="false">$M113*input!C110</f>
        <v>3456660</v>
      </c>
      <c r="D113" s="2" t="n">
        <f aca="false">$M113*input!D110</f>
        <v>3194967</v>
      </c>
      <c r="E113" s="2" t="n">
        <f aca="false">$M113*input!E110</f>
        <v>3493440</v>
      </c>
      <c r="F113" s="2" t="n">
        <f aca="false">$M113*input!F110</f>
        <v>1114245</v>
      </c>
      <c r="G113" s="2" t="n">
        <f aca="false">$M113*input!G110</f>
        <v>2831226</v>
      </c>
      <c r="H113" s="2" t="n">
        <f aca="false">$M113*input!H110</f>
        <v>2212892</v>
      </c>
      <c r="I113" s="2" t="n">
        <f aca="false">$M113*input!I110</f>
        <v>1867205</v>
      </c>
      <c r="J113" s="2" t="n">
        <f aca="false">$M113*input!J110</f>
        <v>1372213</v>
      </c>
      <c r="K113" s="2" t="n">
        <f aca="false">$M113*input!K110</f>
        <v>706567</v>
      </c>
      <c r="M113" s="3" t="n">
        <v>1</v>
      </c>
      <c r="N113" s="3" t="s">
        <v>263</v>
      </c>
    </row>
    <row r="114" customFormat="false" ht="12.75" hidden="false" customHeight="false" outlineLevel="0" collapsed="false">
      <c r="A114" s="13" t="str">
        <f aca="false">input!A111</f>
        <v>A.IX. Utile/perdita di esercizio</v>
      </c>
      <c r="B114" s="2" t="n">
        <f aca="false">$M114*input!B111</f>
        <v>365477</v>
      </c>
      <c r="C114" s="2" t="n">
        <f aca="false">$M114*input!C111</f>
        <v>347815</v>
      </c>
      <c r="D114" s="2" t="n">
        <f aca="false">$M114*input!D111</f>
        <v>261693</v>
      </c>
      <c r="E114" s="2" t="n">
        <f aca="false">$M114*input!E111</f>
        <v>-298472</v>
      </c>
      <c r="F114" s="2" t="n">
        <f aca="false">$M114*input!F111</f>
        <v>2379195</v>
      </c>
      <c r="G114" s="2" t="n">
        <f aca="false">$M114*input!G111</f>
        <v>-1716981</v>
      </c>
      <c r="H114" s="2" t="n">
        <f aca="false">$M114*input!H111</f>
        <v>618334</v>
      </c>
      <c r="I114" s="2" t="n">
        <f aca="false">$M114*input!I111</f>
        <v>345686</v>
      </c>
      <c r="J114" s="2" t="n">
        <f aca="false">$M114*input!J111</f>
        <v>494992</v>
      </c>
      <c r="K114" s="2" t="n">
        <f aca="false">$M114*input!K111</f>
        <v>665646</v>
      </c>
      <c r="M114" s="3" t="n">
        <v>1</v>
      </c>
      <c r="N114" s="3" t="s">
        <v>264</v>
      </c>
    </row>
    <row r="115" customFormat="false" ht="12.75" hidden="false" customHeight="false" outlineLevel="0" collapsed="false">
      <c r="A115" s="14" t="str">
        <f aca="false">input!A112</f>
        <v>Acconto dividendi</v>
      </c>
      <c r="B115" s="2" t="n">
        <f aca="false">$M115*input!B112</f>
        <v>0</v>
      </c>
      <c r="C115" s="2" t="n">
        <f aca="false">$M115*input!C112</f>
        <v>0</v>
      </c>
      <c r="D115" s="2" t="n">
        <f aca="false">$M115*input!D112</f>
        <v>0</v>
      </c>
      <c r="E115" s="2" t="n">
        <f aca="false">$M115*input!E112</f>
        <v>0</v>
      </c>
      <c r="F115" s="2" t="n">
        <f aca="false">$M115*input!F112</f>
        <v>0</v>
      </c>
      <c r="G115" s="2" t="n">
        <f aca="false">$M115*input!G112</f>
        <v>0</v>
      </c>
      <c r="H115" s="2" t="n">
        <f aca="false">$M115*input!H112</f>
        <v>0</v>
      </c>
      <c r="I115" s="2" t="n">
        <f aca="false">$M115*input!I112</f>
        <v>0</v>
      </c>
      <c r="J115" s="2" t="n">
        <f aca="false">$M115*input!J112</f>
        <v>0</v>
      </c>
      <c r="K115" s="2" t="n">
        <f aca="false">$M115*input!K112</f>
        <v>0</v>
      </c>
      <c r="M115" s="3" t="n">
        <v>1</v>
      </c>
    </row>
    <row r="116" customFormat="false" ht="12.75" hidden="false" customHeight="false" outlineLevel="0" collapsed="false">
      <c r="A116" s="14" t="str">
        <f aca="false">input!A113</f>
        <v>Copertura parziale perdita di esercizio</v>
      </c>
      <c r="B116" s="2" t="n">
        <f aca="false">$M116*input!B113</f>
        <v>0</v>
      </c>
      <c r="C116" s="2" t="n">
        <f aca="false">$M116*input!C113</f>
        <v>0</v>
      </c>
      <c r="D116" s="2" t="n">
        <f aca="false">$M116*input!D113</f>
        <v>0</v>
      </c>
      <c r="E116" s="2" t="n">
        <f aca="false">$M116*input!E113</f>
        <v>0</v>
      </c>
      <c r="F116" s="2" t="n">
        <f aca="false">$M116*input!F113</f>
        <v>0</v>
      </c>
      <c r="G116" s="2" t="n">
        <f aca="false">$M116*input!G113</f>
        <v>0</v>
      </c>
      <c r="H116" s="2" t="n">
        <f aca="false">$M116*input!H113</f>
        <v>0</v>
      </c>
      <c r="I116" s="2" t="n">
        <f aca="false">$M116*input!I113</f>
        <v>0</v>
      </c>
      <c r="J116" s="2" t="n">
        <f aca="false">$M116*input!J113</f>
        <v>0</v>
      </c>
      <c r="K116" s="2" t="n">
        <f aca="false">$M116*input!K113</f>
        <v>0</v>
      </c>
      <c r="M116" s="3" t="n">
        <v>1</v>
      </c>
    </row>
    <row r="117" customFormat="false" ht="12.75" hidden="false" customHeight="false" outlineLevel="0" collapsed="false">
      <c r="A117" s="13" t="str">
        <f aca="false">input!A114</f>
        <v>A.X. Riserva negativa per azioni proprie in portafoglio (+/-)</v>
      </c>
      <c r="B117" s="2" t="n">
        <f aca="false">$M117*input!B114</f>
        <v>0</v>
      </c>
      <c r="C117" s="2" t="n">
        <f aca="false">$M117*input!C114</f>
        <v>0</v>
      </c>
      <c r="D117" s="2" t="n">
        <f aca="false">$M117*input!D114</f>
        <v>0</v>
      </c>
      <c r="E117" s="2" t="n">
        <f aca="false">$M117*input!E114</f>
        <v>0</v>
      </c>
      <c r="F117" s="2" t="n">
        <f aca="false">$M117*input!F114</f>
        <v>0</v>
      </c>
      <c r="G117" s="2" t="n">
        <f aca="false">$M117*input!G114</f>
        <v>0</v>
      </c>
      <c r="H117" s="2" t="n">
        <f aca="false">$M117*input!H114</f>
        <v>0</v>
      </c>
      <c r="I117" s="2" t="n">
        <f aca="false">$M117*input!I114</f>
        <v>0</v>
      </c>
      <c r="J117" s="2" t="n">
        <f aca="false">$M117*input!J114</f>
        <v>0</v>
      </c>
      <c r="K117" s="2" t="n">
        <f aca="false">$M117*input!K114</f>
        <v>0</v>
      </c>
      <c r="M117" s="3" t="n">
        <v>1</v>
      </c>
      <c r="N117" s="3" t="s">
        <v>249</v>
      </c>
    </row>
    <row r="118" customFormat="false" ht="12.75" hidden="false" customHeight="false" outlineLevel="0" collapsed="false">
      <c r="A118" s="1" t="str">
        <f aca="false">input!A115</f>
        <v>TOTALE PATRIMONIO DEL GRUPPO</v>
      </c>
      <c r="B118" s="2" t="n">
        <f aca="false">$M118*input!B115</f>
        <v>0</v>
      </c>
      <c r="C118" s="2" t="n">
        <f aca="false">$M118*input!C115</f>
        <v>0</v>
      </c>
      <c r="D118" s="2" t="n">
        <f aca="false">$M118*input!D115</f>
        <v>0</v>
      </c>
      <c r="E118" s="2" t="n">
        <f aca="false">$M118*input!E115</f>
        <v>0</v>
      </c>
      <c r="F118" s="2" t="n">
        <f aca="false">$M118*input!F115</f>
        <v>0</v>
      </c>
      <c r="G118" s="2" t="n">
        <f aca="false">$M118*input!G115</f>
        <v>0</v>
      </c>
      <c r="H118" s="2" t="n">
        <f aca="false">$M118*input!H115</f>
        <v>0</v>
      </c>
      <c r="I118" s="2" t="n">
        <f aca="false">$M118*input!I115</f>
        <v>0</v>
      </c>
      <c r="J118" s="2" t="n">
        <f aca="false">$M118*input!J115</f>
        <v>0</v>
      </c>
      <c r="K118" s="2" t="n">
        <f aca="false">$M118*input!K115</f>
        <v>0</v>
      </c>
      <c r="M118" s="3" t="n">
        <v>1</v>
      </c>
    </row>
    <row r="119" customFormat="false" ht="12.75" hidden="false" customHeight="false" outlineLevel="0" collapsed="false">
      <c r="A119" s="1" t="str">
        <f aca="false">input!A116</f>
        <v>Capitale e riserve di pertinenza di TERZI</v>
      </c>
      <c r="B119" s="2" t="n">
        <f aca="false">$M119*input!B116</f>
        <v>0</v>
      </c>
      <c r="C119" s="2" t="n">
        <f aca="false">$M119*input!C116</f>
        <v>0</v>
      </c>
      <c r="D119" s="2" t="n">
        <f aca="false">$M119*input!D116</f>
        <v>0</v>
      </c>
      <c r="E119" s="2" t="n">
        <f aca="false">$M119*input!E116</f>
        <v>0</v>
      </c>
      <c r="F119" s="2" t="n">
        <f aca="false">$M119*input!F116</f>
        <v>0</v>
      </c>
      <c r="G119" s="2" t="n">
        <f aca="false">$M119*input!G116</f>
        <v>0</v>
      </c>
      <c r="H119" s="2" t="n">
        <f aca="false">$M119*input!H116</f>
        <v>0</v>
      </c>
      <c r="I119" s="2" t="n">
        <f aca="false">$M119*input!I116</f>
        <v>0</v>
      </c>
      <c r="J119" s="2" t="n">
        <f aca="false">$M119*input!J116</f>
        <v>0</v>
      </c>
      <c r="K119" s="2" t="n">
        <f aca="false">$M119*input!K116</f>
        <v>0</v>
      </c>
      <c r="M119" s="3" t="n">
        <v>1</v>
      </c>
    </row>
    <row r="120" customFormat="false" ht="12.75" hidden="false" customHeight="false" outlineLevel="0" collapsed="false">
      <c r="A120" s="1" t="str">
        <f aca="false">input!A117</f>
        <v>di cui: per imposte differite</v>
      </c>
      <c r="B120" s="2" t="n">
        <f aca="false">$M120*input!B117</f>
        <v>0</v>
      </c>
      <c r="C120" s="2" t="n">
        <f aca="false">$M120*input!C117</f>
        <v>0</v>
      </c>
      <c r="D120" s="2" t="n">
        <f aca="false">$M120*input!D117</f>
        <v>0</v>
      </c>
      <c r="E120" s="2" t="n">
        <f aca="false">$M120*input!E117</f>
        <v>0</v>
      </c>
      <c r="F120" s="2" t="n">
        <f aca="false">$M120*input!F117</f>
        <v>0</v>
      </c>
      <c r="G120" s="2" t="n">
        <f aca="false">$M120*input!G117</f>
        <v>0</v>
      </c>
      <c r="H120" s="2" t="n">
        <f aca="false">$M120*input!H117</f>
        <v>0</v>
      </c>
      <c r="I120" s="2" t="n">
        <f aca="false">$M120*input!I117</f>
        <v>0</v>
      </c>
      <c r="J120" s="2" t="n">
        <f aca="false">$M120*input!J117</f>
        <v>0</v>
      </c>
      <c r="K120" s="2" t="n">
        <f aca="false">$M120*input!K117</f>
        <v>0</v>
      </c>
      <c r="M120" s="3" t="n">
        <v>1</v>
      </c>
    </row>
    <row r="121" customFormat="false" ht="12.75" hidden="false" customHeight="false" outlineLevel="0" collapsed="false">
      <c r="A121" s="1" t="str">
        <f aca="false">input!A118</f>
        <v>Utile/perdita di es. di pertinenza di TERZI</v>
      </c>
      <c r="B121" s="2" t="n">
        <f aca="false">$M121*input!B118</f>
        <v>0</v>
      </c>
      <c r="C121" s="2" t="n">
        <f aca="false">$M121*input!C118</f>
        <v>0</v>
      </c>
      <c r="D121" s="2" t="n">
        <f aca="false">$M121*input!D118</f>
        <v>0</v>
      </c>
      <c r="E121" s="2" t="n">
        <f aca="false">$M121*input!E118</f>
        <v>0</v>
      </c>
      <c r="F121" s="2" t="n">
        <f aca="false">$M121*input!F118</f>
        <v>0</v>
      </c>
      <c r="G121" s="2" t="n">
        <f aca="false">$M121*input!G118</f>
        <v>0</v>
      </c>
      <c r="H121" s="2" t="n">
        <f aca="false">$M121*input!H118</f>
        <v>0</v>
      </c>
      <c r="I121" s="2" t="n">
        <f aca="false">$M121*input!I118</f>
        <v>0</v>
      </c>
      <c r="J121" s="2" t="n">
        <f aca="false">$M121*input!J118</f>
        <v>0</v>
      </c>
      <c r="K121" s="2" t="n">
        <f aca="false">$M121*input!K118</f>
        <v>0</v>
      </c>
      <c r="M121" s="3" t="n">
        <v>1</v>
      </c>
    </row>
    <row r="122" customFormat="false" ht="12.75" hidden="false" customHeight="false" outlineLevel="0" collapsed="false">
      <c r="A122" s="1" t="str">
        <f aca="false">input!A119</f>
        <v>TOTALE PATRIMONIO DI TERZI</v>
      </c>
      <c r="B122" s="2" t="n">
        <f aca="false">$M122*input!B119</f>
        <v>0</v>
      </c>
      <c r="C122" s="2" t="n">
        <f aca="false">$M122*input!C119</f>
        <v>0</v>
      </c>
      <c r="D122" s="2" t="n">
        <f aca="false">$M122*input!D119</f>
        <v>0</v>
      </c>
      <c r="E122" s="2" t="n">
        <f aca="false">$M122*input!E119</f>
        <v>0</v>
      </c>
      <c r="F122" s="2" t="n">
        <f aca="false">$M122*input!F119</f>
        <v>0</v>
      </c>
      <c r="G122" s="2" t="n">
        <f aca="false">$M122*input!G119</f>
        <v>0</v>
      </c>
      <c r="H122" s="2" t="n">
        <f aca="false">$M122*input!H119</f>
        <v>0</v>
      </c>
      <c r="I122" s="2" t="n">
        <f aca="false">$M122*input!I119</f>
        <v>0</v>
      </c>
      <c r="J122" s="2" t="n">
        <f aca="false">$M122*input!J119</f>
        <v>0</v>
      </c>
      <c r="K122" s="2" t="n">
        <f aca="false">$M122*input!K119</f>
        <v>0</v>
      </c>
      <c r="M122" s="3" t="n">
        <v>1</v>
      </c>
      <c r="N122" s="3" t="s">
        <v>265</v>
      </c>
    </row>
    <row r="123" s="11" customFormat="true" ht="13.5" hidden="false" customHeight="true" outlineLevel="0" collapsed="false">
      <c r="A123" s="9" t="str">
        <f aca="false">input!A120</f>
        <v>B. TOTALE FONDI RISCHI</v>
      </c>
      <c r="B123" s="10" t="n">
        <f aca="false">$M123*input!B120</f>
        <v>96515</v>
      </c>
      <c r="C123" s="10" t="n">
        <f aca="false">$M123*input!C120</f>
        <v>88604</v>
      </c>
      <c r="D123" s="10" t="n">
        <f aca="false">$M123*input!D120</f>
        <v>88510</v>
      </c>
      <c r="E123" s="10" t="n">
        <f aca="false">$M123*input!E120</f>
        <v>74753</v>
      </c>
      <c r="F123" s="10" t="n">
        <f aca="false">$M123*input!F120</f>
        <v>76972</v>
      </c>
      <c r="G123" s="10" t="n">
        <f aca="false">$M123*input!G120</f>
        <v>58170</v>
      </c>
      <c r="H123" s="10" t="n">
        <f aca="false">$M123*input!H120</f>
        <v>48369</v>
      </c>
      <c r="I123" s="10" t="n">
        <f aca="false">$M123*input!I120</f>
        <v>34968</v>
      </c>
      <c r="J123" s="10" t="n">
        <f aca="false">$M123*input!J120</f>
        <v>26229</v>
      </c>
      <c r="K123" s="10" t="n">
        <f aca="false">$M123*input!K120</f>
        <v>17953</v>
      </c>
      <c r="M123" s="11" t="n">
        <v>1</v>
      </c>
    </row>
    <row r="124" customFormat="false" ht="12.75" hidden="false" customHeight="false" outlineLevel="0" collapsed="false">
      <c r="A124" s="13" t="str">
        <f aca="false">input!A121</f>
        <v>B.1. Fondo di Quiescenza</v>
      </c>
      <c r="B124" s="2" t="n">
        <f aca="false">$M124*input!B121</f>
        <v>88515</v>
      </c>
      <c r="C124" s="2" t="n">
        <f aca="false">$M124*input!C121</f>
        <v>80604</v>
      </c>
      <c r="D124" s="2" t="n">
        <f aca="false">$M124*input!D121</f>
        <v>68987</v>
      </c>
      <c r="E124" s="2" t="n">
        <f aca="false">$M124*input!E121</f>
        <v>62093</v>
      </c>
      <c r="F124" s="2" t="n">
        <f aca="false">$M124*input!F121</f>
        <v>64312</v>
      </c>
      <c r="G124" s="2" t="n">
        <f aca="false">$M124*input!G121</f>
        <v>58170</v>
      </c>
      <c r="H124" s="2" t="n">
        <f aca="false">$M124*input!H121</f>
        <v>48369</v>
      </c>
      <c r="I124" s="2" t="n">
        <f aca="false">$M124*input!I121</f>
        <v>34968</v>
      </c>
      <c r="J124" s="2" t="n">
        <f aca="false">$M124*input!J121</f>
        <v>26229</v>
      </c>
      <c r="K124" s="2" t="n">
        <f aca="false">$M124*input!K121</f>
        <v>0</v>
      </c>
      <c r="M124" s="3" t="n">
        <v>1</v>
      </c>
      <c r="N124" s="3" t="s">
        <v>266</v>
      </c>
    </row>
    <row r="125" customFormat="false" ht="12.75" hidden="false" customHeight="false" outlineLevel="0" collapsed="false">
      <c r="A125" s="13" t="str">
        <f aca="false">input!A122</f>
        <v>B.2. Fondo Imposte anche differite</v>
      </c>
      <c r="B125" s="2" t="n">
        <f aca="false">$M125*input!B122</f>
        <v>0</v>
      </c>
      <c r="C125" s="2" t="n">
        <f aca="false">$M125*input!C122</f>
        <v>0</v>
      </c>
      <c r="D125" s="2" t="n">
        <f aca="false">$M125*input!D122</f>
        <v>0</v>
      </c>
      <c r="E125" s="2" t="n">
        <f aca="false">$M125*input!E122</f>
        <v>0</v>
      </c>
      <c r="F125" s="2" t="n">
        <f aca="false">$M125*input!F122</f>
        <v>0</v>
      </c>
      <c r="G125" s="2" t="n">
        <f aca="false">$M125*input!G122</f>
        <v>0</v>
      </c>
      <c r="H125" s="2" t="n">
        <f aca="false">$M125*input!H122</f>
        <v>0</v>
      </c>
      <c r="I125" s="2" t="n">
        <f aca="false">$M125*input!I122</f>
        <v>0</v>
      </c>
      <c r="J125" s="2" t="n">
        <f aca="false">$M125*input!J122</f>
        <v>0</v>
      </c>
      <c r="K125" s="2" t="n">
        <f aca="false">$M125*input!K122</f>
        <v>0</v>
      </c>
      <c r="M125" s="3" t="n">
        <v>1</v>
      </c>
      <c r="N125" s="3" t="s">
        <v>267</v>
      </c>
    </row>
    <row r="126" customFormat="false" ht="12.75" hidden="false" customHeight="false" outlineLevel="0" collapsed="false">
      <c r="A126" s="13" t="str">
        <f aca="false">input!A123</f>
        <v>B.3. Strumenti finanziari derivati passivi</v>
      </c>
      <c r="B126" s="2" t="n">
        <f aca="false">$M126*input!B123</f>
        <v>0</v>
      </c>
      <c r="C126" s="2" t="n">
        <f aca="false">$M126*input!C123</f>
        <v>0</v>
      </c>
      <c r="D126" s="2" t="n">
        <f aca="false">$M126*input!D123</f>
        <v>0</v>
      </c>
      <c r="E126" s="2" t="n">
        <f aca="false">$M126*input!E123</f>
        <v>0</v>
      </c>
      <c r="F126" s="2" t="n">
        <f aca="false">$M126*input!F123</f>
        <v>0</v>
      </c>
      <c r="G126" s="2" t="n">
        <f aca="false">$M126*input!G123</f>
        <v>0</v>
      </c>
      <c r="H126" s="2" t="n">
        <f aca="false">$M126*input!H123</f>
        <v>0</v>
      </c>
      <c r="I126" s="2" t="n">
        <f aca="false">$M126*input!I123</f>
        <v>0</v>
      </c>
      <c r="J126" s="2" t="n">
        <f aca="false">$M126*input!J123</f>
        <v>0</v>
      </c>
      <c r="K126" s="2" t="n">
        <f aca="false">$M126*input!K123</f>
        <v>0</v>
      </c>
      <c r="M126" s="3" t="n">
        <v>1</v>
      </c>
      <c r="N126" s="3" t="s">
        <v>268</v>
      </c>
    </row>
    <row r="127" customFormat="false" ht="12.75" hidden="false" customHeight="false" outlineLevel="0" collapsed="false">
      <c r="A127" s="13" t="str">
        <f aca="false">input!A124</f>
        <v>B.4. Altri Fondi</v>
      </c>
      <c r="B127" s="2" t="n">
        <f aca="false">$M127*input!B124</f>
        <v>8000</v>
      </c>
      <c r="C127" s="2" t="n">
        <f aca="false">$M127*input!C124</f>
        <v>8000</v>
      </c>
      <c r="D127" s="2" t="n">
        <f aca="false">$M127*input!D124</f>
        <v>19523</v>
      </c>
      <c r="E127" s="2" t="n">
        <f aca="false">$M127*input!E124</f>
        <v>12660</v>
      </c>
      <c r="F127" s="2" t="n">
        <f aca="false">$M127*input!F124</f>
        <v>12660</v>
      </c>
      <c r="G127" s="2" t="n">
        <f aca="false">$M127*input!G124</f>
        <v>0</v>
      </c>
      <c r="H127" s="2" t="n">
        <f aca="false">$M127*input!H124</f>
        <v>0</v>
      </c>
      <c r="I127" s="2" t="n">
        <f aca="false">$M127*input!I124</f>
        <v>0</v>
      </c>
      <c r="J127" s="2" t="n">
        <f aca="false">$M127*input!J124</f>
        <v>0</v>
      </c>
      <c r="K127" s="2" t="n">
        <f aca="false">$M127*input!K124</f>
        <v>0</v>
      </c>
      <c r="M127" s="3" t="n">
        <v>1</v>
      </c>
      <c r="N127" s="3" t="s">
        <v>266</v>
      </c>
    </row>
    <row r="128" customFormat="false" ht="12.75" hidden="false" customHeight="false" outlineLevel="0" collapsed="false">
      <c r="A128" s="14" t="str">
        <f aca="false">input!A125</f>
        <v>di cui : fondo di consolidamento</v>
      </c>
      <c r="B128" s="2" t="n">
        <f aca="false">$M128*input!B125</f>
        <v>0</v>
      </c>
      <c r="C128" s="2" t="n">
        <f aca="false">$M128*input!C125</f>
        <v>0</v>
      </c>
      <c r="D128" s="2" t="n">
        <f aca="false">$M128*input!D125</f>
        <v>0</v>
      </c>
      <c r="E128" s="2" t="n">
        <f aca="false">$M128*input!E125</f>
        <v>0</v>
      </c>
      <c r="F128" s="2" t="n">
        <f aca="false">$M128*input!F125</f>
        <v>0</v>
      </c>
      <c r="G128" s="2" t="n">
        <f aca="false">$M128*input!G125</f>
        <v>0</v>
      </c>
      <c r="H128" s="2" t="n">
        <f aca="false">$M128*input!H125</f>
        <v>0</v>
      </c>
      <c r="I128" s="2" t="n">
        <f aca="false">$M128*input!I125</f>
        <v>0</v>
      </c>
      <c r="J128" s="2" t="n">
        <f aca="false">$M128*input!J125</f>
        <v>0</v>
      </c>
      <c r="K128" s="2" t="n">
        <f aca="false">$M128*input!K125</f>
        <v>0</v>
      </c>
      <c r="M128" s="3" t="n">
        <v>1</v>
      </c>
    </row>
    <row r="129" s="11" customFormat="true" ht="13.5" hidden="false" customHeight="true" outlineLevel="0" collapsed="false">
      <c r="A129" s="9" t="str">
        <f aca="false">input!A126</f>
        <v>C. TRATTAMENTO DI FINE RAPPORTO</v>
      </c>
      <c r="B129" s="10" t="n">
        <f aca="false">$M129*input!B126</f>
        <v>330532</v>
      </c>
      <c r="C129" s="10" t="n">
        <f aca="false">$M129*input!C126</f>
        <v>270891</v>
      </c>
      <c r="D129" s="10" t="n">
        <f aca="false">$M129*input!D126</f>
        <v>256615</v>
      </c>
      <c r="E129" s="10" t="n">
        <f aca="false">$M129*input!E126</f>
        <v>336895</v>
      </c>
      <c r="F129" s="10" t="n">
        <f aca="false">$M129*input!F126</f>
        <v>350704</v>
      </c>
      <c r="G129" s="10" t="n">
        <f aca="false">$M129*input!G126</f>
        <v>369610</v>
      </c>
      <c r="H129" s="10" t="n">
        <f aca="false">$M129*input!H126</f>
        <v>284922</v>
      </c>
      <c r="I129" s="10" t="n">
        <f aca="false">$M129*input!I126</f>
        <v>241894</v>
      </c>
      <c r="J129" s="10" t="n">
        <f aca="false">$M129*input!J126</f>
        <v>238425</v>
      </c>
      <c r="K129" s="10" t="n">
        <f aca="false">$M129*input!K126</f>
        <v>220527</v>
      </c>
      <c r="M129" s="11" t="n">
        <v>1</v>
      </c>
      <c r="N129" s="11" t="s">
        <v>269</v>
      </c>
    </row>
    <row r="130" customFormat="false" ht="12.75" hidden="false" customHeight="false" outlineLevel="0" collapsed="false">
      <c r="A130" s="1" t="str">
        <f aca="false">input!A127</f>
        <v>Debiti</v>
      </c>
      <c r="B130" s="2" t="n">
        <f aca="false">$M130*input!B127</f>
        <v>0</v>
      </c>
      <c r="C130" s="2" t="n">
        <f aca="false">$M130*input!C127</f>
        <v>0</v>
      </c>
      <c r="D130" s="2" t="n">
        <f aca="false">$M130*input!D127</f>
        <v>0</v>
      </c>
      <c r="E130" s="2" t="n">
        <f aca="false">$M130*input!E127</f>
        <v>0</v>
      </c>
      <c r="F130" s="2" t="n">
        <f aca="false">$M130*input!F127</f>
        <v>0</v>
      </c>
      <c r="G130" s="2" t="n">
        <f aca="false">$M130*input!G127</f>
        <v>0</v>
      </c>
      <c r="H130" s="2" t="n">
        <f aca="false">$M130*input!H127</f>
        <v>0</v>
      </c>
      <c r="I130" s="2" t="n">
        <f aca="false">$M130*input!I127</f>
        <v>0</v>
      </c>
      <c r="J130" s="2" t="n">
        <f aca="false">$M130*input!J127</f>
        <v>0</v>
      </c>
      <c r="K130" s="2" t="n">
        <f aca="false">$M130*input!K127</f>
        <v>0</v>
      </c>
      <c r="M130" s="3" t="n">
        <v>1</v>
      </c>
    </row>
    <row r="131" s="11" customFormat="true" ht="13.5" hidden="false" customHeight="true" outlineLevel="0" collapsed="false">
      <c r="A131" s="9" t="str">
        <f aca="false">input!A128</f>
        <v>D. TOTALE DEBITI</v>
      </c>
      <c r="B131" s="10" t="n">
        <f aca="false">$M131*input!B128</f>
        <v>37575588</v>
      </c>
      <c r="C131" s="10" t="n">
        <f aca="false">$M131*input!C128</f>
        <v>41691234</v>
      </c>
      <c r="D131" s="10" t="n">
        <f aca="false">$M131*input!D128</f>
        <v>40958447</v>
      </c>
      <c r="E131" s="10" t="n">
        <f aca="false">$M131*input!E128</f>
        <v>39219218</v>
      </c>
      <c r="F131" s="10" t="n">
        <f aca="false">$M131*input!F128</f>
        <v>21256625</v>
      </c>
      <c r="G131" s="10" t="n">
        <f aca="false">$M131*input!G128</f>
        <v>29734375</v>
      </c>
      <c r="H131" s="10" t="n">
        <f aca="false">$M131*input!H128</f>
        <v>24751670</v>
      </c>
      <c r="I131" s="10" t="n">
        <f aca="false">$M131*input!I128</f>
        <v>18921601</v>
      </c>
      <c r="J131" s="10" t="n">
        <f aca="false">$M131*input!J128</f>
        <v>9185674</v>
      </c>
      <c r="K131" s="10" t="n">
        <f aca="false">$M131*input!K128</f>
        <v>5816908</v>
      </c>
      <c r="M131" s="11" t="n">
        <v>1</v>
      </c>
    </row>
    <row r="132" customFormat="false" ht="12.75" hidden="false" customHeight="false" outlineLevel="0" collapsed="false">
      <c r="A132" s="13" t="str">
        <f aca="false">input!A129</f>
        <v>D.1. Obblig.ni entro</v>
      </c>
      <c r="B132" s="2" t="n">
        <f aca="false">$M132*input!B129</f>
        <v>0</v>
      </c>
      <c r="C132" s="2" t="n">
        <f aca="false">$M132*input!C129</f>
        <v>0</v>
      </c>
      <c r="D132" s="2" t="n">
        <f aca="false">$M132*input!D129</f>
        <v>0</v>
      </c>
      <c r="E132" s="2" t="n">
        <f aca="false">$M132*input!E129</f>
        <v>0</v>
      </c>
      <c r="F132" s="2" t="n">
        <f aca="false">$M132*input!F129</f>
        <v>0</v>
      </c>
      <c r="G132" s="2" t="n">
        <f aca="false">$M132*input!G129</f>
        <v>0</v>
      </c>
      <c r="H132" s="2" t="n">
        <f aca="false">$M132*input!H129</f>
        <v>0</v>
      </c>
      <c r="I132" s="2" t="n">
        <f aca="false">$M132*input!I129</f>
        <v>0</v>
      </c>
      <c r="J132" s="2" t="n">
        <f aca="false">$M132*input!J129</f>
        <v>0</v>
      </c>
      <c r="K132" s="2" t="n">
        <f aca="false">$M132*input!K129</f>
        <v>0</v>
      </c>
      <c r="M132" s="3" t="n">
        <v>1</v>
      </c>
      <c r="N132" s="3" t="s">
        <v>270</v>
      </c>
    </row>
    <row r="133" customFormat="false" ht="12.75" hidden="false" customHeight="false" outlineLevel="0" collapsed="false">
      <c r="A133" s="13" t="str">
        <f aca="false">input!A130</f>
        <v>D.1. Obblig.ni oltre</v>
      </c>
      <c r="B133" s="2" t="n">
        <f aca="false">$M133*input!B130</f>
        <v>0</v>
      </c>
      <c r="C133" s="2" t="n">
        <f aca="false">$M133*input!C130</f>
        <v>0</v>
      </c>
      <c r="D133" s="2" t="n">
        <f aca="false">$M133*input!D130</f>
        <v>0</v>
      </c>
      <c r="E133" s="2" t="n">
        <f aca="false">$M133*input!E130</f>
        <v>0</v>
      </c>
      <c r="F133" s="2" t="n">
        <f aca="false">$M133*input!F130</f>
        <v>0</v>
      </c>
      <c r="G133" s="2" t="n">
        <f aca="false">$M133*input!G130</f>
        <v>0</v>
      </c>
      <c r="H133" s="2" t="n">
        <f aca="false">$M133*input!H130</f>
        <v>0</v>
      </c>
      <c r="I133" s="2" t="n">
        <f aca="false">$M133*input!I130</f>
        <v>0</v>
      </c>
      <c r="J133" s="2" t="n">
        <f aca="false">$M133*input!J130</f>
        <v>0</v>
      </c>
      <c r="K133" s="2" t="n">
        <f aca="false">$M133*input!K130</f>
        <v>0</v>
      </c>
      <c r="M133" s="3" t="n">
        <v>1</v>
      </c>
      <c r="N133" s="3" t="s">
        <v>270</v>
      </c>
    </row>
    <row r="134" customFormat="false" ht="12.75" hidden="false" customHeight="false" outlineLevel="0" collapsed="false">
      <c r="A134" s="13" t="str">
        <f aca="false">input!A131</f>
        <v>D.2. Obblig.ni convert. entro</v>
      </c>
      <c r="B134" s="2" t="n">
        <f aca="false">$M134*input!B131</f>
        <v>0</v>
      </c>
      <c r="C134" s="2" t="n">
        <f aca="false">$M134*input!C131</f>
        <v>0</v>
      </c>
      <c r="D134" s="2" t="n">
        <f aca="false">$M134*input!D131</f>
        <v>0</v>
      </c>
      <c r="E134" s="2" t="n">
        <f aca="false">$M134*input!E131</f>
        <v>0</v>
      </c>
      <c r="F134" s="2" t="n">
        <f aca="false">$M134*input!F131</f>
        <v>0</v>
      </c>
      <c r="G134" s="2" t="n">
        <f aca="false">$M134*input!G131</f>
        <v>0</v>
      </c>
      <c r="H134" s="2" t="n">
        <f aca="false">$M134*input!H131</f>
        <v>0</v>
      </c>
      <c r="I134" s="2" t="n">
        <f aca="false">$M134*input!I131</f>
        <v>0</v>
      </c>
      <c r="J134" s="2" t="n">
        <f aca="false">$M134*input!J131</f>
        <v>0</v>
      </c>
      <c r="K134" s="2" t="n">
        <f aca="false">$M134*input!K131</f>
        <v>0</v>
      </c>
      <c r="M134" s="3" t="n">
        <v>1</v>
      </c>
      <c r="N134" s="3" t="s">
        <v>270</v>
      </c>
    </row>
    <row r="135" customFormat="false" ht="12.75" hidden="false" customHeight="false" outlineLevel="0" collapsed="false">
      <c r="A135" s="13" t="str">
        <f aca="false">input!A132</f>
        <v>D.2. Obblig.ni convert. oltre.</v>
      </c>
      <c r="B135" s="2" t="n">
        <f aca="false">$M135*input!B132</f>
        <v>0</v>
      </c>
      <c r="C135" s="2" t="n">
        <f aca="false">$M135*input!C132</f>
        <v>0</v>
      </c>
      <c r="D135" s="2" t="n">
        <f aca="false">$M135*input!D132</f>
        <v>0</v>
      </c>
      <c r="E135" s="2" t="n">
        <f aca="false">$M135*input!E132</f>
        <v>0</v>
      </c>
      <c r="F135" s="2" t="n">
        <f aca="false">$M135*input!F132</f>
        <v>0</v>
      </c>
      <c r="G135" s="2" t="n">
        <f aca="false">$M135*input!G132</f>
        <v>0</v>
      </c>
      <c r="H135" s="2" t="n">
        <f aca="false">$M135*input!H132</f>
        <v>0</v>
      </c>
      <c r="I135" s="2" t="n">
        <f aca="false">$M135*input!I132</f>
        <v>0</v>
      </c>
      <c r="J135" s="2" t="n">
        <f aca="false">$M135*input!J132</f>
        <v>0</v>
      </c>
      <c r="K135" s="2" t="n">
        <f aca="false">$M135*input!K132</f>
        <v>0</v>
      </c>
      <c r="M135" s="3" t="n">
        <v>1</v>
      </c>
      <c r="N135" s="3" t="s">
        <v>270</v>
      </c>
    </row>
    <row r="136" customFormat="false" ht="12.75" hidden="false" customHeight="false" outlineLevel="0" collapsed="false">
      <c r="A136" s="13" t="str">
        <f aca="false">input!A133</f>
        <v>D.3. Soci per Finanziamenti entro</v>
      </c>
      <c r="B136" s="2" t="n">
        <f aca="false">$M136*input!B133</f>
        <v>2225488</v>
      </c>
      <c r="C136" s="2" t="n">
        <f aca="false">$M136*input!C133</f>
        <v>2022988</v>
      </c>
      <c r="D136" s="2" t="n">
        <f aca="false">$M136*input!D133</f>
        <v>2022988</v>
      </c>
      <c r="E136" s="2" t="n">
        <f aca="false">$M136*input!E133</f>
        <v>1965488</v>
      </c>
      <c r="F136" s="2" t="n">
        <f aca="false">$M136*input!F133</f>
        <v>1965488</v>
      </c>
      <c r="G136" s="2" t="n">
        <f aca="false">$M136*input!G133</f>
        <v>1878288</v>
      </c>
      <c r="H136" s="2" t="n">
        <f aca="false">$M136*input!H133</f>
        <v>1921288</v>
      </c>
      <c r="I136" s="2" t="n">
        <f aca="false">$M136*input!I133</f>
        <v>1917288</v>
      </c>
      <c r="J136" s="2" t="n">
        <f aca="false">$M136*input!J133</f>
        <v>1954576</v>
      </c>
      <c r="K136" s="2" t="n">
        <f aca="false">$M136*input!K133</f>
        <v>45000</v>
      </c>
      <c r="M136" s="3" t="n">
        <v>1</v>
      </c>
      <c r="N136" s="3" t="s">
        <v>245</v>
      </c>
    </row>
    <row r="137" customFormat="false" ht="12.75" hidden="false" customHeight="false" outlineLevel="0" collapsed="false">
      <c r="A137" s="13" t="str">
        <f aca="false">input!A134</f>
        <v>D.3. Soci per Finanziamenti oltre</v>
      </c>
      <c r="B137" s="2" t="n">
        <f aca="false">$M137*input!B134</f>
        <v>350000</v>
      </c>
      <c r="C137" s="2" t="n">
        <f aca="false">$M137*input!C134</f>
        <v>350000</v>
      </c>
      <c r="D137" s="2" t="n">
        <f aca="false">$M137*input!D134</f>
        <v>350000</v>
      </c>
      <c r="E137" s="2" t="n">
        <f aca="false">$M137*input!E134</f>
        <v>350000</v>
      </c>
      <c r="F137" s="2" t="n">
        <f aca="false">$M137*input!F134</f>
        <v>0</v>
      </c>
      <c r="G137" s="2" t="n">
        <f aca="false">$M137*input!G134</f>
        <v>0</v>
      </c>
      <c r="H137" s="2" t="n">
        <f aca="false">$M137*input!H134</f>
        <v>0</v>
      </c>
      <c r="I137" s="2" t="n">
        <f aca="false">$M137*input!I134</f>
        <v>0</v>
      </c>
      <c r="J137" s="2" t="n">
        <f aca="false">$M137*input!J134</f>
        <v>0</v>
      </c>
      <c r="K137" s="2" t="n">
        <f aca="false">$M137*input!K134</f>
        <v>0</v>
      </c>
      <c r="M137" s="3" t="n">
        <v>1</v>
      </c>
      <c r="N137" s="3" t="s">
        <v>245</v>
      </c>
    </row>
    <row r="138" customFormat="false" ht="12.75" hidden="false" customHeight="false" outlineLevel="0" collapsed="false">
      <c r="A138" s="13" t="str">
        <f aca="false">input!A135</f>
        <v>D.4. Banche entro l'esercizio</v>
      </c>
      <c r="B138" s="2" t="n">
        <f aca="false">$M138*input!B135</f>
        <v>6187139</v>
      </c>
      <c r="C138" s="2" t="n">
        <f aca="false">$M138*input!C135</f>
        <v>6108014</v>
      </c>
      <c r="D138" s="2" t="n">
        <f aca="false">$M138*input!D135</f>
        <v>5845352</v>
      </c>
      <c r="E138" s="2" t="n">
        <f aca="false">$M138*input!E135</f>
        <v>4093001</v>
      </c>
      <c r="F138" s="2" t="n">
        <f aca="false">$M138*input!F135</f>
        <v>6647766</v>
      </c>
      <c r="G138" s="2" t="n">
        <f aca="false">$M138*input!G135</f>
        <v>11773957</v>
      </c>
      <c r="H138" s="2" t="n">
        <f aca="false">$M138*input!H135</f>
        <v>8066572</v>
      </c>
      <c r="I138" s="2" t="n">
        <f aca="false">$M138*input!I135</f>
        <v>6507223</v>
      </c>
      <c r="J138" s="2" t="n">
        <f aca="false">$M138*input!J135</f>
        <v>4333680</v>
      </c>
      <c r="K138" s="2" t="n">
        <f aca="false">$M138*input!K135</f>
        <v>2924238</v>
      </c>
      <c r="M138" s="3" t="n">
        <v>1</v>
      </c>
      <c r="N138" s="3" t="s">
        <v>271</v>
      </c>
    </row>
    <row r="139" customFormat="false" ht="12.75" hidden="false" customHeight="false" outlineLevel="0" collapsed="false">
      <c r="A139" s="13" t="str">
        <f aca="false">input!A136</f>
        <v>D.4. Banche oltre l'esercizio</v>
      </c>
      <c r="B139" s="2" t="n">
        <f aca="false">$M139*input!B136</f>
        <v>20552923</v>
      </c>
      <c r="C139" s="2" t="n">
        <f aca="false">$M139*input!C136</f>
        <v>21592071</v>
      </c>
      <c r="D139" s="2" t="n">
        <f aca="false">$M139*input!D136</f>
        <v>21961303</v>
      </c>
      <c r="E139" s="2" t="n">
        <f aca="false">$M139*input!E136</f>
        <v>18077687</v>
      </c>
      <c r="F139" s="2" t="n">
        <f aca="false">$M139*input!F136</f>
        <v>3273458</v>
      </c>
      <c r="G139" s="2" t="n">
        <f aca="false">$M139*input!G136</f>
        <v>11654549</v>
      </c>
      <c r="H139" s="2" t="n">
        <f aca="false">$M139*input!H136</f>
        <v>10780240</v>
      </c>
      <c r="I139" s="2" t="n">
        <f aca="false">$M139*input!I136</f>
        <v>6301355</v>
      </c>
      <c r="J139" s="2" t="n">
        <f aca="false">$M139*input!J136</f>
        <v>1007448</v>
      </c>
      <c r="K139" s="2" t="n">
        <f aca="false">$M139*input!K136</f>
        <v>671866</v>
      </c>
      <c r="M139" s="3" t="n">
        <v>1</v>
      </c>
      <c r="N139" s="3" t="s">
        <v>270</v>
      </c>
    </row>
    <row r="140" customFormat="false" ht="12.75" hidden="false" customHeight="false" outlineLevel="0" collapsed="false">
      <c r="A140" s="13" t="str">
        <f aca="false">input!A137</f>
        <v>D.5. Altri finanziatori entro</v>
      </c>
      <c r="B140" s="2" t="n">
        <f aca="false">$M140*input!B137</f>
        <v>0</v>
      </c>
      <c r="C140" s="2" t="n">
        <f aca="false">$M140*input!C137</f>
        <v>0</v>
      </c>
      <c r="D140" s="2" t="n">
        <f aca="false">$M140*input!D137</f>
        <v>0</v>
      </c>
      <c r="E140" s="2" t="n">
        <f aca="false">$M140*input!E137</f>
        <v>0</v>
      </c>
      <c r="F140" s="2" t="n">
        <f aca="false">$M140*input!F137</f>
        <v>104286</v>
      </c>
      <c r="G140" s="2" t="n">
        <f aca="false">$M140*input!G137</f>
        <v>280832</v>
      </c>
      <c r="H140" s="2" t="n">
        <f aca="false">$M140*input!H137</f>
        <v>370067</v>
      </c>
      <c r="I140" s="2" t="n">
        <f aca="false">$M140*input!I137</f>
        <v>0</v>
      </c>
      <c r="J140" s="2" t="n">
        <f aca="false">$M140*input!J137</f>
        <v>0</v>
      </c>
      <c r="K140" s="2" t="n">
        <f aca="false">$M140*input!K137</f>
        <v>0</v>
      </c>
      <c r="M140" s="3" t="n">
        <v>1</v>
      </c>
      <c r="N140" s="3" t="s">
        <v>271</v>
      </c>
    </row>
    <row r="141" customFormat="false" ht="12.75" hidden="false" customHeight="false" outlineLevel="0" collapsed="false">
      <c r="A141" s="13" t="str">
        <f aca="false">input!A138</f>
        <v>D.5. Altri finanziatori oltre</v>
      </c>
      <c r="B141" s="2" t="n">
        <f aca="false">$M141*input!B138</f>
        <v>0</v>
      </c>
      <c r="C141" s="2" t="n">
        <f aca="false">$M141*input!C138</f>
        <v>0</v>
      </c>
      <c r="D141" s="2" t="n">
        <f aca="false">$M141*input!D138</f>
        <v>0</v>
      </c>
      <c r="E141" s="2" t="n">
        <f aca="false">$M141*input!E138</f>
        <v>0</v>
      </c>
      <c r="F141" s="2" t="n">
        <f aca="false">$M141*input!F138</f>
        <v>0</v>
      </c>
      <c r="G141" s="2" t="n">
        <f aca="false">$M141*input!G138</f>
        <v>0</v>
      </c>
      <c r="H141" s="2" t="n">
        <f aca="false">$M141*input!H138</f>
        <v>0</v>
      </c>
      <c r="I141" s="2" t="n">
        <f aca="false">$M141*input!I138</f>
        <v>0</v>
      </c>
      <c r="J141" s="2" t="n">
        <f aca="false">$M141*input!J138</f>
        <v>0</v>
      </c>
      <c r="K141" s="2" t="n">
        <f aca="false">$M141*input!K138</f>
        <v>0</v>
      </c>
      <c r="M141" s="3" t="n">
        <v>1</v>
      </c>
      <c r="N141" s="3" t="s">
        <v>270</v>
      </c>
    </row>
    <row r="142" customFormat="false" ht="12.75" hidden="false" customHeight="false" outlineLevel="0" collapsed="false">
      <c r="A142" s="13" t="str">
        <f aca="false">input!A139</f>
        <v>D.6. Acconti entro</v>
      </c>
      <c r="B142" s="2" t="n">
        <f aca="false">$M142*input!B139</f>
        <v>0</v>
      </c>
      <c r="C142" s="2" t="n">
        <f aca="false">$M142*input!C139</f>
        <v>0</v>
      </c>
      <c r="D142" s="2" t="n">
        <f aca="false">$M142*input!D139</f>
        <v>3000</v>
      </c>
      <c r="E142" s="2" t="n">
        <f aca="false">$M142*input!E139</f>
        <v>0</v>
      </c>
      <c r="F142" s="2" t="n">
        <f aca="false">$M142*input!F139</f>
        <v>0</v>
      </c>
      <c r="G142" s="2" t="n">
        <f aca="false">$M142*input!G139</f>
        <v>0</v>
      </c>
      <c r="H142" s="2" t="n">
        <f aca="false">$M142*input!H139</f>
        <v>0</v>
      </c>
      <c r="I142" s="2" t="n">
        <f aca="false">$M142*input!I139</f>
        <v>0</v>
      </c>
      <c r="J142" s="2" t="n">
        <f aca="false">$M142*input!J139</f>
        <v>0</v>
      </c>
      <c r="K142" s="2" t="n">
        <f aca="false">$M142*input!K139</f>
        <v>0</v>
      </c>
      <c r="M142" s="3" t="n">
        <v>1</v>
      </c>
      <c r="N142" s="3" t="s">
        <v>272</v>
      </c>
    </row>
    <row r="143" customFormat="false" ht="12.75" hidden="false" customHeight="false" outlineLevel="0" collapsed="false">
      <c r="A143" s="13" t="str">
        <f aca="false">input!A140</f>
        <v>D.6. Acconti oltre</v>
      </c>
      <c r="B143" s="2" t="n">
        <f aca="false">$M143*input!B140</f>
        <v>0</v>
      </c>
      <c r="C143" s="2" t="n">
        <f aca="false">$M143*input!C140</f>
        <v>0</v>
      </c>
      <c r="D143" s="2" t="n">
        <f aca="false">$M143*input!D140</f>
        <v>0</v>
      </c>
      <c r="E143" s="2" t="n">
        <f aca="false">$M143*input!E140</f>
        <v>0</v>
      </c>
      <c r="F143" s="2" t="n">
        <f aca="false">$M143*input!F140</f>
        <v>0</v>
      </c>
      <c r="G143" s="2" t="n">
        <f aca="false">$M143*input!G140</f>
        <v>0</v>
      </c>
      <c r="H143" s="2" t="n">
        <f aca="false">$M143*input!H140</f>
        <v>0</v>
      </c>
      <c r="I143" s="2" t="n">
        <f aca="false">$M143*input!I140</f>
        <v>0</v>
      </c>
      <c r="J143" s="2" t="n">
        <f aca="false">$M143*input!J140</f>
        <v>0</v>
      </c>
      <c r="K143" s="2" t="n">
        <f aca="false">$M143*input!K140</f>
        <v>0</v>
      </c>
      <c r="M143" s="3" t="n">
        <v>1</v>
      </c>
      <c r="N143" s="3" t="s">
        <v>273</v>
      </c>
    </row>
    <row r="144" customFormat="false" ht="12.75" hidden="false" customHeight="false" outlineLevel="0" collapsed="false">
      <c r="A144" s="13" t="str">
        <f aca="false">input!A141</f>
        <v>D.7. Fornitori entro</v>
      </c>
      <c r="B144" s="2" t="n">
        <f aca="false">$M144*input!B141</f>
        <v>7743380</v>
      </c>
      <c r="C144" s="2" t="n">
        <f aca="false">$M144*input!C141</f>
        <v>10950974</v>
      </c>
      <c r="D144" s="2" t="n">
        <f aca="false">$M144*input!D141</f>
        <v>10425213</v>
      </c>
      <c r="E144" s="2" t="n">
        <f aca="false">$M144*input!E141</f>
        <v>12275557</v>
      </c>
      <c r="F144" s="2" t="n">
        <f aca="false">$M144*input!F141</f>
        <v>6553860</v>
      </c>
      <c r="G144" s="2" t="n">
        <f aca="false">$M144*input!G141</f>
        <v>3605154</v>
      </c>
      <c r="H144" s="2" t="n">
        <f aca="false">$M144*input!H141</f>
        <v>3163637</v>
      </c>
      <c r="I144" s="2" t="n">
        <f aca="false">$M144*input!I141</f>
        <v>3849711</v>
      </c>
      <c r="J144" s="2" t="n">
        <f aca="false">$M144*input!J141</f>
        <v>1639864</v>
      </c>
      <c r="K144" s="2" t="n">
        <f aca="false">$M144*input!K141</f>
        <v>1782237</v>
      </c>
      <c r="M144" s="3" t="n">
        <v>1</v>
      </c>
      <c r="N144" s="3" t="s">
        <v>274</v>
      </c>
    </row>
    <row r="145" customFormat="false" ht="12.75" hidden="false" customHeight="false" outlineLevel="0" collapsed="false">
      <c r="A145" s="13" t="str">
        <f aca="false">input!A142</f>
        <v>D.7. Fornitori oltre</v>
      </c>
      <c r="B145" s="2" t="n">
        <f aca="false">$M145*input!B142</f>
        <v>0</v>
      </c>
      <c r="C145" s="2" t="n">
        <f aca="false">$M145*input!C142</f>
        <v>0</v>
      </c>
      <c r="D145" s="2" t="n">
        <f aca="false">$M145*input!D142</f>
        <v>0</v>
      </c>
      <c r="E145" s="2" t="n">
        <f aca="false">$M145*input!E142</f>
        <v>0</v>
      </c>
      <c r="F145" s="2" t="n">
        <f aca="false">$M145*input!F142</f>
        <v>0</v>
      </c>
      <c r="G145" s="2" t="n">
        <f aca="false">$M145*input!G142</f>
        <v>0</v>
      </c>
      <c r="H145" s="2" t="n">
        <f aca="false">$M145*input!H142</f>
        <v>0</v>
      </c>
      <c r="I145" s="2" t="n">
        <f aca="false">$M145*input!I142</f>
        <v>0</v>
      </c>
      <c r="J145" s="2" t="n">
        <f aca="false">$M145*input!J142</f>
        <v>0</v>
      </c>
      <c r="K145" s="2" t="n">
        <f aca="false">$M145*input!K142</f>
        <v>0</v>
      </c>
      <c r="M145" s="3" t="n">
        <v>1</v>
      </c>
      <c r="N145" s="3" t="s">
        <v>274</v>
      </c>
    </row>
    <row r="146" customFormat="false" ht="12.75" hidden="false" customHeight="false" outlineLevel="0" collapsed="false">
      <c r="A146" s="13" t="str">
        <f aca="false">input!A143</f>
        <v>D.8. Titoli di credito entro</v>
      </c>
      <c r="B146" s="2" t="n">
        <f aca="false">$M146*input!B143</f>
        <v>0</v>
      </c>
      <c r="C146" s="2" t="n">
        <f aca="false">$M146*input!C143</f>
        <v>0</v>
      </c>
      <c r="D146" s="2" t="n">
        <f aca="false">$M146*input!D143</f>
        <v>0</v>
      </c>
      <c r="E146" s="2" t="n">
        <f aca="false">$M146*input!E143</f>
        <v>0</v>
      </c>
      <c r="F146" s="2" t="n">
        <f aca="false">$M146*input!F143</f>
        <v>0</v>
      </c>
      <c r="G146" s="2" t="n">
        <f aca="false">$M146*input!G143</f>
        <v>0</v>
      </c>
      <c r="H146" s="2" t="n">
        <f aca="false">$M146*input!H143</f>
        <v>0</v>
      </c>
      <c r="I146" s="2" t="n">
        <f aca="false">$M146*input!I143</f>
        <v>0</v>
      </c>
      <c r="J146" s="2" t="n">
        <f aca="false">$M146*input!J143</f>
        <v>0</v>
      </c>
      <c r="K146" s="2" t="n">
        <f aca="false">$M146*input!K143</f>
        <v>0</v>
      </c>
      <c r="M146" s="3" t="n">
        <v>1</v>
      </c>
      <c r="N146" s="3" t="s">
        <v>271</v>
      </c>
    </row>
    <row r="147" customFormat="false" ht="12.75" hidden="false" customHeight="false" outlineLevel="0" collapsed="false">
      <c r="A147" s="13" t="str">
        <f aca="false">input!A144</f>
        <v>D.8. Titoli di credito oltre</v>
      </c>
      <c r="B147" s="2" t="n">
        <f aca="false">$M147*input!B144</f>
        <v>0</v>
      </c>
      <c r="C147" s="2" t="n">
        <f aca="false">$M147*input!C144</f>
        <v>0</v>
      </c>
      <c r="D147" s="2" t="n">
        <f aca="false">$M147*input!D144</f>
        <v>0</v>
      </c>
      <c r="E147" s="2" t="n">
        <f aca="false">$M147*input!E144</f>
        <v>0</v>
      </c>
      <c r="F147" s="2" t="n">
        <f aca="false">$M147*input!F144</f>
        <v>0</v>
      </c>
      <c r="G147" s="2" t="n">
        <f aca="false">$M147*input!G144</f>
        <v>0</v>
      </c>
      <c r="H147" s="2" t="n">
        <f aca="false">$M147*input!H144</f>
        <v>0</v>
      </c>
      <c r="I147" s="2" t="n">
        <f aca="false">$M147*input!I144</f>
        <v>0</v>
      </c>
      <c r="J147" s="2" t="n">
        <f aca="false">$M147*input!J144</f>
        <v>0</v>
      </c>
      <c r="K147" s="2" t="n">
        <f aca="false">$M147*input!K144</f>
        <v>0</v>
      </c>
      <c r="M147" s="3" t="n">
        <v>1</v>
      </c>
      <c r="N147" s="3" t="s">
        <v>270</v>
      </c>
    </row>
    <row r="148" customFormat="false" ht="12.75" hidden="false" customHeight="false" outlineLevel="0" collapsed="false">
      <c r="A148" s="13" t="str">
        <f aca="false">input!A145</f>
        <v>D.9. Imprese Controllate entro</v>
      </c>
      <c r="B148" s="2" t="n">
        <f aca="false">$M148*input!B145</f>
        <v>0</v>
      </c>
      <c r="C148" s="2" t="n">
        <f aca="false">$M148*input!C145</f>
        <v>0</v>
      </c>
      <c r="D148" s="2" t="n">
        <f aca="false">$M148*input!D145</f>
        <v>0</v>
      </c>
      <c r="E148" s="2" t="n">
        <f aca="false">$M148*input!E145</f>
        <v>0</v>
      </c>
      <c r="F148" s="2" t="n">
        <f aca="false">$M148*input!F145</f>
        <v>0</v>
      </c>
      <c r="G148" s="2" t="n">
        <f aca="false">$M148*input!G145</f>
        <v>0</v>
      </c>
      <c r="H148" s="2" t="n">
        <f aca="false">$M148*input!H145</f>
        <v>0</v>
      </c>
      <c r="I148" s="2" t="n">
        <f aca="false">$M148*input!I145</f>
        <v>0</v>
      </c>
      <c r="J148" s="2" t="n">
        <f aca="false">$M148*input!J145</f>
        <v>0</v>
      </c>
      <c r="K148" s="2" t="n">
        <f aca="false">$M148*input!K145</f>
        <v>0</v>
      </c>
      <c r="M148" s="3" t="n">
        <v>1</v>
      </c>
      <c r="N148" s="3" t="s">
        <v>275</v>
      </c>
    </row>
    <row r="149" customFormat="false" ht="12.75" hidden="false" customHeight="false" outlineLevel="0" collapsed="false">
      <c r="A149" s="13" t="str">
        <f aca="false">input!A146</f>
        <v>D.9. Imprese Controllate oltre</v>
      </c>
      <c r="B149" s="2" t="n">
        <f aca="false">$M149*input!B146</f>
        <v>0</v>
      </c>
      <c r="C149" s="2" t="n">
        <f aca="false">$M149*input!C146</f>
        <v>0</v>
      </c>
      <c r="D149" s="2" t="n">
        <f aca="false">$M149*input!D146</f>
        <v>0</v>
      </c>
      <c r="E149" s="2" t="n">
        <f aca="false">$M149*input!E146</f>
        <v>0</v>
      </c>
      <c r="F149" s="2" t="n">
        <f aca="false">$M149*input!F146</f>
        <v>0</v>
      </c>
      <c r="G149" s="2" t="n">
        <f aca="false">$M149*input!G146</f>
        <v>0</v>
      </c>
      <c r="H149" s="2" t="n">
        <f aca="false">$M149*input!H146</f>
        <v>0</v>
      </c>
      <c r="I149" s="2" t="n">
        <f aca="false">$M149*input!I146</f>
        <v>0</v>
      </c>
      <c r="J149" s="2" t="n">
        <f aca="false">$M149*input!J146</f>
        <v>0</v>
      </c>
      <c r="K149" s="2" t="n">
        <f aca="false">$M149*input!K146</f>
        <v>0</v>
      </c>
      <c r="M149" s="3" t="n">
        <v>1</v>
      </c>
      <c r="N149" s="3" t="s">
        <v>275</v>
      </c>
    </row>
    <row r="150" customFormat="false" ht="12.75" hidden="false" customHeight="false" outlineLevel="0" collapsed="false">
      <c r="A150" s="13" t="str">
        <f aca="false">input!A147</f>
        <v>D.10. Imprese Collegate entro</v>
      </c>
      <c r="B150" s="2" t="n">
        <f aca="false">$M150*input!B147</f>
        <v>0</v>
      </c>
      <c r="C150" s="2" t="n">
        <f aca="false">$M150*input!C147</f>
        <v>0</v>
      </c>
      <c r="D150" s="2" t="n">
        <f aca="false">$M150*input!D147</f>
        <v>0</v>
      </c>
      <c r="E150" s="2" t="n">
        <f aca="false">$M150*input!E147</f>
        <v>0</v>
      </c>
      <c r="F150" s="2" t="n">
        <f aca="false">$M150*input!F147</f>
        <v>0</v>
      </c>
      <c r="G150" s="2" t="n">
        <f aca="false">$M150*input!G147</f>
        <v>0</v>
      </c>
      <c r="H150" s="2" t="n">
        <f aca="false">$M150*input!H147</f>
        <v>0</v>
      </c>
      <c r="I150" s="2" t="n">
        <f aca="false">$M150*input!I147</f>
        <v>0</v>
      </c>
      <c r="J150" s="2" t="n">
        <f aca="false">$M150*input!J147</f>
        <v>0</v>
      </c>
      <c r="K150" s="2" t="n">
        <f aca="false">$M150*input!K147</f>
        <v>0</v>
      </c>
      <c r="M150" s="3" t="n">
        <v>1</v>
      </c>
      <c r="N150" s="3" t="s">
        <v>275</v>
      </c>
    </row>
    <row r="151" customFormat="false" ht="12.75" hidden="false" customHeight="false" outlineLevel="0" collapsed="false">
      <c r="A151" s="13" t="str">
        <f aca="false">input!A148</f>
        <v>D.10. Imprese Collegate oltre</v>
      </c>
      <c r="B151" s="2" t="n">
        <f aca="false">$M151*input!B148</f>
        <v>0</v>
      </c>
      <c r="C151" s="2" t="n">
        <f aca="false">$M151*input!C148</f>
        <v>0</v>
      </c>
      <c r="D151" s="2" t="n">
        <f aca="false">$M151*input!D148</f>
        <v>0</v>
      </c>
      <c r="E151" s="2" t="n">
        <f aca="false">$M151*input!E148</f>
        <v>0</v>
      </c>
      <c r="F151" s="2" t="n">
        <f aca="false">$M151*input!F148</f>
        <v>0</v>
      </c>
      <c r="G151" s="2" t="n">
        <f aca="false">$M151*input!G148</f>
        <v>0</v>
      </c>
      <c r="H151" s="2" t="n">
        <f aca="false">$M151*input!H148</f>
        <v>0</v>
      </c>
      <c r="I151" s="2" t="n">
        <f aca="false">$M151*input!I148</f>
        <v>0</v>
      </c>
      <c r="J151" s="2" t="n">
        <f aca="false">$M151*input!J148</f>
        <v>0</v>
      </c>
      <c r="K151" s="2" t="n">
        <f aca="false">$M151*input!K148</f>
        <v>0</v>
      </c>
      <c r="M151" s="3" t="n">
        <v>1</v>
      </c>
      <c r="N151" s="3" t="s">
        <v>275</v>
      </c>
    </row>
    <row r="152" customFormat="false" ht="12.75" hidden="false" customHeight="false" outlineLevel="0" collapsed="false">
      <c r="A152" s="13" t="str">
        <f aca="false">input!A149</f>
        <v>D.11. Controllanti entro</v>
      </c>
      <c r="B152" s="2" t="n">
        <f aca="false">$M152*input!B149</f>
        <v>0</v>
      </c>
      <c r="C152" s="2" t="n">
        <f aca="false">$M152*input!C149</f>
        <v>0</v>
      </c>
      <c r="D152" s="2" t="n">
        <f aca="false">$M152*input!D149</f>
        <v>0</v>
      </c>
      <c r="E152" s="2" t="n">
        <f aca="false">$M152*input!E149</f>
        <v>0</v>
      </c>
      <c r="F152" s="2" t="n">
        <f aca="false">$M152*input!F149</f>
        <v>0</v>
      </c>
      <c r="G152" s="2" t="n">
        <f aca="false">$M152*input!G149</f>
        <v>0</v>
      </c>
      <c r="H152" s="2" t="n">
        <f aca="false">$M152*input!H149</f>
        <v>0</v>
      </c>
      <c r="I152" s="2" t="n">
        <f aca="false">$M152*input!I149</f>
        <v>0</v>
      </c>
      <c r="J152" s="2" t="n">
        <f aca="false">$M152*input!J149</f>
        <v>0</v>
      </c>
      <c r="K152" s="2" t="n">
        <f aca="false">$M152*input!K149</f>
        <v>0</v>
      </c>
      <c r="M152" s="3" t="n">
        <v>1</v>
      </c>
      <c r="N152" s="3" t="s">
        <v>245</v>
      </c>
    </row>
    <row r="153" customFormat="false" ht="12.75" hidden="false" customHeight="false" outlineLevel="0" collapsed="false">
      <c r="A153" s="13" t="str">
        <f aca="false">input!A150</f>
        <v>D.11. Controllanti oltre</v>
      </c>
      <c r="B153" s="2" t="n">
        <f aca="false">$M153*input!B150</f>
        <v>0</v>
      </c>
      <c r="C153" s="2" t="n">
        <f aca="false">$M153*input!C150</f>
        <v>0</v>
      </c>
      <c r="D153" s="2" t="n">
        <f aca="false">$M153*input!D150</f>
        <v>0</v>
      </c>
      <c r="E153" s="2" t="n">
        <f aca="false">$M153*input!E150</f>
        <v>0</v>
      </c>
      <c r="F153" s="2" t="n">
        <f aca="false">$M153*input!F150</f>
        <v>0</v>
      </c>
      <c r="G153" s="2" t="n">
        <f aca="false">$M153*input!G150</f>
        <v>0</v>
      </c>
      <c r="H153" s="2" t="n">
        <f aca="false">$M153*input!H150</f>
        <v>0</v>
      </c>
      <c r="I153" s="2" t="n">
        <f aca="false">$M153*input!I150</f>
        <v>0</v>
      </c>
      <c r="J153" s="2" t="n">
        <f aca="false">$M153*input!J150</f>
        <v>0</v>
      </c>
      <c r="K153" s="2" t="n">
        <f aca="false">$M153*input!K150</f>
        <v>0</v>
      </c>
      <c r="M153" s="3" t="n">
        <v>1</v>
      </c>
      <c r="N153" s="3" t="s">
        <v>245</v>
      </c>
    </row>
    <row r="154" customFormat="false" ht="12.75" hidden="false" customHeight="false" outlineLevel="0" collapsed="false">
      <c r="A154" s="13" t="str">
        <f aca="false">input!A151</f>
        <v>D.11.bis. Debiti VS imprese sottoposte al controllo delle controllanti entro</v>
      </c>
      <c r="B154" s="2" t="n">
        <f aca="false">$M154*input!B151</f>
        <v>0</v>
      </c>
      <c r="C154" s="2" t="n">
        <f aca="false">$M154*input!C151</f>
        <v>0</v>
      </c>
      <c r="D154" s="2" t="n">
        <f aca="false">$M154*input!D151</f>
        <v>0</v>
      </c>
      <c r="E154" s="2" t="n">
        <f aca="false">$M154*input!E151</f>
        <v>0</v>
      </c>
      <c r="F154" s="2" t="n">
        <f aca="false">$M154*input!F151</f>
        <v>0</v>
      </c>
      <c r="G154" s="2" t="n">
        <f aca="false">$M154*input!G151</f>
        <v>0</v>
      </c>
      <c r="H154" s="2" t="n">
        <f aca="false">$M154*input!H151</f>
        <v>0</v>
      </c>
      <c r="I154" s="2" t="n">
        <f aca="false">$M154*input!I151</f>
        <v>0</v>
      </c>
      <c r="J154" s="2" t="n">
        <f aca="false">$M154*input!J151</f>
        <v>0</v>
      </c>
      <c r="K154" s="2" t="n">
        <f aca="false">$M154*input!K151</f>
        <v>0</v>
      </c>
      <c r="M154" s="3" t="n">
        <v>1</v>
      </c>
      <c r="N154" s="3" t="s">
        <v>245</v>
      </c>
    </row>
    <row r="155" customFormat="false" ht="12.75" hidden="false" customHeight="false" outlineLevel="0" collapsed="false">
      <c r="A155" s="13" t="str">
        <f aca="false">input!A152</f>
        <v>D.11.bis. Debiti VS imprese sottoposte al controllo delle controllanti oltre</v>
      </c>
      <c r="B155" s="2" t="n">
        <f aca="false">$M155*input!B152</f>
        <v>0</v>
      </c>
      <c r="C155" s="2" t="n">
        <f aca="false">$M155*input!C152</f>
        <v>0</v>
      </c>
      <c r="D155" s="2" t="n">
        <f aca="false">$M155*input!D152</f>
        <v>0</v>
      </c>
      <c r="E155" s="2" t="n">
        <f aca="false">$M155*input!E152</f>
        <v>0</v>
      </c>
      <c r="F155" s="2" t="n">
        <f aca="false">$M155*input!F152</f>
        <v>0</v>
      </c>
      <c r="G155" s="2" t="n">
        <f aca="false">$M155*input!G152</f>
        <v>0</v>
      </c>
      <c r="H155" s="2" t="n">
        <f aca="false">$M155*input!H152</f>
        <v>0</v>
      </c>
      <c r="I155" s="2" t="n">
        <f aca="false">$M155*input!I152</f>
        <v>0</v>
      </c>
      <c r="J155" s="2" t="n">
        <f aca="false">$M155*input!J152</f>
        <v>0</v>
      </c>
      <c r="K155" s="2" t="n">
        <f aca="false">$M155*input!K152</f>
        <v>0</v>
      </c>
      <c r="M155" s="3" t="n">
        <v>1</v>
      </c>
      <c r="N155" s="3" t="s">
        <v>245</v>
      </c>
    </row>
    <row r="156" customFormat="false" ht="12.75" hidden="false" customHeight="false" outlineLevel="0" collapsed="false">
      <c r="A156" s="13" t="str">
        <f aca="false">input!A153</f>
        <v>D.12. Debiti Tributari entro</v>
      </c>
      <c r="B156" s="2" t="n">
        <f aca="false">$M156*input!B153</f>
        <v>109694</v>
      </c>
      <c r="C156" s="2" t="n">
        <f aca="false">$M156*input!C153</f>
        <v>186901</v>
      </c>
      <c r="D156" s="2" t="n">
        <f aca="false">$M156*input!D153</f>
        <v>87711</v>
      </c>
      <c r="E156" s="2" t="n">
        <f aca="false">$M156*input!E153</f>
        <v>42380</v>
      </c>
      <c r="F156" s="2" t="n">
        <f aca="false">$M156*input!F153</f>
        <v>215975</v>
      </c>
      <c r="G156" s="2" t="n">
        <f aca="false">$M156*input!G153</f>
        <v>120156</v>
      </c>
      <c r="H156" s="2" t="n">
        <f aca="false">$M156*input!H153</f>
        <v>85218</v>
      </c>
      <c r="I156" s="2" t="n">
        <f aca="false">$M156*input!I153</f>
        <v>52646</v>
      </c>
      <c r="J156" s="2" t="n">
        <f aca="false">$M156*input!J153</f>
        <v>47230</v>
      </c>
      <c r="K156" s="2" t="n">
        <f aca="false">$M156*input!K153</f>
        <v>200920</v>
      </c>
      <c r="M156" s="3" t="n">
        <v>1</v>
      </c>
      <c r="N156" s="3" t="s">
        <v>276</v>
      </c>
    </row>
    <row r="157" customFormat="false" ht="12.75" hidden="false" customHeight="false" outlineLevel="0" collapsed="false">
      <c r="A157" s="13" t="str">
        <f aca="false">input!A154</f>
        <v>D.12. Debiti Tributari oltre</v>
      </c>
      <c r="B157" s="2" t="n">
        <f aca="false">$M157*input!B154</f>
        <v>0</v>
      </c>
      <c r="C157" s="2" t="n">
        <f aca="false">$M157*input!C154</f>
        <v>0</v>
      </c>
      <c r="D157" s="2" t="n">
        <f aca="false">$M157*input!D154</f>
        <v>0</v>
      </c>
      <c r="E157" s="2" t="n">
        <f aca="false">$M157*input!E154</f>
        <v>0</v>
      </c>
      <c r="F157" s="2" t="n">
        <f aca="false">$M157*input!F154</f>
        <v>0</v>
      </c>
      <c r="G157" s="2" t="n">
        <f aca="false">$M157*input!G154</f>
        <v>0</v>
      </c>
      <c r="H157" s="2" t="n">
        <f aca="false">$M157*input!H154</f>
        <v>0</v>
      </c>
      <c r="I157" s="2" t="n">
        <f aca="false">$M157*input!I154</f>
        <v>0</v>
      </c>
      <c r="J157" s="2" t="n">
        <f aca="false">$M157*input!J154</f>
        <v>0</v>
      </c>
      <c r="K157" s="2" t="n">
        <f aca="false">$M157*input!K154</f>
        <v>0</v>
      </c>
      <c r="M157" s="3" t="n">
        <v>1</v>
      </c>
      <c r="N157" s="3" t="s">
        <v>276</v>
      </c>
    </row>
    <row r="158" customFormat="false" ht="12.75" hidden="false" customHeight="false" outlineLevel="0" collapsed="false">
      <c r="A158" s="13" t="str">
        <f aca="false">input!A155</f>
        <v>D.13. Istituti previdenza entro</v>
      </c>
      <c r="B158" s="2" t="n">
        <f aca="false">$M158*input!B155</f>
        <v>132705</v>
      </c>
      <c r="C158" s="2" t="n">
        <f aca="false">$M158*input!C155</f>
        <v>106096</v>
      </c>
      <c r="D158" s="2" t="n">
        <f aca="false">$M158*input!D155</f>
        <v>96954</v>
      </c>
      <c r="E158" s="2" t="n">
        <f aca="false">$M158*input!E155</f>
        <v>79220</v>
      </c>
      <c r="F158" s="2" t="n">
        <f aca="false">$M158*input!F155</f>
        <v>138421</v>
      </c>
      <c r="G158" s="2" t="n">
        <f aca="false">$M158*input!G155</f>
        <v>148230</v>
      </c>
      <c r="H158" s="2" t="n">
        <f aca="false">$M158*input!H155</f>
        <v>123454</v>
      </c>
      <c r="I158" s="2" t="n">
        <f aca="false">$M158*input!I155</f>
        <v>85742</v>
      </c>
      <c r="J158" s="2" t="n">
        <f aca="false">$M158*input!J155</f>
        <v>81196</v>
      </c>
      <c r="K158" s="2" t="n">
        <f aca="false">$M158*input!K155</f>
        <v>68478</v>
      </c>
      <c r="M158" s="3" t="n">
        <v>1</v>
      </c>
      <c r="N158" s="3" t="s">
        <v>276</v>
      </c>
    </row>
    <row r="159" customFormat="false" ht="12.75" hidden="false" customHeight="false" outlineLevel="0" collapsed="false">
      <c r="A159" s="13" t="str">
        <f aca="false">input!A156</f>
        <v>D.13. Istituti previdenza oltre</v>
      </c>
      <c r="B159" s="2" t="n">
        <f aca="false">$M159*input!B156</f>
        <v>0</v>
      </c>
      <c r="C159" s="2" t="n">
        <f aca="false">$M159*input!C156</f>
        <v>0</v>
      </c>
      <c r="D159" s="2" t="n">
        <f aca="false">$M159*input!D156</f>
        <v>0</v>
      </c>
      <c r="E159" s="2" t="n">
        <f aca="false">$M159*input!E156</f>
        <v>0</v>
      </c>
      <c r="F159" s="2" t="n">
        <f aca="false">$M159*input!F156</f>
        <v>0</v>
      </c>
      <c r="G159" s="2" t="n">
        <f aca="false">$M159*input!G156</f>
        <v>0</v>
      </c>
      <c r="H159" s="2" t="n">
        <f aca="false">$M159*input!H156</f>
        <v>0</v>
      </c>
      <c r="I159" s="2" t="n">
        <f aca="false">$M159*input!I156</f>
        <v>0</v>
      </c>
      <c r="J159" s="2" t="n">
        <f aca="false">$M159*input!J156</f>
        <v>0</v>
      </c>
      <c r="K159" s="2" t="n">
        <f aca="false">$M159*input!K156</f>
        <v>0</v>
      </c>
      <c r="M159" s="3" t="n">
        <v>1</v>
      </c>
      <c r="N159" s="3" t="s">
        <v>276</v>
      </c>
    </row>
    <row r="160" customFormat="false" ht="12.75" hidden="false" customHeight="false" outlineLevel="0" collapsed="false">
      <c r="A160" s="13" t="str">
        <f aca="false">input!A157</f>
        <v>D.14. Altri Debiti entro</v>
      </c>
      <c r="B160" s="2" t="n">
        <f aca="false">$M160*input!B157</f>
        <v>274259</v>
      </c>
      <c r="C160" s="2" t="n">
        <f aca="false">$M160*input!C157</f>
        <v>374190</v>
      </c>
      <c r="D160" s="2" t="n">
        <f aca="false">$M160*input!D157</f>
        <v>165926</v>
      </c>
      <c r="E160" s="2" t="n">
        <f aca="false">$M160*input!E157</f>
        <v>2320885</v>
      </c>
      <c r="F160" s="2" t="n">
        <f aca="false">$M160*input!F157</f>
        <v>2357371</v>
      </c>
      <c r="G160" s="2" t="n">
        <f aca="false">$M160*input!G157</f>
        <v>273209</v>
      </c>
      <c r="H160" s="2" t="n">
        <f aca="false">$M160*input!H157</f>
        <v>241194</v>
      </c>
      <c r="I160" s="2" t="n">
        <f aca="false">$M160*input!I157</f>
        <v>194436</v>
      </c>
      <c r="J160" s="2" t="n">
        <f aca="false">$M160*input!J157</f>
        <v>108480</v>
      </c>
      <c r="K160" s="2" t="n">
        <f aca="false">$M160*input!K157</f>
        <v>110969</v>
      </c>
      <c r="M160" s="3" t="n">
        <v>1</v>
      </c>
      <c r="N160" s="3" t="s">
        <v>272</v>
      </c>
    </row>
    <row r="161" customFormat="false" ht="12.75" hidden="false" customHeight="false" outlineLevel="0" collapsed="false">
      <c r="A161" s="13" t="str">
        <f aca="false">input!A158</f>
        <v>D.14. Altri Debiti oltre</v>
      </c>
      <c r="B161" s="2" t="n">
        <f aca="false">$M161*input!B158</f>
        <v>0</v>
      </c>
      <c r="C161" s="2" t="n">
        <f aca="false">$M161*input!C158</f>
        <v>0</v>
      </c>
      <c r="D161" s="2" t="n">
        <f aca="false">$M161*input!D158</f>
        <v>0</v>
      </c>
      <c r="E161" s="2" t="n">
        <f aca="false">$M161*input!E158</f>
        <v>15000</v>
      </c>
      <c r="F161" s="2" t="n">
        <f aca="false">$M161*input!F158</f>
        <v>0</v>
      </c>
      <c r="G161" s="2" t="n">
        <f aca="false">$M161*input!G158</f>
        <v>0</v>
      </c>
      <c r="H161" s="2" t="n">
        <f aca="false">$M161*input!H158</f>
        <v>0</v>
      </c>
      <c r="I161" s="2" t="n">
        <f aca="false">$M161*input!I158</f>
        <v>13200</v>
      </c>
      <c r="J161" s="2" t="n">
        <f aca="false">$M161*input!J158</f>
        <v>13200</v>
      </c>
      <c r="K161" s="2" t="n">
        <f aca="false">$M161*input!K158</f>
        <v>13200</v>
      </c>
      <c r="M161" s="3" t="n">
        <v>1</v>
      </c>
      <c r="N161" s="3" t="s">
        <v>273</v>
      </c>
    </row>
    <row r="162" customFormat="false" ht="12.75" hidden="false" customHeight="false" outlineLevel="0" collapsed="false">
      <c r="A162" s="1" t="str">
        <f aca="false">input!A159</f>
        <v>D. DEBITI A BREVE</v>
      </c>
      <c r="B162" s="2" t="n">
        <f aca="false">$M162*input!B159</f>
        <v>16672665</v>
      </c>
      <c r="C162" s="2" t="n">
        <f aca="false">$M162*input!C159</f>
        <v>19749163</v>
      </c>
      <c r="D162" s="2" t="n">
        <f aca="false">$M162*input!D159</f>
        <v>18647144</v>
      </c>
      <c r="E162" s="2" t="n">
        <f aca="false">$M162*input!E159</f>
        <v>20776531</v>
      </c>
      <c r="F162" s="2" t="n">
        <f aca="false">$M162*input!F159</f>
        <v>17983167</v>
      </c>
      <c r="G162" s="2" t="n">
        <f aca="false">$M162*input!G159</f>
        <v>18079826</v>
      </c>
      <c r="H162" s="2" t="n">
        <f aca="false">$M162*input!H159</f>
        <v>13971430</v>
      </c>
      <c r="I162" s="2" t="n">
        <f aca="false">$M162*input!I159</f>
        <v>12607046</v>
      </c>
      <c r="J162" s="2" t="n">
        <f aca="false">$M162*input!J159</f>
        <v>8165026</v>
      </c>
      <c r="K162" s="2" t="n">
        <f aca="false">$M162*input!K159</f>
        <v>5131842</v>
      </c>
      <c r="M162" s="3" t="n">
        <v>1</v>
      </c>
    </row>
    <row r="163" customFormat="false" ht="12.75" hidden="false" customHeight="false" outlineLevel="0" collapsed="false">
      <c r="A163" s="1" t="str">
        <f aca="false">input!A160</f>
        <v>D. DEBITI A OLTRE</v>
      </c>
      <c r="B163" s="2" t="n">
        <f aca="false">$M163*input!B160</f>
        <v>20902923</v>
      </c>
      <c r="C163" s="2" t="n">
        <f aca="false">$M163*input!C160</f>
        <v>21942071</v>
      </c>
      <c r="D163" s="2" t="n">
        <f aca="false">$M163*input!D160</f>
        <v>22311303</v>
      </c>
      <c r="E163" s="2" t="n">
        <f aca="false">$M163*input!E160</f>
        <v>18442687</v>
      </c>
      <c r="F163" s="2" t="n">
        <f aca="false">$M163*input!F160</f>
        <v>3273458</v>
      </c>
      <c r="G163" s="2" t="n">
        <f aca="false">$M163*input!G160</f>
        <v>11654549</v>
      </c>
      <c r="H163" s="2" t="n">
        <f aca="false">$M163*input!H160</f>
        <v>10780240</v>
      </c>
      <c r="I163" s="2" t="n">
        <f aca="false">$M163*input!I160</f>
        <v>6314555</v>
      </c>
      <c r="J163" s="2" t="n">
        <f aca="false">$M163*input!J160</f>
        <v>1020648</v>
      </c>
      <c r="K163" s="2" t="n">
        <f aca="false">$M163*input!K160</f>
        <v>685066</v>
      </c>
      <c r="M163" s="3" t="n">
        <v>1</v>
      </c>
    </row>
    <row r="164" customFormat="false" ht="12.75" hidden="false" customHeight="false" outlineLevel="0" collapsed="false">
      <c r="A164" s="1" t="str">
        <f aca="false">input!A161</f>
        <v>Total debiti entro l'esercizio</v>
      </c>
      <c r="B164" s="2" t="n">
        <f aca="false">$M164*input!B161</f>
        <v>16672665</v>
      </c>
      <c r="C164" s="2" t="n">
        <f aca="false">$M164*input!C161</f>
        <v>19749163</v>
      </c>
      <c r="D164" s="2" t="n">
        <f aca="false">$M164*input!D161</f>
        <v>18647144</v>
      </c>
      <c r="E164" s="2" t="n">
        <f aca="false">$M164*input!E161</f>
        <v>20776531</v>
      </c>
      <c r="F164" s="2" t="n">
        <f aca="false">$M164*input!F161</f>
        <v>17983167</v>
      </c>
      <c r="G164" s="2" t="n">
        <f aca="false">$M164*input!G161</f>
        <v>18079826</v>
      </c>
      <c r="H164" s="2" t="n">
        <f aca="false">$M164*input!H161</f>
        <v>13971430</v>
      </c>
      <c r="I164" s="2" t="n">
        <f aca="false">$M164*input!I161</f>
        <v>12607046</v>
      </c>
      <c r="J164" s="2" t="n">
        <f aca="false">$M164*input!J161</f>
        <v>8165026</v>
      </c>
      <c r="K164" s="2" t="n">
        <f aca="false">$M164*input!K161</f>
        <v>5131842</v>
      </c>
      <c r="M164" s="3" t="n">
        <v>1</v>
      </c>
    </row>
    <row r="165" customFormat="false" ht="12.75" hidden="false" customHeight="false" outlineLevel="0" collapsed="false">
      <c r="A165" s="1" t="str">
        <f aca="false">input!A162</f>
        <v>Total debiti oltre l'esercizio</v>
      </c>
      <c r="B165" s="2" t="n">
        <f aca="false">$M165*input!B162</f>
        <v>20902923</v>
      </c>
      <c r="C165" s="2" t="n">
        <f aca="false">$M165*input!C162</f>
        <v>21942071</v>
      </c>
      <c r="D165" s="2" t="n">
        <f aca="false">$M165*input!D162</f>
        <v>22311303</v>
      </c>
      <c r="E165" s="2" t="n">
        <f aca="false">$M165*input!E162</f>
        <v>18442687</v>
      </c>
      <c r="F165" s="2" t="n">
        <f aca="false">$M165*input!F162</f>
        <v>3273458</v>
      </c>
      <c r="G165" s="2" t="n">
        <f aca="false">$M165*input!G162</f>
        <v>11654549</v>
      </c>
      <c r="H165" s="2" t="n">
        <f aca="false">$M165*input!H162</f>
        <v>10780240</v>
      </c>
      <c r="I165" s="2" t="n">
        <f aca="false">$M165*input!I162</f>
        <v>6314555</v>
      </c>
      <c r="J165" s="2" t="n">
        <f aca="false">$M165*input!J162</f>
        <v>1020648</v>
      </c>
      <c r="K165" s="2" t="n">
        <f aca="false">$M165*input!K162</f>
        <v>685066</v>
      </c>
      <c r="M165" s="3" t="n">
        <v>1</v>
      </c>
    </row>
    <row r="166" s="11" customFormat="true" ht="13.5" hidden="false" customHeight="true" outlineLevel="0" collapsed="false">
      <c r="A166" s="9" t="str">
        <f aca="false">input!A163</f>
        <v>E. RATEI E RISCONTI</v>
      </c>
      <c r="B166" s="10" t="n">
        <f aca="false">$M166*input!B163</f>
        <v>17462210</v>
      </c>
      <c r="C166" s="10" t="n">
        <f aca="false">$M166*input!C163</f>
        <v>11214467</v>
      </c>
      <c r="D166" s="10" t="n">
        <f aca="false">$M166*input!D163</f>
        <v>9289397</v>
      </c>
      <c r="E166" s="10" t="n">
        <f aca="false">$M166*input!E163</f>
        <v>3263189</v>
      </c>
      <c r="F166" s="10" t="n">
        <f aca="false">$M166*input!F163</f>
        <v>209117</v>
      </c>
      <c r="G166" s="10" t="n">
        <f aca="false">$M166*input!G163</f>
        <v>719958</v>
      </c>
      <c r="H166" s="10" t="n">
        <f aca="false">$M166*input!H163</f>
        <v>811753</v>
      </c>
      <c r="I166" s="10" t="n">
        <f aca="false">$M166*input!I163</f>
        <v>675706</v>
      </c>
      <c r="J166" s="10" t="n">
        <f aca="false">$M166*input!J163</f>
        <v>624068</v>
      </c>
      <c r="K166" s="10" t="n">
        <f aca="false">$M166*input!K163</f>
        <v>639448</v>
      </c>
      <c r="M166" s="11" t="n">
        <v>1</v>
      </c>
      <c r="N166" s="11" t="s">
        <v>272</v>
      </c>
    </row>
    <row r="167" customFormat="false" ht="12.75" hidden="false" customHeight="false" outlineLevel="0" collapsed="false">
      <c r="A167" s="1" t="str">
        <f aca="false">input!A164</f>
        <v>Aggio sui prestiti</v>
      </c>
      <c r="B167" s="2" t="n">
        <f aca="false">$M167*input!B164</f>
        <v>0</v>
      </c>
      <c r="C167" s="2" t="n">
        <f aca="false">$M167*input!C164</f>
        <v>0</v>
      </c>
      <c r="D167" s="2" t="n">
        <f aca="false">$M167*input!D164</f>
        <v>0</v>
      </c>
      <c r="E167" s="2" t="n">
        <f aca="false">$M167*input!E164</f>
        <v>0</v>
      </c>
      <c r="F167" s="2" t="n">
        <f aca="false">$M167*input!F164</f>
        <v>0</v>
      </c>
      <c r="G167" s="2" t="n">
        <f aca="false">$M167*input!G164</f>
        <v>0</v>
      </c>
      <c r="H167" s="2" t="n">
        <f aca="false">$M167*input!H164</f>
        <v>0</v>
      </c>
      <c r="I167" s="2" t="n">
        <f aca="false">$M167*input!I164</f>
        <v>0</v>
      </c>
      <c r="J167" s="2" t="n">
        <f aca="false">$M167*input!J164</f>
        <v>0</v>
      </c>
      <c r="K167" s="2" t="n">
        <f aca="false">$M167*input!K164</f>
        <v>0</v>
      </c>
      <c r="M167" s="3" t="n">
        <v>1</v>
      </c>
    </row>
    <row r="168" s="11" customFormat="true" ht="13.5" hidden="false" customHeight="true" outlineLevel="0" collapsed="false">
      <c r="A168" s="17" t="str">
        <f aca="false">input!A165</f>
        <v>TOTALE PASSIVO</v>
      </c>
      <c r="B168" s="18" t="n">
        <f aca="false">$M168*input!B165</f>
        <v>61444796</v>
      </c>
      <c r="C168" s="18" t="n">
        <f aca="false">$M168*input!C165</f>
        <v>57479670</v>
      </c>
      <c r="D168" s="18" t="n">
        <f aca="false">$M168*input!D165</f>
        <v>54459629</v>
      </c>
      <c r="E168" s="18" t="n">
        <f aca="false">$M168*input!E165</f>
        <v>46499023</v>
      </c>
      <c r="F168" s="18" t="n">
        <f aca="false">$M168*input!F165</f>
        <v>25796860</v>
      </c>
      <c r="G168" s="18" t="n">
        <f aca="false">$M168*input!G165</f>
        <v>32406360</v>
      </c>
      <c r="H168" s="18" t="n">
        <f aca="false">$M168*input!H165</f>
        <v>29137944</v>
      </c>
      <c r="I168" s="18" t="n">
        <f aca="false">$M168*input!I165</f>
        <v>22497059</v>
      </c>
      <c r="J168" s="18" t="n">
        <f aca="false">$M168*input!J165</f>
        <v>12351601</v>
      </c>
      <c r="K168" s="18" t="n">
        <f aca="false">$M168*input!K165</f>
        <v>8477049</v>
      </c>
      <c r="M168" s="11" t="n">
        <v>1</v>
      </c>
    </row>
    <row r="169" customFormat="false" ht="12.75" hidden="false" customHeight="false" outlineLevel="0" collapsed="false">
      <c r="A169" s="1" t="str">
        <f aca="false">input!A166</f>
        <v>TOTALE CONTI D'ORDINE</v>
      </c>
      <c r="B169" s="2" t="n">
        <f aca="false">$M169*input!B166</f>
        <v>0</v>
      </c>
      <c r="C169" s="2" t="n">
        <f aca="false">$M169*input!C166</f>
        <v>0</v>
      </c>
      <c r="D169" s="2" t="n">
        <f aca="false">$M169*input!D166</f>
        <v>0</v>
      </c>
      <c r="E169" s="2" t="n">
        <f aca="false">$M169*input!E166</f>
        <v>0</v>
      </c>
      <c r="F169" s="2" t="n">
        <f aca="false">$M169*input!F166</f>
        <v>0</v>
      </c>
      <c r="G169" s="2" t="n">
        <f aca="false">$M169*input!G166</f>
        <v>0</v>
      </c>
      <c r="H169" s="2" t="n">
        <f aca="false">$M169*input!H166</f>
        <v>0</v>
      </c>
      <c r="I169" s="2" t="n">
        <f aca="false">$M169*input!I166</f>
        <v>0</v>
      </c>
      <c r="J169" s="2" t="n">
        <f aca="false">$M169*input!J166</f>
        <v>0</v>
      </c>
      <c r="K169" s="2" t="n">
        <f aca="false">$M169*input!K166</f>
        <v>9225802</v>
      </c>
      <c r="M169" s="3" t="n">
        <v>1</v>
      </c>
    </row>
    <row r="171" s="25" customFormat="true" ht="18" hidden="false" customHeight="true" outlineLevel="0" collapsed="false">
      <c r="A171" s="23" t="str">
        <f aca="false">input!A167</f>
        <v>Conto economico</v>
      </c>
      <c r="B171" s="24"/>
      <c r="C171" s="24"/>
      <c r="D171" s="24"/>
      <c r="E171" s="24"/>
      <c r="F171" s="24"/>
      <c r="G171" s="24"/>
      <c r="H171" s="24"/>
      <c r="I171" s="24"/>
      <c r="J171" s="24"/>
      <c r="K171" s="24"/>
    </row>
    <row r="172" s="11" customFormat="true" ht="13.5" hidden="false" customHeight="true" outlineLevel="0" collapsed="false">
      <c r="A172" s="9" t="str">
        <f aca="false">input!A168</f>
        <v>A. TOT. VAL. DELLA PRODUZIONE</v>
      </c>
      <c r="B172" s="10" t="n">
        <f aca="false">$M172*input!B168</f>
        <v>35210191</v>
      </c>
      <c r="C172" s="10" t="n">
        <f aca="false">$M172*input!C168</f>
        <v>30350500</v>
      </c>
      <c r="D172" s="10" t="n">
        <f aca="false">$M172*input!D168</f>
        <v>23730772</v>
      </c>
      <c r="E172" s="10" t="n">
        <f aca="false">$M172*input!E168</f>
        <v>15873328</v>
      </c>
      <c r="F172" s="10" t="n">
        <f aca="false">$M172*input!F168</f>
        <v>40163778</v>
      </c>
      <c r="G172" s="10" t="n">
        <f aca="false">$M172*input!G168</f>
        <v>25427814</v>
      </c>
      <c r="H172" s="10" t="n">
        <f aca="false">$M172*input!H168</f>
        <v>22261836</v>
      </c>
      <c r="I172" s="10" t="n">
        <f aca="false">$M172*input!I168</f>
        <v>18667380</v>
      </c>
      <c r="J172" s="10" t="n">
        <f aca="false">$M172*input!J168</f>
        <v>17438353</v>
      </c>
      <c r="K172" s="10" t="n">
        <f aca="false">$M172*input!K168</f>
        <v>16262123</v>
      </c>
      <c r="M172" s="11" t="n">
        <v>1</v>
      </c>
    </row>
    <row r="173" customFormat="false" ht="12.75" hidden="false" customHeight="false" outlineLevel="0" collapsed="false">
      <c r="A173" s="13" t="str">
        <f aca="false">input!A169</f>
        <v>A.1. Ricavi vendite e prestazioni</v>
      </c>
      <c r="B173" s="2" t="n">
        <f aca="false">$M173*input!B169</f>
        <v>32585062</v>
      </c>
      <c r="C173" s="2" t="n">
        <f aca="false">$M173*input!C169</f>
        <v>26767063</v>
      </c>
      <c r="D173" s="2" t="n">
        <f aca="false">$M173*input!D169</f>
        <v>18081645</v>
      </c>
      <c r="E173" s="2" t="n">
        <f aca="false">$M173*input!E169</f>
        <v>15346003</v>
      </c>
      <c r="F173" s="2" t="n">
        <f aca="false">$M173*input!F169</f>
        <v>15507994</v>
      </c>
      <c r="G173" s="2" t="n">
        <f aca="false">$M173*input!G169</f>
        <v>23272142</v>
      </c>
      <c r="H173" s="2" t="n">
        <f aca="false">$M173*input!H169</f>
        <v>20034817</v>
      </c>
      <c r="I173" s="2" t="n">
        <f aca="false">$M173*input!I169</f>
        <v>17515574</v>
      </c>
      <c r="J173" s="2" t="n">
        <f aca="false">$M173*input!J169</f>
        <v>17142886</v>
      </c>
      <c r="K173" s="2" t="n">
        <f aca="false">$M173*input!K169</f>
        <v>16626265</v>
      </c>
      <c r="M173" s="3" t="n">
        <v>1</v>
      </c>
      <c r="N173" s="3" t="s">
        <v>277</v>
      </c>
    </row>
    <row r="174" customFormat="false" ht="12.75" hidden="false" customHeight="false" outlineLevel="0" collapsed="false">
      <c r="A174" s="13" t="str">
        <f aca="false">input!A170</f>
        <v>A.2. Var. rimanenze prodotti</v>
      </c>
      <c r="B174" s="2" t="n">
        <f aca="false">$M174*input!B170</f>
        <v>844675</v>
      </c>
      <c r="C174" s="2" t="n">
        <f aca="false">$M174*input!C170</f>
        <v>2437461</v>
      </c>
      <c r="D174" s="2" t="n">
        <f aca="false">$M174*input!D170</f>
        <v>4370611</v>
      </c>
      <c r="E174" s="2" t="n">
        <f aca="false">$M174*input!E170</f>
        <v>-162763</v>
      </c>
      <c r="F174" s="2" t="n">
        <f aca="false">$M174*input!F170</f>
        <v>-5512230</v>
      </c>
      <c r="G174" s="2" t="n">
        <f aca="false">$M174*input!G170</f>
        <v>1936152</v>
      </c>
      <c r="H174" s="2" t="n">
        <f aca="false">$M174*input!H170</f>
        <v>1710320</v>
      </c>
      <c r="I174" s="2" t="n">
        <f aca="false">$M174*input!I170</f>
        <v>839363</v>
      </c>
      <c r="J174" s="2" t="n">
        <f aca="false">$M174*input!J170</f>
        <v>79504</v>
      </c>
      <c r="K174" s="2" t="n">
        <f aca="false">$M174*input!K170</f>
        <v>-557027</v>
      </c>
      <c r="M174" s="3" t="n">
        <v>1</v>
      </c>
      <c r="N174" s="3" t="s">
        <v>278</v>
      </c>
    </row>
    <row r="175" customFormat="false" ht="12.75" hidden="false" customHeight="false" outlineLevel="0" collapsed="false">
      <c r="A175" s="13" t="str">
        <f aca="false">input!A171</f>
        <v>A.3. Variazione lavori</v>
      </c>
      <c r="B175" s="2" t="n">
        <f aca="false">$M175*input!B171</f>
        <v>0</v>
      </c>
      <c r="C175" s="2" t="n">
        <f aca="false">$M175*input!C171</f>
        <v>0</v>
      </c>
      <c r="D175" s="2" t="n">
        <f aca="false">$M175*input!D171</f>
        <v>0</v>
      </c>
      <c r="E175" s="2" t="n">
        <f aca="false">$M175*input!E171</f>
        <v>0</v>
      </c>
      <c r="F175" s="2" t="n">
        <f aca="false">$M175*input!F171</f>
        <v>0</v>
      </c>
      <c r="G175" s="2" t="n">
        <f aca="false">$M175*input!G171</f>
        <v>0</v>
      </c>
      <c r="H175" s="2" t="n">
        <f aca="false">$M175*input!H171</f>
        <v>0</v>
      </c>
      <c r="I175" s="2" t="n">
        <f aca="false">$M175*input!I171</f>
        <v>0</v>
      </c>
      <c r="J175" s="2" t="n">
        <f aca="false">$M175*input!J171</f>
        <v>0</v>
      </c>
      <c r="K175" s="2" t="n">
        <f aca="false">$M175*input!K171</f>
        <v>0</v>
      </c>
      <c r="M175" s="3" t="n">
        <v>1</v>
      </c>
      <c r="N175" s="3" t="s">
        <v>279</v>
      </c>
    </row>
    <row r="176" customFormat="false" ht="12.75" hidden="false" customHeight="false" outlineLevel="0" collapsed="false">
      <c r="A176" s="13" t="str">
        <f aca="false">input!A172</f>
        <v>A.2. + A.3. Totale Variazioni</v>
      </c>
      <c r="B176" s="2" t="n">
        <f aca="false">$M176*input!B172</f>
        <v>844675</v>
      </c>
      <c r="C176" s="2" t="n">
        <f aca="false">$M176*input!C172</f>
        <v>2437461</v>
      </c>
      <c r="D176" s="2" t="n">
        <f aca="false">$M176*input!D172</f>
        <v>4370611</v>
      </c>
      <c r="E176" s="2" t="n">
        <f aca="false">$M176*input!E172</f>
        <v>-162763</v>
      </c>
      <c r="F176" s="2" t="n">
        <f aca="false">$M176*input!F172</f>
        <v>-5512230</v>
      </c>
      <c r="G176" s="2" t="n">
        <f aca="false">$M176*input!G172</f>
        <v>1936152</v>
      </c>
      <c r="H176" s="2" t="n">
        <f aca="false">$M176*input!H172</f>
        <v>1710320</v>
      </c>
      <c r="I176" s="2" t="n">
        <f aca="false">$M176*input!I172</f>
        <v>839363</v>
      </c>
      <c r="J176" s="2" t="n">
        <f aca="false">$M176*input!J172</f>
        <v>79504</v>
      </c>
      <c r="K176" s="2" t="n">
        <f aca="false">$M176*input!K172</f>
        <v>-557027</v>
      </c>
      <c r="M176" s="3" t="n">
        <v>1</v>
      </c>
    </row>
    <row r="177" customFormat="false" ht="12.75" hidden="false" customHeight="false" outlineLevel="0" collapsed="false">
      <c r="A177" s="13" t="str">
        <f aca="false">input!A173</f>
        <v>A.4. Incrementi di immob.</v>
      </c>
      <c r="B177" s="2" t="n">
        <f aca="false">$M177*input!B173</f>
        <v>0</v>
      </c>
      <c r="C177" s="2" t="n">
        <f aca="false">$M177*input!C173</f>
        <v>0</v>
      </c>
      <c r="D177" s="2" t="n">
        <f aca="false">$M177*input!D173</f>
        <v>0</v>
      </c>
      <c r="E177" s="2" t="n">
        <f aca="false">$M177*input!E173</f>
        <v>0</v>
      </c>
      <c r="F177" s="2" t="n">
        <f aca="false">$M177*input!F173</f>
        <v>0</v>
      </c>
      <c r="G177" s="2" t="n">
        <f aca="false">$M177*input!G173</f>
        <v>0</v>
      </c>
      <c r="H177" s="2" t="n">
        <f aca="false">$M177*input!H173</f>
        <v>0</v>
      </c>
      <c r="I177" s="2" t="n">
        <f aca="false">$M177*input!I173</f>
        <v>0</v>
      </c>
      <c r="J177" s="2" t="n">
        <f aca="false">$M177*input!J173</f>
        <v>0</v>
      </c>
      <c r="K177" s="2" t="n">
        <f aca="false">$M177*input!K173</f>
        <v>0</v>
      </c>
      <c r="M177" s="3" t="n">
        <v>1</v>
      </c>
      <c r="N177" s="3" t="s">
        <v>280</v>
      </c>
    </row>
    <row r="178" customFormat="false" ht="12.75" hidden="false" customHeight="false" outlineLevel="0" collapsed="false">
      <c r="A178" s="13" t="str">
        <f aca="false">input!A174</f>
        <v>A.5. Altri ricavi</v>
      </c>
      <c r="B178" s="2" t="n">
        <f aca="false">$M178*input!B174</f>
        <v>1780454</v>
      </c>
      <c r="C178" s="2" t="n">
        <f aca="false">$M178*input!C174</f>
        <v>1145976</v>
      </c>
      <c r="D178" s="2" t="n">
        <f aca="false">$M178*input!D174</f>
        <v>1278516</v>
      </c>
      <c r="E178" s="2" t="n">
        <f aca="false">$M178*input!E174</f>
        <v>690088</v>
      </c>
      <c r="F178" s="2" t="n">
        <f aca="false">$M178*input!F174</f>
        <v>30168014</v>
      </c>
      <c r="G178" s="2" t="n">
        <f aca="false">$M178*input!G174</f>
        <v>219520</v>
      </c>
      <c r="H178" s="2" t="n">
        <f aca="false">$M178*input!H174</f>
        <v>516699</v>
      </c>
      <c r="I178" s="2" t="n">
        <f aca="false">$M178*input!I174</f>
        <v>312443</v>
      </c>
      <c r="J178" s="2" t="n">
        <f aca="false">$M178*input!J174</f>
        <v>215963</v>
      </c>
      <c r="K178" s="2" t="n">
        <f aca="false">$M178*input!K174</f>
        <v>192885</v>
      </c>
      <c r="M178" s="3" t="n">
        <v>1</v>
      </c>
      <c r="N178" s="3" t="s">
        <v>277</v>
      </c>
    </row>
    <row r="179" customFormat="false" ht="12.75" hidden="false" customHeight="false" outlineLevel="0" collapsed="false">
      <c r="A179" s="13" t="str">
        <f aca="false">input!A175</f>
        <v>Contributi in conto esercizio</v>
      </c>
      <c r="B179" s="2" t="n">
        <f aca="false">$M179*input!B175</f>
        <v>1683351</v>
      </c>
      <c r="C179" s="2" t="n">
        <f aca="false">$M179*input!C175</f>
        <v>1049271</v>
      </c>
      <c r="D179" s="2" t="n">
        <f aca="false">$M179*input!D175</f>
        <v>1089418</v>
      </c>
      <c r="E179" s="2" t="n">
        <f aca="false">$M179*input!E175</f>
        <v>75220</v>
      </c>
      <c r="F179" s="2" t="n">
        <f aca="false">$M179*input!F175</f>
        <v>109507</v>
      </c>
      <c r="G179" s="2" t="n">
        <f aca="false">$M179*input!G175</f>
        <v>59575</v>
      </c>
      <c r="H179" s="2" t="n">
        <f aca="false">$M179*input!H175</f>
        <v>168492</v>
      </c>
      <c r="I179" s="2" t="n">
        <f aca="false">$M179*input!I175</f>
        <v>4340</v>
      </c>
      <c r="J179" s="2" t="n">
        <f aca="false">$M179*input!J175</f>
        <v>4135</v>
      </c>
      <c r="K179" s="2" t="n">
        <f aca="false">$M179*input!K175</f>
        <v>4620</v>
      </c>
      <c r="M179" s="3" t="n">
        <v>1</v>
      </c>
      <c r="N179" s="3" t="s">
        <v>281</v>
      </c>
    </row>
    <row r="180" s="11" customFormat="true" ht="13.5" hidden="false" customHeight="true" outlineLevel="0" collapsed="false">
      <c r="A180" s="9" t="str">
        <f aca="false">input!A176</f>
        <v>B. COSTI DELLA PRODUZIONE</v>
      </c>
      <c r="B180" s="10" t="n">
        <f aca="false">$M180*input!B176</f>
        <v>32959244</v>
      </c>
      <c r="C180" s="10" t="n">
        <f aca="false">$M180*input!C176</f>
        <v>28484378</v>
      </c>
      <c r="D180" s="10" t="n">
        <f aca="false">$M180*input!D176</f>
        <v>22695949</v>
      </c>
      <c r="E180" s="10" t="n">
        <f aca="false">$M180*input!E176</f>
        <v>16067712</v>
      </c>
      <c r="F180" s="10" t="n">
        <f aca="false">$M180*input!F176</f>
        <v>37233541</v>
      </c>
      <c r="G180" s="10" t="n">
        <f aca="false">$M180*input!G176</f>
        <v>26878787</v>
      </c>
      <c r="H180" s="10" t="n">
        <f aca="false">$M180*input!H176</f>
        <v>21415299</v>
      </c>
      <c r="I180" s="10" t="n">
        <f aca="false">$M180*input!I176</f>
        <v>18106680</v>
      </c>
      <c r="J180" s="10" t="n">
        <f aca="false">$M180*input!J176</f>
        <v>16655408</v>
      </c>
      <c r="K180" s="10" t="n">
        <f aca="false">$M180*input!K176</f>
        <v>15328758</v>
      </c>
      <c r="M180" s="11" t="n">
        <v>1</v>
      </c>
    </row>
    <row r="181" customFormat="false" ht="12.75" hidden="false" customHeight="false" outlineLevel="0" collapsed="false">
      <c r="A181" s="13" t="str">
        <f aca="false">input!A177</f>
        <v>B.6. Materie prime e consumo</v>
      </c>
      <c r="B181" s="2" t="n">
        <f aca="false">$M181*input!B177</f>
        <v>-22885536</v>
      </c>
      <c r="C181" s="2" t="n">
        <f aca="false">$M181*input!C177</f>
        <v>-20757477</v>
      </c>
      <c r="D181" s="2" t="n">
        <f aca="false">$M181*input!D177</f>
        <v>-16050120</v>
      </c>
      <c r="E181" s="2" t="n">
        <f aca="false">$M181*input!E177</f>
        <v>-12465684</v>
      </c>
      <c r="F181" s="2" t="n">
        <f aca="false">$M181*input!F177</f>
        <v>-13280397</v>
      </c>
      <c r="G181" s="2" t="n">
        <f aca="false">$M181*input!G177</f>
        <v>-16932090</v>
      </c>
      <c r="H181" s="2" t="n">
        <f aca="false">$M181*input!H177</f>
        <v>-13993125</v>
      </c>
      <c r="I181" s="2" t="n">
        <f aca="false">$M181*input!I177</f>
        <v>-12334028</v>
      </c>
      <c r="J181" s="2" t="n">
        <f aca="false">$M181*input!J177</f>
        <v>-11490154</v>
      </c>
      <c r="K181" s="2" t="n">
        <f aca="false">$M181*input!K177</f>
        <v>-10631340</v>
      </c>
      <c r="M181" s="3" t="n">
        <v>-1</v>
      </c>
      <c r="N181" s="3" t="s">
        <v>282</v>
      </c>
    </row>
    <row r="182" customFormat="false" ht="12.75" hidden="false" customHeight="false" outlineLevel="0" collapsed="false">
      <c r="A182" s="13" t="str">
        <f aca="false">input!A178</f>
        <v>B.7. Servizi</v>
      </c>
      <c r="B182" s="2" t="n">
        <f aca="false">$M182*input!B178</f>
        <v>-4713095</v>
      </c>
      <c r="C182" s="2" t="n">
        <f aca="false">$M182*input!C178</f>
        <v>-3451674</v>
      </c>
      <c r="D182" s="2" t="n">
        <f aca="false">$M182*input!D178</f>
        <v>-3669246</v>
      </c>
      <c r="E182" s="2" t="n">
        <f aca="false">$M182*input!E178</f>
        <v>-2062948</v>
      </c>
      <c r="F182" s="2" t="n">
        <f aca="false">$M182*input!F178</f>
        <v>-3145307</v>
      </c>
      <c r="G182" s="2" t="n">
        <f aca="false">$M182*input!G178</f>
        <v>-4161603</v>
      </c>
      <c r="H182" s="2" t="n">
        <f aca="false">$M182*input!H178</f>
        <v>-3117431</v>
      </c>
      <c r="I182" s="2" t="n">
        <f aca="false">$M182*input!I178</f>
        <v>-2564870</v>
      </c>
      <c r="J182" s="2" t="n">
        <f aca="false">$M182*input!J178</f>
        <v>-2315205</v>
      </c>
      <c r="K182" s="2" t="n">
        <f aca="false">$M182*input!K178</f>
        <v>-2075877</v>
      </c>
      <c r="M182" s="3" t="n">
        <v>-1</v>
      </c>
      <c r="N182" s="3" t="s">
        <v>283</v>
      </c>
    </row>
    <row r="183" customFormat="false" ht="12.75" hidden="false" customHeight="false" outlineLevel="0" collapsed="false">
      <c r="A183" s="13" t="str">
        <f aca="false">input!A179</f>
        <v>B.8. Godimento beni di terzi</v>
      </c>
      <c r="B183" s="2" t="n">
        <f aca="false">$M183*input!B179</f>
        <v>-64351</v>
      </c>
      <c r="C183" s="2" t="n">
        <f aca="false">$M183*input!C179</f>
        <v>-70254</v>
      </c>
      <c r="D183" s="2" t="n">
        <f aca="false">$M183*input!D179</f>
        <v>-70413</v>
      </c>
      <c r="E183" s="2" t="n">
        <f aca="false">$M183*input!E179</f>
        <v>-169510</v>
      </c>
      <c r="F183" s="2" t="n">
        <f aca="false">$M183*input!F179</f>
        <v>-504258</v>
      </c>
      <c r="G183" s="2" t="n">
        <f aca="false">$M183*input!G179</f>
        <v>-807162</v>
      </c>
      <c r="H183" s="2" t="n">
        <f aca="false">$M183*input!H179</f>
        <v>-758512</v>
      </c>
      <c r="I183" s="2" t="n">
        <f aca="false">$M183*input!I179</f>
        <v>-565272</v>
      </c>
      <c r="J183" s="2" t="n">
        <f aca="false">$M183*input!J179</f>
        <v>-617112</v>
      </c>
      <c r="K183" s="2" t="n">
        <f aca="false">$M183*input!K179</f>
        <v>-672603</v>
      </c>
      <c r="M183" s="3" t="n">
        <v>-1</v>
      </c>
      <c r="N183" s="3" t="s">
        <v>284</v>
      </c>
    </row>
    <row r="184" customFormat="false" ht="12.75" hidden="false" customHeight="false" outlineLevel="0" collapsed="false">
      <c r="A184" s="13" t="str">
        <f aca="false">input!A180</f>
        <v>B.9. Totale costi del personale</v>
      </c>
      <c r="B184" s="2" t="n">
        <f aca="false">$M184*input!B180</f>
        <v>-2681925</v>
      </c>
      <c r="C184" s="2" t="n">
        <f aca="false">$M184*input!C180</f>
        <v>-2131577</v>
      </c>
      <c r="D184" s="2" t="n">
        <f aca="false">$M184*input!D180</f>
        <v>-1951241</v>
      </c>
      <c r="E184" s="2" t="n">
        <f aca="false">$M184*input!E180</f>
        <v>-1243643</v>
      </c>
      <c r="F184" s="2" t="n">
        <f aca="false">$M184*input!F180</f>
        <v>-1919876</v>
      </c>
      <c r="G184" s="2" t="n">
        <f aca="false">$M184*input!G180</f>
        <v>-3220370</v>
      </c>
      <c r="H184" s="2" t="n">
        <f aca="false">$M184*input!H180</f>
        <v>-2559233</v>
      </c>
      <c r="I184" s="2" t="n">
        <f aca="false">$M184*input!I180</f>
        <v>-1993525</v>
      </c>
      <c r="J184" s="2" t="n">
        <f aca="false">$M184*input!J180</f>
        <v>-1661107</v>
      </c>
      <c r="K184" s="2" t="n">
        <f aca="false">$M184*input!K180</f>
        <v>-1550056</v>
      </c>
      <c r="L184" s="26"/>
      <c r="M184" s="3" t="n">
        <v>-1</v>
      </c>
      <c r="N184" s="3" t="s">
        <v>285</v>
      </c>
    </row>
    <row r="185" customFormat="false" ht="12.75" hidden="false" customHeight="false" outlineLevel="0" collapsed="false">
      <c r="A185" s="14" t="str">
        <f aca="false">input!A181</f>
        <v>B.9.a. Salari e stipendi</v>
      </c>
      <c r="B185" s="2" t="n">
        <f aca="false">$M185*input!B181</f>
        <v>1881492</v>
      </c>
      <c r="C185" s="2" t="n">
        <f aca="false">$M185*input!C181</f>
        <v>1503132</v>
      </c>
      <c r="D185" s="2" t="n">
        <f aca="false">$M185*input!D181</f>
        <v>1379874</v>
      </c>
      <c r="E185" s="2" t="n">
        <f aca="false">$M185*input!E181</f>
        <v>866147</v>
      </c>
      <c r="F185" s="2" t="n">
        <f aca="false">$M185*input!F181</f>
        <v>1352530</v>
      </c>
      <c r="G185" s="2" t="n">
        <f aca="false">$M185*input!G181</f>
        <v>2300130</v>
      </c>
      <c r="H185" s="2" t="n">
        <f aca="false">$M185*input!H181</f>
        <v>1832741</v>
      </c>
      <c r="I185" s="2" t="n">
        <f aca="false">$M185*input!I181</f>
        <v>1469154</v>
      </c>
      <c r="J185" s="2" t="n">
        <f aca="false">$M185*input!J181</f>
        <v>1223325</v>
      </c>
      <c r="K185" s="2" t="n">
        <f aca="false">$M185*input!K181</f>
        <v>1130894</v>
      </c>
      <c r="L185" s="26"/>
      <c r="M185" s="3" t="n">
        <v>1</v>
      </c>
    </row>
    <row r="186" customFormat="false" ht="12.75" hidden="false" customHeight="false" outlineLevel="0" collapsed="false">
      <c r="A186" s="14" t="str">
        <f aca="false">input!A182</f>
        <v>B.9.b. Oneri sociali</v>
      </c>
      <c r="B186" s="2" t="n">
        <f aca="false">$M186*input!B182</f>
        <v>660826</v>
      </c>
      <c r="C186" s="2" t="n">
        <f aca="false">$M186*input!C182</f>
        <v>518619</v>
      </c>
      <c r="D186" s="2" t="n">
        <f aca="false">$M186*input!D182</f>
        <v>451486</v>
      </c>
      <c r="E186" s="2" t="n">
        <f aca="false">$M186*input!E182</f>
        <v>286405</v>
      </c>
      <c r="F186" s="2" t="n">
        <f aca="false">$M186*input!F182</f>
        <v>446164</v>
      </c>
      <c r="G186" s="2" t="n">
        <f aca="false">$M186*input!G182</f>
        <v>766756</v>
      </c>
      <c r="H186" s="2" t="n">
        <f aca="false">$M186*input!H182</f>
        <v>594069</v>
      </c>
      <c r="I186" s="2" t="n">
        <f aca="false">$M186*input!I182</f>
        <v>415845</v>
      </c>
      <c r="J186" s="2" t="n">
        <f aca="false">$M186*input!J182</f>
        <v>351719</v>
      </c>
      <c r="K186" s="2" t="n">
        <f aca="false">$M186*input!K182</f>
        <v>337413</v>
      </c>
      <c r="M186" s="3" t="n">
        <v>1</v>
      </c>
    </row>
    <row r="187" customFormat="false" ht="12.75" hidden="false" customHeight="false" outlineLevel="0" collapsed="false">
      <c r="A187" s="14" t="str">
        <f aca="false">input!A183</f>
        <v>B.9.c. Tratt. fine rapporto</v>
      </c>
      <c r="B187" s="2" t="n">
        <f aca="false">$M187*input!B183</f>
        <v>135821</v>
      </c>
      <c r="C187" s="2" t="n">
        <f aca="false">$M187*input!C183</f>
        <v>107849</v>
      </c>
      <c r="D187" s="2" t="n">
        <f aca="false">$M187*input!D183</f>
        <v>118695</v>
      </c>
      <c r="E187" s="2" t="n">
        <f aca="false">$M187*input!E183</f>
        <v>90079</v>
      </c>
      <c r="F187" s="2" t="n">
        <f aca="false">$M187*input!F183</f>
        <v>119927</v>
      </c>
      <c r="G187" s="2" t="n">
        <f aca="false">$M187*input!G183</f>
        <v>146654</v>
      </c>
      <c r="H187" s="2" t="n">
        <f aca="false">$M187*input!H183</f>
        <v>119002</v>
      </c>
      <c r="I187" s="2" t="n">
        <f aca="false">$M187*input!I183</f>
        <v>94811</v>
      </c>
      <c r="J187" s="2" t="n">
        <f aca="false">$M187*input!J183</f>
        <v>75862</v>
      </c>
      <c r="K187" s="2" t="n">
        <f aca="false">$M187*input!K183</f>
        <v>73929</v>
      </c>
      <c r="M187" s="3" t="n">
        <v>1</v>
      </c>
    </row>
    <row r="188" customFormat="false" ht="12.75" hidden="false" customHeight="false" outlineLevel="0" collapsed="false">
      <c r="A188" s="14" t="str">
        <f aca="false">input!A184</f>
        <v>B.9.d. Tratt. di quiescenza</v>
      </c>
      <c r="B188" s="2" t="n">
        <f aca="false">$M188*input!B184</f>
        <v>0</v>
      </c>
      <c r="C188" s="2" t="n">
        <f aca="false">$M188*input!C184</f>
        <v>0</v>
      </c>
      <c r="D188" s="2" t="n">
        <f aca="false">$M188*input!D184</f>
        <v>0</v>
      </c>
      <c r="E188" s="2" t="n">
        <f aca="false">$M188*input!E184</f>
        <v>0</v>
      </c>
      <c r="F188" s="2" t="n">
        <f aca="false">$M188*input!F184</f>
        <v>0</v>
      </c>
      <c r="G188" s="2" t="n">
        <f aca="false">$M188*input!G184</f>
        <v>0</v>
      </c>
      <c r="H188" s="2" t="n">
        <f aca="false">$M188*input!H184</f>
        <v>10680</v>
      </c>
      <c r="I188" s="2" t="n">
        <f aca="false">$M188*input!I184</f>
        <v>12044</v>
      </c>
      <c r="J188" s="2" t="n">
        <f aca="false">$M188*input!J184</f>
        <v>7753</v>
      </c>
      <c r="K188" s="2" t="n">
        <f aca="false">$M188*input!K184</f>
        <v>7820</v>
      </c>
      <c r="M188" s="3" t="n">
        <v>1</v>
      </c>
    </row>
    <row r="189" customFormat="false" ht="12.75" hidden="false" customHeight="false" outlineLevel="0" collapsed="false">
      <c r="A189" s="14" t="str">
        <f aca="false">input!A185</f>
        <v>B.9.e. Altri costi</v>
      </c>
      <c r="B189" s="2" t="n">
        <f aca="false">$M189*input!B185</f>
        <v>3786</v>
      </c>
      <c r="C189" s="2" t="n">
        <f aca="false">$M189*input!C185</f>
        <v>1977</v>
      </c>
      <c r="D189" s="2" t="n">
        <f aca="false">$M189*input!D185</f>
        <v>1186</v>
      </c>
      <c r="E189" s="2" t="n">
        <f aca="false">$M189*input!E185</f>
        <v>1012</v>
      </c>
      <c r="F189" s="2" t="n">
        <f aca="false">$M189*input!F185</f>
        <v>1255</v>
      </c>
      <c r="G189" s="2" t="n">
        <f aca="false">$M189*input!G185</f>
        <v>6830</v>
      </c>
      <c r="H189" s="2" t="n">
        <f aca="false">$M189*input!H185</f>
        <v>2741</v>
      </c>
      <c r="I189" s="2" t="n">
        <f aca="false">$M189*input!I185</f>
        <v>1671</v>
      </c>
      <c r="J189" s="2" t="n">
        <f aca="false">$M189*input!J185</f>
        <v>2448</v>
      </c>
      <c r="K189" s="2" t="n">
        <f aca="false">$M189*input!K185</f>
        <v>0</v>
      </c>
      <c r="M189" s="3" t="n">
        <v>1</v>
      </c>
    </row>
    <row r="190" customFormat="false" ht="12.75" hidden="false" customHeight="false" outlineLevel="0" collapsed="false">
      <c r="A190" s="14" t="str">
        <f aca="false">input!A186</f>
        <v>B.9.f. TFR + quiescenza + altri costi</v>
      </c>
      <c r="B190" s="2" t="n">
        <f aca="false">$M190*input!B186</f>
        <v>139607</v>
      </c>
      <c r="C190" s="2" t="n">
        <f aca="false">$M190*input!C186</f>
        <v>109826</v>
      </c>
      <c r="D190" s="2" t="n">
        <f aca="false">$M190*input!D186</f>
        <v>119881</v>
      </c>
      <c r="E190" s="2" t="n">
        <f aca="false">$M190*input!E186</f>
        <v>91091</v>
      </c>
      <c r="F190" s="2" t="n">
        <f aca="false">$M190*input!F186</f>
        <v>121182</v>
      </c>
      <c r="G190" s="2" t="n">
        <f aca="false">$M190*input!G186</f>
        <v>153484</v>
      </c>
      <c r="H190" s="2" t="n">
        <f aca="false">$M190*input!H186</f>
        <v>132423</v>
      </c>
      <c r="I190" s="2" t="n">
        <f aca="false">$M190*input!I186</f>
        <v>108526</v>
      </c>
      <c r="J190" s="2" t="n">
        <f aca="false">$M190*input!J186</f>
        <v>86063</v>
      </c>
      <c r="K190" s="2" t="n">
        <f aca="false">$M190*input!K186</f>
        <v>81749</v>
      </c>
      <c r="M190" s="3" t="n">
        <v>1</v>
      </c>
    </row>
    <row r="191" customFormat="false" ht="12.75" hidden="false" customHeight="false" outlineLevel="0" collapsed="false">
      <c r="A191" s="13" t="str">
        <f aca="false">input!A187</f>
        <v>B.10. TOT Ammortamenti e svalut.</v>
      </c>
      <c r="B191" s="2" t="n">
        <f aca="false">$M191*input!B187</f>
        <v>2248638</v>
      </c>
      <c r="C191" s="2" t="n">
        <f aca="false">$M191*input!C187</f>
        <v>1814814</v>
      </c>
      <c r="D191" s="2" t="n">
        <f aca="false">$M191*input!D187</f>
        <v>1196816</v>
      </c>
      <c r="E191" s="2" t="n">
        <f aca="false">$M191*input!E187</f>
        <v>24929</v>
      </c>
      <c r="F191" s="2" t="n">
        <f aca="false">$M191*input!F187</f>
        <v>449770</v>
      </c>
      <c r="G191" s="2" t="n">
        <f aca="false">$M191*input!G187</f>
        <v>1372318</v>
      </c>
      <c r="H191" s="2" t="n">
        <f aca="false">$M191*input!H187</f>
        <v>864963</v>
      </c>
      <c r="I191" s="2" t="n">
        <f aca="false">$M191*input!I187</f>
        <v>503080</v>
      </c>
      <c r="J191" s="2" t="n">
        <f aca="false">$M191*input!J187</f>
        <v>446090</v>
      </c>
      <c r="K191" s="2" t="n">
        <f aca="false">$M191*input!K187</f>
        <v>300110</v>
      </c>
      <c r="L191" s="26"/>
      <c r="M191" s="3" t="n">
        <v>1</v>
      </c>
    </row>
    <row r="192" customFormat="false" ht="12.75" hidden="false" customHeight="false" outlineLevel="0" collapsed="false">
      <c r="A192" s="14" t="str">
        <f aca="false">input!A188</f>
        <v>B.10.a. Amm. Immob. Immat.</v>
      </c>
      <c r="B192" s="2" t="n">
        <f aca="false">$M192*input!B188</f>
        <v>-13245</v>
      </c>
      <c r="C192" s="2" t="n">
        <f aca="false">$M192*input!C188</f>
        <v>-12582</v>
      </c>
      <c r="D192" s="2" t="n">
        <f aca="false">$M192*input!D188</f>
        <v>-21120</v>
      </c>
      <c r="E192" s="2" t="n">
        <f aca="false">$M192*input!E188</f>
        <v>-0</v>
      </c>
      <c r="F192" s="2" t="n">
        <f aca="false">$M192*input!F188</f>
        <v>-32340</v>
      </c>
      <c r="G192" s="2" t="n">
        <f aca="false">$M192*input!G188</f>
        <v>-71332</v>
      </c>
      <c r="H192" s="2" t="n">
        <f aca="false">$M192*input!H188</f>
        <v>-54260</v>
      </c>
      <c r="I192" s="2" t="n">
        <f aca="false">$M192*input!I188</f>
        <v>-49539</v>
      </c>
      <c r="J192" s="2" t="n">
        <f aca="false">$M192*input!J188</f>
        <v>-64927</v>
      </c>
      <c r="K192" s="2" t="n">
        <f aca="false">$M192*input!K188</f>
        <v>-71192</v>
      </c>
      <c r="M192" s="3" t="n">
        <v>-1</v>
      </c>
      <c r="N192" s="3" t="s">
        <v>286</v>
      </c>
    </row>
    <row r="193" customFormat="false" ht="12.75" hidden="false" customHeight="false" outlineLevel="0" collapsed="false">
      <c r="A193" s="14" t="str">
        <f aca="false">input!A189</f>
        <v>B.10.b. Amm. Immob. Mat.</v>
      </c>
      <c r="B193" s="2" t="n">
        <f aca="false">$M193*input!B189</f>
        <v>-2235393</v>
      </c>
      <c r="C193" s="2" t="n">
        <f aca="false">$M193*input!C189</f>
        <v>-1802232</v>
      </c>
      <c r="D193" s="2" t="n">
        <f aca="false">$M193*input!D189</f>
        <v>-1162588</v>
      </c>
      <c r="E193" s="2" t="n">
        <f aca="false">$M193*input!E189</f>
        <v>-0</v>
      </c>
      <c r="F193" s="2" t="n">
        <f aca="false">$M193*input!F189</f>
        <v>-370221</v>
      </c>
      <c r="G193" s="2" t="n">
        <f aca="false">$M193*input!G189</f>
        <v>-1251267</v>
      </c>
      <c r="H193" s="2" t="n">
        <f aca="false">$M193*input!H189</f>
        <v>-777964</v>
      </c>
      <c r="I193" s="2" t="n">
        <f aca="false">$M193*input!I189</f>
        <v>-411531</v>
      </c>
      <c r="J193" s="2" t="n">
        <f aca="false">$M193*input!J189</f>
        <v>-283393</v>
      </c>
      <c r="K193" s="2" t="n">
        <f aca="false">$M193*input!K189</f>
        <v>-162292</v>
      </c>
      <c r="M193" s="3" t="n">
        <v>-1</v>
      </c>
      <c r="N193" s="3" t="s">
        <v>286</v>
      </c>
    </row>
    <row r="194" customFormat="false" ht="12.75" hidden="false" customHeight="false" outlineLevel="0" collapsed="false">
      <c r="A194" s="14" t="str">
        <f aca="false">input!A190</f>
        <v>B.10.c. Altre svalut. Immob.</v>
      </c>
      <c r="B194" s="2" t="n">
        <f aca="false">$M194*input!B190</f>
        <v>-0</v>
      </c>
      <c r="C194" s="2" t="n">
        <f aca="false">$M194*input!C190</f>
        <v>-0</v>
      </c>
      <c r="D194" s="2" t="n">
        <f aca="false">$M194*input!D190</f>
        <v>-0</v>
      </c>
      <c r="E194" s="2" t="n">
        <f aca="false">$M194*input!E190</f>
        <v>-0</v>
      </c>
      <c r="F194" s="2" t="n">
        <f aca="false">$M194*input!F190</f>
        <v>-0</v>
      </c>
      <c r="G194" s="2" t="n">
        <f aca="false">$M194*input!G190</f>
        <v>-0</v>
      </c>
      <c r="H194" s="2" t="n">
        <f aca="false">$M194*input!H190</f>
        <v>-0</v>
      </c>
      <c r="I194" s="2" t="n">
        <f aca="false">$M194*input!I190</f>
        <v>-0</v>
      </c>
      <c r="J194" s="2" t="n">
        <f aca="false">$M194*input!J190</f>
        <v>-0</v>
      </c>
      <c r="K194" s="2" t="n">
        <f aca="false">$M194*input!K190</f>
        <v>-0</v>
      </c>
      <c r="M194" s="3" t="n">
        <v>-1</v>
      </c>
      <c r="N194" s="3" t="s">
        <v>287</v>
      </c>
    </row>
    <row r="195" customFormat="false" ht="12.75" hidden="false" customHeight="false" outlineLevel="0" collapsed="false">
      <c r="A195" s="14" t="str">
        <f aca="false">input!A191</f>
        <v>B.10.a+b+c. Amm. e svalut. delle immob.</v>
      </c>
      <c r="B195" s="2" t="n">
        <f aca="false">$M195*input!B191</f>
        <v>2248638</v>
      </c>
      <c r="C195" s="2" t="n">
        <f aca="false">$M195*input!C191</f>
        <v>1814814</v>
      </c>
      <c r="D195" s="2" t="n">
        <f aca="false">$M195*input!D191</f>
        <v>1183708</v>
      </c>
      <c r="E195" s="2" t="n">
        <f aca="false">$M195*input!E191</f>
        <v>0</v>
      </c>
      <c r="F195" s="2" t="n">
        <f aca="false">$M195*input!F191</f>
        <v>402561</v>
      </c>
      <c r="G195" s="2" t="n">
        <f aca="false">$M195*input!G191</f>
        <v>1322599</v>
      </c>
      <c r="H195" s="2" t="n">
        <f aca="false">$M195*input!H191</f>
        <v>832224</v>
      </c>
      <c r="I195" s="2" t="n">
        <f aca="false">$M195*input!I191</f>
        <v>461070</v>
      </c>
      <c r="J195" s="2" t="n">
        <f aca="false">$M195*input!J191</f>
        <v>348320</v>
      </c>
      <c r="K195" s="2" t="n">
        <f aca="false">$M195*input!K191</f>
        <v>233484</v>
      </c>
      <c r="M195" s="3" t="n">
        <v>1</v>
      </c>
    </row>
    <row r="196" customFormat="false" ht="12.75" hidden="false" customHeight="false" outlineLevel="0" collapsed="false">
      <c r="A196" s="14" t="str">
        <f aca="false">input!A192</f>
        <v>B.10.d. Svalut. crediti</v>
      </c>
      <c r="B196" s="2" t="n">
        <f aca="false">$M196*input!B192</f>
        <v>-0</v>
      </c>
      <c r="C196" s="2" t="n">
        <f aca="false">$M196*input!C192</f>
        <v>-0</v>
      </c>
      <c r="D196" s="2" t="n">
        <f aca="false">$M196*input!D192</f>
        <v>-13108</v>
      </c>
      <c r="E196" s="2" t="n">
        <f aca="false">$M196*input!E192</f>
        <v>-24929</v>
      </c>
      <c r="F196" s="2" t="n">
        <f aca="false">$M196*input!F192</f>
        <v>-47209</v>
      </c>
      <c r="G196" s="2" t="n">
        <f aca="false">$M196*input!G192</f>
        <v>-49719</v>
      </c>
      <c r="H196" s="2" t="n">
        <f aca="false">$M196*input!H192</f>
        <v>-32739</v>
      </c>
      <c r="I196" s="2" t="n">
        <f aca="false">$M196*input!I192</f>
        <v>-42010</v>
      </c>
      <c r="J196" s="2" t="n">
        <f aca="false">$M196*input!J192</f>
        <v>-97770</v>
      </c>
      <c r="K196" s="2" t="n">
        <f aca="false">$M196*input!K192</f>
        <v>-66626</v>
      </c>
      <c r="M196" s="3" t="n">
        <v>-1</v>
      </c>
      <c r="N196" s="3" t="s">
        <v>287</v>
      </c>
    </row>
    <row r="197" customFormat="false" ht="12.75" hidden="false" customHeight="false" outlineLevel="0" collapsed="false">
      <c r="A197" s="13" t="str">
        <f aca="false">input!A193</f>
        <v>B.11. Variazione materie</v>
      </c>
      <c r="B197" s="2" t="n">
        <f aca="false">$M197*input!B193</f>
        <v>-46126</v>
      </c>
      <c r="C197" s="2" t="n">
        <f aca="false">$M197*input!C193</f>
        <v>-7412</v>
      </c>
      <c r="D197" s="2" t="n">
        <f aca="false">$M197*input!D193</f>
        <v>469309</v>
      </c>
      <c r="E197" s="2" t="n">
        <f aca="false">$M197*input!E193</f>
        <v>96182</v>
      </c>
      <c r="F197" s="2" t="n">
        <f aca="false">$M197*input!F193</f>
        <v>-112764</v>
      </c>
      <c r="G197" s="2" t="n">
        <f aca="false">$M197*input!G193</f>
        <v>-98266</v>
      </c>
      <c r="H197" s="2" t="n">
        <f aca="false">$M197*input!H193</f>
        <v>-13409</v>
      </c>
      <c r="I197" s="2" t="n">
        <f aca="false">$M197*input!I193</f>
        <v>-35809</v>
      </c>
      <c r="J197" s="2" t="n">
        <f aca="false">$M197*input!J193</f>
        <v>31952</v>
      </c>
      <c r="K197" s="2" t="n">
        <f aca="false">$M197*input!K193</f>
        <v>40195</v>
      </c>
      <c r="M197" s="3" t="n">
        <v>-1</v>
      </c>
      <c r="N197" s="3" t="s">
        <v>288</v>
      </c>
    </row>
    <row r="198" customFormat="false" ht="12.75" hidden="false" customHeight="false" outlineLevel="0" collapsed="false">
      <c r="A198" s="13" t="str">
        <f aca="false">input!A194</f>
        <v>B.12. Accantonamenti per rischi</v>
      </c>
      <c r="B198" s="2" t="n">
        <f aca="false">$M198*input!B194</f>
        <v>-0</v>
      </c>
      <c r="C198" s="2" t="n">
        <f aca="false">$M198*input!C194</f>
        <v>-0</v>
      </c>
      <c r="D198" s="2" t="n">
        <f aca="false">$M198*input!D194</f>
        <v>-8000</v>
      </c>
      <c r="E198" s="2" t="n">
        <f aca="false">$M198*input!E194</f>
        <v>-0</v>
      </c>
      <c r="F198" s="2" t="n">
        <f aca="false">$M198*input!F194</f>
        <v>-12660</v>
      </c>
      <c r="G198" s="2" t="n">
        <f aca="false">$M198*input!G194</f>
        <v>-0</v>
      </c>
      <c r="H198" s="2" t="n">
        <f aca="false">$M198*input!H194</f>
        <v>-0</v>
      </c>
      <c r="I198" s="2" t="n">
        <f aca="false">$M198*input!I194</f>
        <v>-0</v>
      </c>
      <c r="J198" s="2" t="n">
        <f aca="false">$M198*input!J194</f>
        <v>-0</v>
      </c>
      <c r="K198" s="2" t="n">
        <f aca="false">$M198*input!K194</f>
        <v>-0</v>
      </c>
      <c r="M198" s="3" t="n">
        <v>-1</v>
      </c>
      <c r="N198" s="3" t="s">
        <v>286</v>
      </c>
    </row>
    <row r="199" customFormat="false" ht="12.75" hidden="false" customHeight="false" outlineLevel="0" collapsed="false">
      <c r="A199" s="13" t="str">
        <f aca="false">input!A195</f>
        <v>B.13. Altri accantonamenti</v>
      </c>
      <c r="B199" s="2" t="n">
        <f aca="false">$M199*input!B195</f>
        <v>-0</v>
      </c>
      <c r="C199" s="2" t="n">
        <f aca="false">$M199*input!C195</f>
        <v>-0</v>
      </c>
      <c r="D199" s="2" t="n">
        <f aca="false">$M199*input!D195</f>
        <v>-0</v>
      </c>
      <c r="E199" s="2" t="n">
        <f aca="false">$M199*input!E195</f>
        <v>-0</v>
      </c>
      <c r="F199" s="2" t="n">
        <f aca="false">$M199*input!F195</f>
        <v>-0</v>
      </c>
      <c r="G199" s="2" t="n">
        <f aca="false">$M199*input!G195</f>
        <v>-0</v>
      </c>
      <c r="H199" s="2" t="n">
        <f aca="false">$M199*input!H195</f>
        <v>-0</v>
      </c>
      <c r="I199" s="2" t="n">
        <f aca="false">$M199*input!I195</f>
        <v>-0</v>
      </c>
      <c r="J199" s="2" t="n">
        <f aca="false">$M199*input!J195</f>
        <v>-0</v>
      </c>
      <c r="K199" s="2" t="n">
        <f aca="false">$M199*input!K195</f>
        <v>-0</v>
      </c>
      <c r="M199" s="3" t="n">
        <v>-1</v>
      </c>
      <c r="N199" s="3" t="s">
        <v>286</v>
      </c>
    </row>
    <row r="200" customFormat="false" ht="12.75" hidden="false" customHeight="false" outlineLevel="0" collapsed="false">
      <c r="A200" s="13" t="str">
        <f aca="false">input!A196</f>
        <v>B.14. Oneri diversi di gestione</v>
      </c>
      <c r="B200" s="2" t="n">
        <f aca="false">$M200*input!B196</f>
        <v>-319573</v>
      </c>
      <c r="C200" s="2" t="n">
        <f aca="false">$M200*input!C196</f>
        <v>-251170</v>
      </c>
      <c r="D200" s="2" t="n">
        <f aca="false">$M200*input!D196</f>
        <v>-219422</v>
      </c>
      <c r="E200" s="2" t="n">
        <f aca="false">$M200*input!E196</f>
        <v>-197180</v>
      </c>
      <c r="F200" s="2" t="n">
        <f aca="false">$M200*input!F196</f>
        <v>-17808509</v>
      </c>
      <c r="G200" s="2" t="n">
        <f aca="false">$M200*input!G196</f>
        <v>-286978</v>
      </c>
      <c r="H200" s="2" t="n">
        <f aca="false">$M200*input!H196</f>
        <v>-108626</v>
      </c>
      <c r="I200" s="2" t="n">
        <f aca="false">$M200*input!I196</f>
        <v>-110096</v>
      </c>
      <c r="J200" s="2" t="n">
        <f aca="false">$M200*input!J196</f>
        <v>-157692</v>
      </c>
      <c r="K200" s="2" t="n">
        <f aca="false">$M200*input!K196</f>
        <v>-138967</v>
      </c>
      <c r="M200" s="3" t="n">
        <v>-1</v>
      </c>
      <c r="N200" s="3" t="s">
        <v>289</v>
      </c>
    </row>
    <row r="201" s="19" customFormat="true" ht="12.75" hidden="false" customHeight="false" outlineLevel="0" collapsed="false">
      <c r="A201" s="27" t="str">
        <f aca="false">input!A197</f>
        <v>RISULTATO OPERATIVO</v>
      </c>
      <c r="B201" s="28" t="n">
        <f aca="false">$M201*input!B197</f>
        <v>2250947</v>
      </c>
      <c r="C201" s="28" t="n">
        <f aca="false">$M201*input!C197</f>
        <v>1866122</v>
      </c>
      <c r="D201" s="28" t="n">
        <f aca="false">$M201*input!D197</f>
        <v>1034823</v>
      </c>
      <c r="E201" s="28" t="n">
        <f aca="false">$M201*input!E197</f>
        <v>-194384</v>
      </c>
      <c r="F201" s="28" t="n">
        <f aca="false">$M201*input!F197</f>
        <v>2930237</v>
      </c>
      <c r="G201" s="28" t="n">
        <f aca="false">$M201*input!G197</f>
        <v>-1450973</v>
      </c>
      <c r="H201" s="28" t="n">
        <f aca="false">$M201*input!H197</f>
        <v>846537</v>
      </c>
      <c r="I201" s="28" t="n">
        <f aca="false">$M201*input!I197</f>
        <v>560700</v>
      </c>
      <c r="J201" s="28" t="n">
        <f aca="false">$M201*input!J197</f>
        <v>782945</v>
      </c>
      <c r="K201" s="28" t="n">
        <f aca="false">$M201*input!K197</f>
        <v>933365</v>
      </c>
      <c r="M201" s="19" t="n">
        <v>1</v>
      </c>
      <c r="O201" s="29"/>
    </row>
    <row r="202" s="31" customFormat="true" ht="12.75" hidden="false" customHeight="false" outlineLevel="0" collapsed="false">
      <c r="A202" s="13" t="str">
        <f aca="false">input!A198</f>
        <v>Valore Aggiunto</v>
      </c>
      <c r="B202" s="30" t="n">
        <f aca="false">$M202*input!B198</f>
        <v>7181510</v>
      </c>
      <c r="C202" s="30" t="n">
        <f aca="false">$M202*input!C198</f>
        <v>5812513</v>
      </c>
      <c r="D202" s="30" t="n">
        <f aca="false">$M202*input!D198</f>
        <v>4190880</v>
      </c>
      <c r="E202" s="30" t="n">
        <f aca="false">$M202*input!E198</f>
        <v>1074188</v>
      </c>
      <c r="F202" s="30" t="n">
        <f aca="false">$M202*input!F198</f>
        <v>5312543</v>
      </c>
      <c r="G202" s="30" t="n">
        <f aca="false">$M202*input!G198</f>
        <v>3141715</v>
      </c>
      <c r="H202" s="30" t="n">
        <f aca="false">$M202*input!H198</f>
        <v>4270733</v>
      </c>
      <c r="I202" s="30" t="n">
        <f aca="false">$M202*input!I198</f>
        <v>3057305</v>
      </c>
      <c r="J202" s="30" t="n">
        <f aca="false">$M202*input!J198</f>
        <v>2890142</v>
      </c>
      <c r="K202" s="30" t="n">
        <f aca="false">$M202*input!K198</f>
        <v>2783531</v>
      </c>
      <c r="M202" s="31" t="n">
        <v>1</v>
      </c>
    </row>
    <row r="203" s="11" customFormat="true" ht="13.5" hidden="false" customHeight="true" outlineLevel="0" collapsed="false">
      <c r="A203" s="9" t="str">
        <f aca="false">input!A199</f>
        <v>C. TOTALE PROVENTI E ONERI FINANZIARI</v>
      </c>
      <c r="B203" s="10" t="n">
        <f aca="false">$M203*input!B199</f>
        <v>-1732106</v>
      </c>
      <c r="C203" s="10" t="n">
        <f aca="false">$M203*input!C199</f>
        <v>-1480099</v>
      </c>
      <c r="D203" s="10" t="n">
        <f aca="false">$M203*input!D199</f>
        <v>-774185</v>
      </c>
      <c r="E203" s="10" t="n">
        <f aca="false">$M203*input!E199</f>
        <v>-342133</v>
      </c>
      <c r="F203" s="10" t="n">
        <f aca="false">$M203*input!F199</f>
        <v>-519613</v>
      </c>
      <c r="G203" s="10" t="n">
        <f aca="false">$M203*input!G199</f>
        <v>-322772</v>
      </c>
      <c r="H203" s="10" t="n">
        <f aca="false">$M203*input!H199</f>
        <v>-221926</v>
      </c>
      <c r="I203" s="10" t="n">
        <f aca="false">$M203*input!I199</f>
        <v>-107524</v>
      </c>
      <c r="J203" s="10" t="n">
        <f aca="false">$M203*input!J199</f>
        <v>-33296</v>
      </c>
      <c r="K203" s="10" t="n">
        <f aca="false">$M203*input!K199</f>
        <v>-41362</v>
      </c>
      <c r="M203" s="11" t="n">
        <v>1</v>
      </c>
    </row>
    <row r="204" customFormat="false" ht="12.75" hidden="false" customHeight="false" outlineLevel="0" collapsed="false">
      <c r="A204" s="13" t="str">
        <f aca="false">input!A200</f>
        <v>C.15. Tot. proventi da partecip.</v>
      </c>
      <c r="B204" s="2" t="n">
        <f aca="false">$M204*input!B200</f>
        <v>153</v>
      </c>
      <c r="C204" s="2" t="n">
        <f aca="false">$M204*input!C200</f>
        <v>103</v>
      </c>
      <c r="D204" s="2" t="n">
        <f aca="false">$M204*input!D200</f>
        <v>100</v>
      </c>
      <c r="E204" s="2" t="n">
        <f aca="false">$M204*input!E200</f>
        <v>0</v>
      </c>
      <c r="F204" s="2" t="n">
        <f aca="false">$M204*input!F200</f>
        <v>0</v>
      </c>
      <c r="G204" s="2" t="n">
        <f aca="false">$M204*input!G200</f>
        <v>45</v>
      </c>
      <c r="H204" s="2" t="n">
        <f aca="false">$M204*input!H200</f>
        <v>33</v>
      </c>
      <c r="I204" s="2" t="n">
        <f aca="false">$M204*input!I200</f>
        <v>0</v>
      </c>
      <c r="J204" s="2" t="n">
        <f aca="false">$M204*input!J200</f>
        <v>45</v>
      </c>
      <c r="K204" s="2" t="n">
        <f aca="false">$M204*input!K200</f>
        <v>45</v>
      </c>
      <c r="M204" s="3" t="n">
        <v>1</v>
      </c>
      <c r="N204" s="3" t="s">
        <v>290</v>
      </c>
    </row>
    <row r="205" customFormat="false" ht="12.75" hidden="false" customHeight="false" outlineLevel="0" collapsed="false">
      <c r="A205" s="14" t="str">
        <f aca="false">input!A201</f>
        <v>di cui: verso contr.anti, collegate, contr.te e sottoposte ctrl controllanti</v>
      </c>
      <c r="B205" s="2" t="n">
        <f aca="false">$M205*input!B201</f>
        <v>0</v>
      </c>
      <c r="C205" s="2" t="n">
        <f aca="false">$M205*input!C201</f>
        <v>0</v>
      </c>
      <c r="D205" s="2" t="n">
        <f aca="false">$M205*input!D201</f>
        <v>0</v>
      </c>
      <c r="E205" s="2" t="n">
        <f aca="false">$M205*input!E201</f>
        <v>0</v>
      </c>
      <c r="F205" s="2" t="n">
        <f aca="false">$M205*input!F201</f>
        <v>0</v>
      </c>
      <c r="G205" s="2" t="n">
        <f aca="false">$M205*input!G201</f>
        <v>0</v>
      </c>
      <c r="H205" s="2" t="n">
        <f aca="false">$M205*input!H201</f>
        <v>0</v>
      </c>
      <c r="I205" s="2" t="n">
        <f aca="false">$M205*input!I201</f>
        <v>0</v>
      </c>
      <c r="J205" s="2" t="n">
        <f aca="false">$M205*input!J201</f>
        <v>0</v>
      </c>
      <c r="K205" s="2" t="n">
        <f aca="false">$M205*input!K201</f>
        <v>0</v>
      </c>
      <c r="M205" s="3" t="n">
        <v>1</v>
      </c>
    </row>
    <row r="206" customFormat="false" ht="12.75" hidden="false" customHeight="false" outlineLevel="0" collapsed="false">
      <c r="A206" s="14" t="str">
        <f aca="false">input!A202</f>
        <v>di cui: da imprese controllanti</v>
      </c>
      <c r="B206" s="2" t="n">
        <f aca="false">$M206*input!B202</f>
        <v>0</v>
      </c>
      <c r="C206" s="2" t="n">
        <f aca="false">$M206*input!C202</f>
        <v>0</v>
      </c>
      <c r="D206" s="2" t="n">
        <f aca="false">$M206*input!D202</f>
        <v>0</v>
      </c>
      <c r="E206" s="2" t="n">
        <f aca="false">$M206*input!E202</f>
        <v>0</v>
      </c>
      <c r="F206" s="2" t="n">
        <f aca="false">$M206*input!F202</f>
        <v>0</v>
      </c>
      <c r="G206" s="2" t="n">
        <f aca="false">$M206*input!G202</f>
        <v>0</v>
      </c>
      <c r="H206" s="2" t="n">
        <f aca="false">$M206*input!H202</f>
        <v>0</v>
      </c>
      <c r="I206" s="2" t="n">
        <f aca="false">$M206*input!I202</f>
        <v>0</v>
      </c>
      <c r="J206" s="2" t="n">
        <f aca="false">$M206*input!J202</f>
        <v>0</v>
      </c>
      <c r="K206" s="2" t="n">
        <f aca="false">$M206*input!K202</f>
        <v>0</v>
      </c>
      <c r="M206" s="3" t="n">
        <v>1</v>
      </c>
    </row>
    <row r="207" customFormat="false" ht="12.75" hidden="false" customHeight="false" outlineLevel="0" collapsed="false">
      <c r="A207" s="14" t="str">
        <f aca="false">input!A203</f>
        <v>di cui: da imprese sottoposte al controllo delle controllanti</v>
      </c>
      <c r="B207" s="2" t="n">
        <f aca="false">$M207*input!B203</f>
        <v>0</v>
      </c>
      <c r="C207" s="2" t="n">
        <f aca="false">$M207*input!C203</f>
        <v>0</v>
      </c>
      <c r="D207" s="2" t="n">
        <f aca="false">$M207*input!D203</f>
        <v>0</v>
      </c>
      <c r="E207" s="2" t="n">
        <f aca="false">$M207*input!E203</f>
        <v>0</v>
      </c>
      <c r="F207" s="2" t="n">
        <f aca="false">$M207*input!F203</f>
        <v>0</v>
      </c>
      <c r="G207" s="2" t="n">
        <f aca="false">$M207*input!G203</f>
        <v>0</v>
      </c>
      <c r="H207" s="2" t="n">
        <f aca="false">$M207*input!H203</f>
        <v>0</v>
      </c>
      <c r="I207" s="2" t="n">
        <f aca="false">$M207*input!I203</f>
        <v>0</v>
      </c>
      <c r="J207" s="2" t="n">
        <f aca="false">$M207*input!J203</f>
        <v>0</v>
      </c>
      <c r="K207" s="2" t="n">
        <f aca="false">$M207*input!K203</f>
        <v>0</v>
      </c>
      <c r="M207" s="3" t="n">
        <v>1</v>
      </c>
    </row>
    <row r="208" customFormat="false" ht="12.75" hidden="false" customHeight="false" outlineLevel="0" collapsed="false">
      <c r="A208" s="13" t="str">
        <f aca="false">input!A204</f>
        <v>C.16. TOT Altri Proventi</v>
      </c>
      <c r="B208" s="2" t="n">
        <f aca="false">$M208*input!B204</f>
        <v>5374</v>
      </c>
      <c r="C208" s="2" t="n">
        <f aca="false">$M208*input!C204</f>
        <v>2140</v>
      </c>
      <c r="D208" s="2" t="n">
        <f aca="false">$M208*input!D204</f>
        <v>15784</v>
      </c>
      <c r="E208" s="2" t="n">
        <f aca="false">$M208*input!E204</f>
        <v>12748</v>
      </c>
      <c r="F208" s="2" t="n">
        <f aca="false">$M208*input!F204</f>
        <v>3629</v>
      </c>
      <c r="G208" s="2" t="n">
        <f aca="false">$M208*input!G204</f>
        <v>60859</v>
      </c>
      <c r="H208" s="2" t="n">
        <f aca="false">$M208*input!H204</f>
        <v>95281</v>
      </c>
      <c r="I208" s="2" t="n">
        <f aca="false">$M208*input!I204</f>
        <v>78396</v>
      </c>
      <c r="J208" s="2" t="n">
        <f aca="false">$M208*input!J204</f>
        <v>75853</v>
      </c>
      <c r="K208" s="2" t="n">
        <f aca="false">$M208*input!K204</f>
        <v>131798</v>
      </c>
      <c r="M208" s="3" t="n">
        <v>1</v>
      </c>
    </row>
    <row r="209" customFormat="false" ht="12.75" hidden="false" customHeight="false" outlineLevel="0" collapsed="false">
      <c r="A209" s="14" t="str">
        <f aca="false">input!A205</f>
        <v>C.16.a. Da Crediti</v>
      </c>
      <c r="B209" s="2" t="n">
        <f aca="false">$M209*input!B205</f>
        <v>0</v>
      </c>
      <c r="C209" s="2" t="n">
        <f aca="false">$M209*input!C205</f>
        <v>0</v>
      </c>
      <c r="D209" s="2" t="n">
        <f aca="false">$M209*input!D205</f>
        <v>0</v>
      </c>
      <c r="E209" s="2" t="n">
        <f aca="false">$M209*input!E205</f>
        <v>0</v>
      </c>
      <c r="F209" s="2" t="n">
        <f aca="false">$M209*input!F205</f>
        <v>0</v>
      </c>
      <c r="G209" s="2" t="n">
        <f aca="false">$M209*input!G205</f>
        <v>0</v>
      </c>
      <c r="H209" s="2" t="n">
        <f aca="false">$M209*input!H205</f>
        <v>0</v>
      </c>
      <c r="I209" s="2" t="n">
        <f aca="false">$M209*input!I205</f>
        <v>0</v>
      </c>
      <c r="J209" s="2" t="n">
        <f aca="false">$M209*input!J205</f>
        <v>0</v>
      </c>
      <c r="K209" s="2" t="n">
        <f aca="false">$M209*input!K205</f>
        <v>0</v>
      </c>
      <c r="M209" s="3" t="n">
        <v>1</v>
      </c>
      <c r="N209" s="3" t="s">
        <v>291</v>
      </c>
    </row>
    <row r="210" customFormat="false" ht="12.75" hidden="false" customHeight="false" outlineLevel="0" collapsed="false">
      <c r="A210" s="15" t="str">
        <f aca="false">input!A206</f>
        <v>di cui: verso contr.anti, collegate, contr.te e sottoposte ctrl controllanti</v>
      </c>
      <c r="B210" s="2" t="n">
        <f aca="false">$M210*input!B206</f>
        <v>0</v>
      </c>
      <c r="C210" s="2" t="n">
        <f aca="false">$M210*input!C206</f>
        <v>0</v>
      </c>
      <c r="D210" s="2" t="n">
        <f aca="false">$M210*input!D206</f>
        <v>0</v>
      </c>
      <c r="E210" s="2" t="n">
        <f aca="false">$M210*input!E206</f>
        <v>0</v>
      </c>
      <c r="F210" s="2" t="n">
        <f aca="false">$M210*input!F206</f>
        <v>0</v>
      </c>
      <c r="G210" s="2" t="n">
        <f aca="false">$M210*input!G206</f>
        <v>0</v>
      </c>
      <c r="H210" s="2" t="n">
        <f aca="false">$M210*input!H206</f>
        <v>0</v>
      </c>
      <c r="I210" s="2" t="n">
        <f aca="false">$M210*input!I206</f>
        <v>0</v>
      </c>
      <c r="J210" s="2" t="n">
        <f aca="false">$M210*input!J206</f>
        <v>0</v>
      </c>
      <c r="K210" s="2" t="n">
        <f aca="false">$M210*input!K206</f>
        <v>0</v>
      </c>
      <c r="M210" s="3" t="n">
        <v>1</v>
      </c>
    </row>
    <row r="211" customFormat="false" ht="12.75" hidden="false" customHeight="false" outlineLevel="0" collapsed="false">
      <c r="A211" s="15" t="str">
        <f aca="false">input!A207</f>
        <v>di cui: da imprese sottoposte al controllo delle controllanti</v>
      </c>
      <c r="B211" s="2" t="n">
        <f aca="false">$M211*input!B207</f>
        <v>0</v>
      </c>
      <c r="C211" s="2" t="n">
        <f aca="false">$M211*input!C207</f>
        <v>0</v>
      </c>
      <c r="D211" s="2" t="n">
        <f aca="false">$M211*input!D207</f>
        <v>0</v>
      </c>
      <c r="E211" s="2" t="n">
        <f aca="false">$M211*input!E207</f>
        <v>0</v>
      </c>
      <c r="F211" s="2" t="n">
        <f aca="false">$M211*input!F207</f>
        <v>0</v>
      </c>
      <c r="G211" s="2" t="n">
        <f aca="false">$M211*input!G207</f>
        <v>0</v>
      </c>
      <c r="H211" s="2" t="n">
        <f aca="false">$M211*input!H207</f>
        <v>0</v>
      </c>
      <c r="I211" s="2" t="n">
        <f aca="false">$M211*input!I207</f>
        <v>0</v>
      </c>
      <c r="J211" s="2" t="n">
        <f aca="false">$M211*input!J207</f>
        <v>0</v>
      </c>
      <c r="K211" s="2" t="n">
        <f aca="false">$M211*input!K207</f>
        <v>0</v>
      </c>
      <c r="M211" s="3" t="n">
        <v>1</v>
      </c>
    </row>
    <row r="212" customFormat="false" ht="12.75" hidden="false" customHeight="false" outlineLevel="0" collapsed="false">
      <c r="A212" s="14" t="str">
        <f aca="false">input!A208</f>
        <v>C.16.b. Da titoli iscr. imm.</v>
      </c>
      <c r="B212" s="2" t="n">
        <f aca="false">$M212*input!B208</f>
        <v>0</v>
      </c>
      <c r="C212" s="2" t="n">
        <f aca="false">$M212*input!C208</f>
        <v>0</v>
      </c>
      <c r="D212" s="2" t="n">
        <f aca="false">$M212*input!D208</f>
        <v>0</v>
      </c>
      <c r="E212" s="2" t="n">
        <f aca="false">$M212*input!E208</f>
        <v>0</v>
      </c>
      <c r="F212" s="2" t="n">
        <f aca="false">$M212*input!F208</f>
        <v>0</v>
      </c>
      <c r="G212" s="2" t="n">
        <f aca="false">$M212*input!G208</f>
        <v>0</v>
      </c>
      <c r="H212" s="2" t="n">
        <f aca="false">$M212*input!H208</f>
        <v>0</v>
      </c>
      <c r="I212" s="2" t="n">
        <f aca="false">$M212*input!I208</f>
        <v>0</v>
      </c>
      <c r="J212" s="2" t="n">
        <f aca="false">$M212*input!J208</f>
        <v>0</v>
      </c>
      <c r="K212" s="2" t="n">
        <f aca="false">$M212*input!K208</f>
        <v>0</v>
      </c>
      <c r="M212" s="3" t="n">
        <v>1</v>
      </c>
      <c r="N212" s="3" t="s">
        <v>291</v>
      </c>
    </row>
    <row r="213" customFormat="false" ht="12.75" hidden="false" customHeight="false" outlineLevel="0" collapsed="false">
      <c r="A213" s="14" t="str">
        <f aca="false">input!A209</f>
        <v>C.16.c. Da titoli iscr. att.circol.</v>
      </c>
      <c r="B213" s="2" t="n">
        <f aca="false">$M213*input!B209</f>
        <v>0</v>
      </c>
      <c r="C213" s="2" t="n">
        <f aca="false">$M213*input!C209</f>
        <v>0</v>
      </c>
      <c r="D213" s="2" t="n">
        <f aca="false">$M213*input!D209</f>
        <v>0</v>
      </c>
      <c r="E213" s="2" t="n">
        <f aca="false">$M213*input!E209</f>
        <v>0</v>
      </c>
      <c r="F213" s="2" t="n">
        <f aca="false">$M213*input!F209</f>
        <v>0</v>
      </c>
      <c r="G213" s="2" t="n">
        <f aca="false">$M213*input!G209</f>
        <v>0</v>
      </c>
      <c r="H213" s="2" t="n">
        <f aca="false">$M213*input!H209</f>
        <v>0</v>
      </c>
      <c r="I213" s="2" t="n">
        <f aca="false">$M213*input!I209</f>
        <v>0</v>
      </c>
      <c r="J213" s="2" t="n">
        <f aca="false">$M213*input!J209</f>
        <v>0</v>
      </c>
      <c r="K213" s="2" t="n">
        <f aca="false">$M213*input!K209</f>
        <v>0</v>
      </c>
      <c r="M213" s="3" t="n">
        <v>1</v>
      </c>
      <c r="N213" s="3" t="s">
        <v>291</v>
      </c>
    </row>
    <row r="214" customFormat="false" ht="12.75" hidden="false" customHeight="false" outlineLevel="0" collapsed="false">
      <c r="A214" s="14" t="str">
        <f aca="false">input!A210</f>
        <v>C.16.b+c. Proventi da Titoli</v>
      </c>
      <c r="B214" s="2" t="n">
        <f aca="false">$M214*input!B210</f>
        <v>0</v>
      </c>
      <c r="C214" s="2" t="n">
        <f aca="false">$M214*input!C210</f>
        <v>0</v>
      </c>
      <c r="D214" s="2" t="n">
        <f aca="false">$M214*input!D210</f>
        <v>0</v>
      </c>
      <c r="E214" s="2" t="n">
        <f aca="false">$M214*input!E210</f>
        <v>0</v>
      </c>
      <c r="F214" s="2" t="n">
        <f aca="false">$M214*input!F210</f>
        <v>0</v>
      </c>
      <c r="G214" s="2" t="n">
        <f aca="false">$M214*input!G210</f>
        <v>0</v>
      </c>
      <c r="H214" s="2" t="n">
        <f aca="false">$M214*input!H210</f>
        <v>0</v>
      </c>
      <c r="I214" s="2" t="n">
        <f aca="false">$M214*input!I210</f>
        <v>0</v>
      </c>
      <c r="J214" s="2" t="n">
        <f aca="false">$M214*input!J210</f>
        <v>0</v>
      </c>
      <c r="K214" s="2" t="n">
        <f aca="false">$M214*input!K210</f>
        <v>0</v>
      </c>
      <c r="M214" s="3" t="n">
        <v>1</v>
      </c>
    </row>
    <row r="215" customFormat="false" ht="12.75" hidden="false" customHeight="false" outlineLevel="0" collapsed="false">
      <c r="A215" s="14" t="str">
        <f aca="false">input!A211</f>
        <v>C.16.d. Proventi fin. Diversi</v>
      </c>
      <c r="B215" s="2" t="n">
        <f aca="false">$M215*input!B211</f>
        <v>5374</v>
      </c>
      <c r="C215" s="2" t="n">
        <f aca="false">$M215*input!C211</f>
        <v>2140</v>
      </c>
      <c r="D215" s="2" t="n">
        <f aca="false">$M215*input!D211</f>
        <v>15784</v>
      </c>
      <c r="E215" s="2" t="n">
        <f aca="false">$M215*input!E211</f>
        <v>12748</v>
      </c>
      <c r="F215" s="2" t="n">
        <f aca="false">$M215*input!F211</f>
        <v>3629</v>
      </c>
      <c r="G215" s="2" t="n">
        <f aca="false">$M215*input!G211</f>
        <v>60859</v>
      </c>
      <c r="H215" s="2" t="n">
        <f aca="false">$M215*input!H211</f>
        <v>95281</v>
      </c>
      <c r="I215" s="2" t="n">
        <f aca="false">$M215*input!I211</f>
        <v>78396</v>
      </c>
      <c r="J215" s="2" t="n">
        <f aca="false">$M215*input!J211</f>
        <v>75853</v>
      </c>
      <c r="K215" s="2" t="n">
        <f aca="false">$M215*input!K211</f>
        <v>131798</v>
      </c>
      <c r="M215" s="3" t="n">
        <v>1</v>
      </c>
      <c r="N215" s="3" t="s">
        <v>291</v>
      </c>
    </row>
    <row r="216" customFormat="false" ht="12.75" hidden="false" customHeight="false" outlineLevel="0" collapsed="false">
      <c r="A216" s="15" t="str">
        <f aca="false">input!A212</f>
        <v>di cui: verso contr.anti, collegate, contr.te e sottoposte ctrl controllantil</v>
      </c>
      <c r="B216" s="2" t="n">
        <f aca="false">$M216*input!B212</f>
        <v>0</v>
      </c>
      <c r="C216" s="2" t="n">
        <f aca="false">$M216*input!C212</f>
        <v>0</v>
      </c>
      <c r="D216" s="2" t="n">
        <f aca="false">$M216*input!D212</f>
        <v>0</v>
      </c>
      <c r="E216" s="2" t="n">
        <f aca="false">$M216*input!E212</f>
        <v>0</v>
      </c>
      <c r="F216" s="2" t="n">
        <f aca="false">$M216*input!F212</f>
        <v>0</v>
      </c>
      <c r="G216" s="2" t="n">
        <f aca="false">$M216*input!G212</f>
        <v>0</v>
      </c>
      <c r="H216" s="2" t="n">
        <f aca="false">$M216*input!H212</f>
        <v>0</v>
      </c>
      <c r="I216" s="2" t="n">
        <f aca="false">$M216*input!I212</f>
        <v>0</v>
      </c>
      <c r="J216" s="2" t="n">
        <f aca="false">$M216*input!J212</f>
        <v>0</v>
      </c>
      <c r="K216" s="2" t="n">
        <f aca="false">$M216*input!K212</f>
        <v>0</v>
      </c>
      <c r="M216" s="3" t="n">
        <v>1</v>
      </c>
    </row>
    <row r="217" customFormat="false" ht="12.75" hidden="false" customHeight="false" outlineLevel="0" collapsed="false">
      <c r="A217" s="15" t="str">
        <f aca="false">input!A213</f>
        <v>di cui: da imprese sottoposte al controllo delle controllanti</v>
      </c>
      <c r="B217" s="2" t="n">
        <f aca="false">$M217*input!B213</f>
        <v>0</v>
      </c>
      <c r="C217" s="2" t="n">
        <f aca="false">$M217*input!C213</f>
        <v>0</v>
      </c>
      <c r="D217" s="2" t="n">
        <f aca="false">$M217*input!D213</f>
        <v>0</v>
      </c>
      <c r="E217" s="2" t="n">
        <f aca="false">$M217*input!E213</f>
        <v>0</v>
      </c>
      <c r="F217" s="2" t="n">
        <f aca="false">$M217*input!F213</f>
        <v>0</v>
      </c>
      <c r="G217" s="2" t="n">
        <f aca="false">$M217*input!G213</f>
        <v>0</v>
      </c>
      <c r="H217" s="2" t="n">
        <f aca="false">$M217*input!H213</f>
        <v>0</v>
      </c>
      <c r="I217" s="2" t="n">
        <f aca="false">$M217*input!I213</f>
        <v>0</v>
      </c>
      <c r="J217" s="2" t="n">
        <f aca="false">$M217*input!J213</f>
        <v>0</v>
      </c>
      <c r="K217" s="2" t="n">
        <f aca="false">$M217*input!K213</f>
        <v>0</v>
      </c>
      <c r="M217" s="3" t="n">
        <v>1</v>
      </c>
    </row>
    <row r="218" customFormat="false" ht="12.75" hidden="false" customHeight="false" outlineLevel="0" collapsed="false">
      <c r="A218" s="13" t="str">
        <f aca="false">input!A214</f>
        <v>C.17. Totale Oneri finanziari</v>
      </c>
      <c r="B218" s="2" t="n">
        <f aca="false">$M218*input!B214</f>
        <v>-1737633</v>
      </c>
      <c r="C218" s="2" t="n">
        <f aca="false">$M218*input!C214</f>
        <v>-1482342</v>
      </c>
      <c r="D218" s="2" t="n">
        <f aca="false">$M218*input!D214</f>
        <v>-790069</v>
      </c>
      <c r="E218" s="2" t="n">
        <f aca="false">$M218*input!E214</f>
        <v>-354881</v>
      </c>
      <c r="F218" s="2" t="n">
        <f aca="false">$M218*input!F214</f>
        <v>-523242</v>
      </c>
      <c r="G218" s="2" t="n">
        <f aca="false">$M218*input!G214</f>
        <v>-383676</v>
      </c>
      <c r="H218" s="2" t="n">
        <f aca="false">$M218*input!H214</f>
        <v>-317240</v>
      </c>
      <c r="I218" s="2" t="n">
        <f aca="false">$M218*input!I214</f>
        <v>-185920</v>
      </c>
      <c r="J218" s="2" t="n">
        <f aca="false">$M218*input!J214</f>
        <v>-109194</v>
      </c>
      <c r="K218" s="2" t="n">
        <f aca="false">$M218*input!K214</f>
        <v>-173205</v>
      </c>
      <c r="M218" s="3" t="n">
        <v>-1</v>
      </c>
      <c r="N218" s="3" t="s">
        <v>292</v>
      </c>
    </row>
    <row r="219" customFormat="false" ht="12.75" hidden="false" customHeight="false" outlineLevel="0" collapsed="false">
      <c r="A219" s="14" t="str">
        <f aca="false">input!A215</f>
        <v>di cui: verso contr.anti, collegate, contr.te e sottoposte ctrl controllanti</v>
      </c>
      <c r="B219" s="2" t="n">
        <f aca="false">$M219*input!B215</f>
        <v>0</v>
      </c>
      <c r="C219" s="2" t="n">
        <f aca="false">$M219*input!C215</f>
        <v>0</v>
      </c>
      <c r="D219" s="2" t="n">
        <f aca="false">$M219*input!D215</f>
        <v>0</v>
      </c>
      <c r="E219" s="2" t="n">
        <f aca="false">$M219*input!E215</f>
        <v>0</v>
      </c>
      <c r="F219" s="2" t="n">
        <f aca="false">$M219*input!F215</f>
        <v>0</v>
      </c>
      <c r="G219" s="2" t="n">
        <f aca="false">$M219*input!G215</f>
        <v>0</v>
      </c>
      <c r="H219" s="2" t="n">
        <f aca="false">$M219*input!H215</f>
        <v>0</v>
      </c>
      <c r="I219" s="2" t="n">
        <f aca="false">$M219*input!I215</f>
        <v>0</v>
      </c>
      <c r="J219" s="2" t="n">
        <f aca="false">$M219*input!J215</f>
        <v>0</v>
      </c>
      <c r="K219" s="2" t="n">
        <f aca="false">$M219*input!K215</f>
        <v>0</v>
      </c>
      <c r="M219" s="3" t="n">
        <v>1</v>
      </c>
    </row>
    <row r="220" customFormat="false" ht="12.75" hidden="false" customHeight="false" outlineLevel="0" collapsed="false">
      <c r="A220" s="14" t="str">
        <f aca="false">input!A216</f>
        <v>di cui: da imprese sottoposte al controllo delle controllanti</v>
      </c>
      <c r="B220" s="2" t="n">
        <f aca="false">$M220*input!B216</f>
        <v>0</v>
      </c>
      <c r="C220" s="2" t="n">
        <f aca="false">$M220*input!C216</f>
        <v>0</v>
      </c>
      <c r="D220" s="2" t="n">
        <f aca="false">$M220*input!D216</f>
        <v>0</v>
      </c>
      <c r="E220" s="2" t="n">
        <f aca="false">$M220*input!E216</f>
        <v>0</v>
      </c>
      <c r="F220" s="2" t="n">
        <f aca="false">$M220*input!F216</f>
        <v>0</v>
      </c>
      <c r="G220" s="2" t="n">
        <f aca="false">$M220*input!G216</f>
        <v>0</v>
      </c>
      <c r="H220" s="2" t="n">
        <f aca="false">$M220*input!H216</f>
        <v>0</v>
      </c>
      <c r="I220" s="2" t="n">
        <f aca="false">$M220*input!I216</f>
        <v>0</v>
      </c>
      <c r="J220" s="2" t="n">
        <f aca="false">$M220*input!J216</f>
        <v>0</v>
      </c>
      <c r="K220" s="2" t="n">
        <f aca="false">$M220*input!K216</f>
        <v>0</v>
      </c>
      <c r="M220" s="3" t="n">
        <v>1</v>
      </c>
    </row>
    <row r="221" customFormat="false" ht="12.75" hidden="false" customHeight="false" outlineLevel="0" collapsed="false">
      <c r="A221" s="13" t="str">
        <f aca="false">input!A217</f>
        <v>C.17.bis Utili e perdite su cambi</v>
      </c>
      <c r="B221" s="2" t="n">
        <f aca="false">$M221*input!B217</f>
        <v>0</v>
      </c>
      <c r="C221" s="2" t="n">
        <f aca="false">$M221*input!C217</f>
        <v>0</v>
      </c>
      <c r="D221" s="2" t="n">
        <f aca="false">$M221*input!D217</f>
        <v>0</v>
      </c>
      <c r="E221" s="2" t="n">
        <f aca="false">$M221*input!E217</f>
        <v>0</v>
      </c>
      <c r="F221" s="2" t="n">
        <f aca="false">$M221*input!F217</f>
        <v>0</v>
      </c>
      <c r="G221" s="2" t="n">
        <f aca="false">$M221*input!G217</f>
        <v>0</v>
      </c>
      <c r="H221" s="2" t="n">
        <f aca="false">$M221*input!H217</f>
        <v>0</v>
      </c>
      <c r="I221" s="2" t="n">
        <f aca="false">$M221*input!I217</f>
        <v>0</v>
      </c>
      <c r="J221" s="2" t="n">
        <f aca="false">$M221*input!J217</f>
        <v>0</v>
      </c>
      <c r="K221" s="2" t="n">
        <f aca="false">$M221*input!K217</f>
        <v>0</v>
      </c>
      <c r="M221" s="3" t="n">
        <v>1</v>
      </c>
      <c r="N221" s="3" t="s">
        <v>293</v>
      </c>
    </row>
    <row r="222" s="11" customFormat="true" ht="13.5" hidden="false" customHeight="true" outlineLevel="0" collapsed="false">
      <c r="A222" s="9" t="str">
        <f aca="false">input!A218</f>
        <v>D. TOTALE RETTIFICHE ATT. FINANZ.</v>
      </c>
      <c r="B222" s="10" t="n">
        <f aca="false">$M222*input!B218</f>
        <v>0</v>
      </c>
      <c r="C222" s="10" t="n">
        <f aca="false">$M222*input!C218</f>
        <v>0</v>
      </c>
      <c r="D222" s="10" t="n">
        <f aca="false">$M222*input!D218</f>
        <v>0</v>
      </c>
      <c r="E222" s="10" t="n">
        <f aca="false">$M222*input!E218</f>
        <v>0</v>
      </c>
      <c r="F222" s="10" t="n">
        <f aca="false">$M222*input!F218</f>
        <v>0</v>
      </c>
      <c r="G222" s="10" t="n">
        <f aca="false">$M222*input!G218</f>
        <v>0</v>
      </c>
      <c r="H222" s="10" t="n">
        <f aca="false">$M222*input!H218</f>
        <v>0</v>
      </c>
      <c r="I222" s="10" t="n">
        <f aca="false">$M222*input!I218</f>
        <v>0</v>
      </c>
      <c r="J222" s="10" t="n">
        <f aca="false">$M222*input!J218</f>
        <v>0</v>
      </c>
      <c r="K222" s="10" t="n">
        <f aca="false">$M222*input!K218</f>
        <v>0</v>
      </c>
      <c r="M222" s="11" t="n">
        <v>1</v>
      </c>
    </row>
    <row r="223" customFormat="false" ht="12.75" hidden="false" customHeight="false" outlineLevel="0" collapsed="false">
      <c r="A223" s="13" t="str">
        <f aca="false">input!A219</f>
        <v>D.18. TOT Rivalutazioni</v>
      </c>
      <c r="B223" s="2" t="n">
        <f aca="false">$M223*input!B219</f>
        <v>0</v>
      </c>
      <c r="C223" s="2" t="n">
        <f aca="false">$M223*input!C219</f>
        <v>0</v>
      </c>
      <c r="D223" s="2" t="n">
        <f aca="false">$M223*input!D219</f>
        <v>0</v>
      </c>
      <c r="E223" s="2" t="n">
        <f aca="false">$M223*input!E219</f>
        <v>0</v>
      </c>
      <c r="F223" s="2" t="n">
        <f aca="false">$M223*input!F219</f>
        <v>0</v>
      </c>
      <c r="G223" s="2" t="n">
        <f aca="false">$M223*input!G219</f>
        <v>0</v>
      </c>
      <c r="H223" s="2" t="n">
        <f aca="false">$M223*input!H219</f>
        <v>0</v>
      </c>
      <c r="I223" s="2" t="n">
        <f aca="false">$M223*input!I219</f>
        <v>0</v>
      </c>
      <c r="J223" s="2" t="n">
        <f aca="false">$M223*input!J219</f>
        <v>0</v>
      </c>
      <c r="K223" s="2" t="n">
        <f aca="false">$M223*input!K219</f>
        <v>0</v>
      </c>
      <c r="M223" s="3" t="n">
        <v>1</v>
      </c>
      <c r="N223" s="3" t="s">
        <v>294</v>
      </c>
    </row>
    <row r="224" customFormat="false" ht="12.75" hidden="false" customHeight="false" outlineLevel="0" collapsed="false">
      <c r="A224" s="14" t="str">
        <f aca="false">input!A220</f>
        <v>D.18.a. Rivalut. di partec.</v>
      </c>
      <c r="B224" s="2" t="n">
        <f aca="false">$M224*input!B220</f>
        <v>0</v>
      </c>
      <c r="C224" s="2" t="n">
        <f aca="false">$M224*input!C220</f>
        <v>0</v>
      </c>
      <c r="D224" s="2" t="n">
        <f aca="false">$M224*input!D220</f>
        <v>0</v>
      </c>
      <c r="E224" s="2" t="n">
        <f aca="false">$M224*input!E220</f>
        <v>0</v>
      </c>
      <c r="F224" s="2" t="n">
        <f aca="false">$M224*input!F220</f>
        <v>0</v>
      </c>
      <c r="G224" s="2" t="n">
        <f aca="false">$M224*input!G220</f>
        <v>0</v>
      </c>
      <c r="H224" s="2" t="n">
        <f aca="false">$M224*input!H220</f>
        <v>0</v>
      </c>
      <c r="I224" s="2" t="n">
        <f aca="false">$M224*input!I220</f>
        <v>0</v>
      </c>
      <c r="J224" s="2" t="n">
        <f aca="false">$M224*input!J220</f>
        <v>0</v>
      </c>
      <c r="K224" s="2" t="n">
        <f aca="false">$M224*input!K220</f>
        <v>0</v>
      </c>
      <c r="M224" s="3" t="n">
        <v>1</v>
      </c>
    </row>
    <row r="225" customFormat="false" ht="12.75" hidden="false" customHeight="false" outlineLevel="0" collapsed="false">
      <c r="A225" s="14" t="str">
        <f aca="false">input!A221</f>
        <v>D.18.b. Rivalut. di altre imm. fin.</v>
      </c>
      <c r="B225" s="2" t="n">
        <f aca="false">$M225*input!B221</f>
        <v>0</v>
      </c>
      <c r="C225" s="2" t="n">
        <f aca="false">$M225*input!C221</f>
        <v>0</v>
      </c>
      <c r="D225" s="2" t="n">
        <f aca="false">$M225*input!D221</f>
        <v>0</v>
      </c>
      <c r="E225" s="2" t="n">
        <f aca="false">$M225*input!E221</f>
        <v>0</v>
      </c>
      <c r="F225" s="2" t="n">
        <f aca="false">$M225*input!F221</f>
        <v>0</v>
      </c>
      <c r="G225" s="2" t="n">
        <f aca="false">$M225*input!G221</f>
        <v>0</v>
      </c>
      <c r="H225" s="2" t="n">
        <f aca="false">$M225*input!H221</f>
        <v>0</v>
      </c>
      <c r="I225" s="2" t="n">
        <f aca="false">$M225*input!I221</f>
        <v>0</v>
      </c>
      <c r="J225" s="2" t="n">
        <f aca="false">$M225*input!J221</f>
        <v>0</v>
      </c>
      <c r="K225" s="2" t="n">
        <f aca="false">$M225*input!K221</f>
        <v>0</v>
      </c>
      <c r="M225" s="3" t="n">
        <v>1</v>
      </c>
    </row>
    <row r="226" customFormat="false" ht="12.75" hidden="false" customHeight="false" outlineLevel="0" collapsed="false">
      <c r="A226" s="14" t="str">
        <f aca="false">input!A222</f>
        <v>D.18.c. Rivalut. di titoli</v>
      </c>
      <c r="B226" s="2" t="n">
        <f aca="false">$M226*input!B222</f>
        <v>0</v>
      </c>
      <c r="C226" s="2" t="n">
        <f aca="false">$M226*input!C222</f>
        <v>0</v>
      </c>
      <c r="D226" s="2" t="n">
        <f aca="false">$M226*input!D222</f>
        <v>0</v>
      </c>
      <c r="E226" s="2" t="n">
        <f aca="false">$M226*input!E222</f>
        <v>0</v>
      </c>
      <c r="F226" s="2" t="n">
        <f aca="false">$M226*input!F222</f>
        <v>0</v>
      </c>
      <c r="G226" s="2" t="n">
        <f aca="false">$M226*input!G222</f>
        <v>0</v>
      </c>
      <c r="H226" s="2" t="n">
        <f aca="false">$M226*input!H222</f>
        <v>0</v>
      </c>
      <c r="I226" s="2" t="n">
        <f aca="false">$M226*input!I222</f>
        <v>0</v>
      </c>
      <c r="J226" s="2" t="n">
        <f aca="false">$M226*input!J222</f>
        <v>0</v>
      </c>
      <c r="K226" s="2" t="n">
        <f aca="false">$M226*input!K222</f>
        <v>0</v>
      </c>
      <c r="M226" s="3" t="n">
        <v>1</v>
      </c>
    </row>
    <row r="227" customFormat="false" ht="12.75" hidden="false" customHeight="false" outlineLevel="0" collapsed="false">
      <c r="A227" s="14" t="str">
        <f aca="false">input!A223</f>
        <v>D.18.d. Rivalut. di strumenti finanziari derivati</v>
      </c>
      <c r="B227" s="2" t="n">
        <f aca="false">$M227*input!B223</f>
        <v>0</v>
      </c>
      <c r="C227" s="2" t="n">
        <f aca="false">$M227*input!C223</f>
        <v>0</v>
      </c>
      <c r="D227" s="2" t="n">
        <f aca="false">$M227*input!D223</f>
        <v>0</v>
      </c>
      <c r="E227" s="2" t="n">
        <f aca="false">$M227*input!E223</f>
        <v>0</v>
      </c>
      <c r="F227" s="2" t="n">
        <f aca="false">$M227*input!F223</f>
        <v>0</v>
      </c>
      <c r="G227" s="2" t="n">
        <f aca="false">$M227*input!G223</f>
        <v>0</v>
      </c>
      <c r="H227" s="2" t="n">
        <f aca="false">$M227*input!H223</f>
        <v>0</v>
      </c>
      <c r="I227" s="2" t="n">
        <f aca="false">$M227*input!I223</f>
        <v>0</v>
      </c>
      <c r="J227" s="2" t="n">
        <f aca="false">$M227*input!J223</f>
        <v>0</v>
      </c>
      <c r="K227" s="2" t="n">
        <f aca="false">$M227*input!K223</f>
        <v>0</v>
      </c>
      <c r="M227" s="3" t="n">
        <v>1</v>
      </c>
    </row>
    <row r="228" customFormat="false" ht="12.75" hidden="false" customHeight="false" outlineLevel="0" collapsed="false">
      <c r="A228" s="14" t="str">
        <f aca="false">input!A224</f>
        <v>Rivalut. di attività finanziarie per la gestione accentrata della tesoreria</v>
      </c>
      <c r="B228" s="2" t="n">
        <f aca="false">$M228*input!B224</f>
        <v>0</v>
      </c>
      <c r="C228" s="2" t="n">
        <f aca="false">$M228*input!C224</f>
        <v>0</v>
      </c>
      <c r="D228" s="2" t="n">
        <f aca="false">$M228*input!D224</f>
        <v>0</v>
      </c>
      <c r="E228" s="2" t="n">
        <f aca="false">$M228*input!E224</f>
        <v>0</v>
      </c>
      <c r="F228" s="2" t="n">
        <f aca="false">$M228*input!F224</f>
        <v>0</v>
      </c>
      <c r="G228" s="2" t="n">
        <f aca="false">$M228*input!G224</f>
        <v>0</v>
      </c>
      <c r="H228" s="2" t="n">
        <f aca="false">$M228*input!H224</f>
        <v>0</v>
      </c>
      <c r="I228" s="2" t="n">
        <f aca="false">$M228*input!I224</f>
        <v>0</v>
      </c>
      <c r="J228" s="2" t="n">
        <f aca="false">$M228*input!J224</f>
        <v>0</v>
      </c>
      <c r="K228" s="2" t="n">
        <f aca="false">$M228*input!K224</f>
        <v>0</v>
      </c>
      <c r="M228" s="3" t="n">
        <v>1</v>
      </c>
    </row>
    <row r="229" customFormat="false" ht="12.75" hidden="false" customHeight="false" outlineLevel="0" collapsed="false">
      <c r="A229" s="13" t="str">
        <f aca="false">input!A225</f>
        <v>D.19. TOT Svalutazioni</v>
      </c>
      <c r="B229" s="2" t="n">
        <f aca="false">$M229*input!B225</f>
        <v>-0</v>
      </c>
      <c r="C229" s="2" t="n">
        <f aca="false">$M229*input!C225</f>
        <v>-0</v>
      </c>
      <c r="D229" s="2" t="n">
        <f aca="false">$M229*input!D225</f>
        <v>-0</v>
      </c>
      <c r="E229" s="2" t="n">
        <f aca="false">$M229*input!E225</f>
        <v>-0</v>
      </c>
      <c r="F229" s="2" t="n">
        <f aca="false">$M229*input!F225</f>
        <v>-0</v>
      </c>
      <c r="G229" s="2" t="n">
        <f aca="false">$M229*input!G225</f>
        <v>-0</v>
      </c>
      <c r="H229" s="2" t="n">
        <f aca="false">$M229*input!H225</f>
        <v>-0</v>
      </c>
      <c r="I229" s="2" t="n">
        <f aca="false">$M229*input!I225</f>
        <v>-0</v>
      </c>
      <c r="J229" s="2" t="n">
        <f aca="false">$M229*input!J225</f>
        <v>-0</v>
      </c>
      <c r="K229" s="2" t="n">
        <f aca="false">$M229*input!K225</f>
        <v>-0</v>
      </c>
      <c r="M229" s="3" t="n">
        <v>-1</v>
      </c>
      <c r="N229" s="3" t="s">
        <v>294</v>
      </c>
    </row>
    <row r="230" customFormat="false" ht="12.75" hidden="false" customHeight="false" outlineLevel="0" collapsed="false">
      <c r="A230" s="14" t="str">
        <f aca="false">input!A226</f>
        <v>D.19.a. Svalut. di partec.</v>
      </c>
      <c r="B230" s="2" t="n">
        <f aca="false">$M230*input!B226</f>
        <v>0</v>
      </c>
      <c r="C230" s="2" t="n">
        <f aca="false">$M230*input!C226</f>
        <v>0</v>
      </c>
      <c r="D230" s="2" t="n">
        <f aca="false">$M230*input!D226</f>
        <v>0</v>
      </c>
      <c r="E230" s="2" t="n">
        <f aca="false">$M230*input!E226</f>
        <v>0</v>
      </c>
      <c r="F230" s="2" t="n">
        <f aca="false">$M230*input!F226</f>
        <v>0</v>
      </c>
      <c r="G230" s="2" t="n">
        <f aca="false">$M230*input!G226</f>
        <v>0</v>
      </c>
      <c r="H230" s="2" t="n">
        <f aca="false">$M230*input!H226</f>
        <v>0</v>
      </c>
      <c r="I230" s="2" t="n">
        <f aca="false">$M230*input!I226</f>
        <v>0</v>
      </c>
      <c r="J230" s="2" t="n">
        <f aca="false">$M230*input!J226</f>
        <v>0</v>
      </c>
      <c r="K230" s="2" t="n">
        <f aca="false">$M230*input!K226</f>
        <v>0</v>
      </c>
      <c r="M230" s="3" t="n">
        <v>1</v>
      </c>
    </row>
    <row r="231" customFormat="false" ht="12.75" hidden="false" customHeight="false" outlineLevel="0" collapsed="false">
      <c r="A231" s="14" t="str">
        <f aca="false">input!A227</f>
        <v>D.19.b. Svalut. di altre imm. fin.</v>
      </c>
      <c r="B231" s="2" t="n">
        <f aca="false">$M231*input!B227</f>
        <v>0</v>
      </c>
      <c r="C231" s="2" t="n">
        <f aca="false">$M231*input!C227</f>
        <v>0</v>
      </c>
      <c r="D231" s="2" t="n">
        <f aca="false">$M231*input!D227</f>
        <v>0</v>
      </c>
      <c r="E231" s="2" t="n">
        <f aca="false">$M231*input!E227</f>
        <v>0</v>
      </c>
      <c r="F231" s="2" t="n">
        <f aca="false">$M231*input!F227</f>
        <v>0</v>
      </c>
      <c r="G231" s="2" t="n">
        <f aca="false">$M231*input!G227</f>
        <v>0</v>
      </c>
      <c r="H231" s="2" t="n">
        <f aca="false">$M231*input!H227</f>
        <v>0</v>
      </c>
      <c r="I231" s="2" t="n">
        <f aca="false">$M231*input!I227</f>
        <v>0</v>
      </c>
      <c r="J231" s="2" t="n">
        <f aca="false">$M231*input!J227</f>
        <v>0</v>
      </c>
      <c r="K231" s="2" t="n">
        <f aca="false">$M231*input!K227</f>
        <v>0</v>
      </c>
      <c r="M231" s="3" t="n">
        <v>1</v>
      </c>
    </row>
    <row r="232" customFormat="false" ht="12.75" hidden="false" customHeight="false" outlineLevel="0" collapsed="false">
      <c r="A232" s="14" t="str">
        <f aca="false">input!A228</f>
        <v>D.19.c. Svalut. di titoli</v>
      </c>
      <c r="B232" s="2" t="n">
        <f aca="false">$M232*input!B228</f>
        <v>0</v>
      </c>
      <c r="C232" s="2" t="n">
        <f aca="false">$M232*input!C228</f>
        <v>0</v>
      </c>
      <c r="D232" s="2" t="n">
        <f aca="false">$M232*input!D228</f>
        <v>0</v>
      </c>
      <c r="E232" s="2" t="n">
        <f aca="false">$M232*input!E228</f>
        <v>0</v>
      </c>
      <c r="F232" s="2" t="n">
        <f aca="false">$M232*input!F228</f>
        <v>0</v>
      </c>
      <c r="G232" s="2" t="n">
        <f aca="false">$M232*input!G228</f>
        <v>0</v>
      </c>
      <c r="H232" s="2" t="n">
        <f aca="false">$M232*input!H228</f>
        <v>0</v>
      </c>
      <c r="I232" s="2" t="n">
        <f aca="false">$M232*input!I228</f>
        <v>0</v>
      </c>
      <c r="J232" s="2" t="n">
        <f aca="false">$M232*input!J228</f>
        <v>0</v>
      </c>
      <c r="K232" s="2" t="n">
        <f aca="false">$M232*input!K228</f>
        <v>0</v>
      </c>
      <c r="M232" s="3" t="n">
        <v>1</v>
      </c>
    </row>
    <row r="233" customFormat="false" ht="12.75" hidden="false" customHeight="false" outlineLevel="0" collapsed="false">
      <c r="A233" s="14" t="str">
        <f aca="false">input!A229</f>
        <v>D.19.d. Svalut. di strumenti finanziari derivati</v>
      </c>
      <c r="B233" s="2" t="n">
        <f aca="false">$M233*input!B229</f>
        <v>0</v>
      </c>
      <c r="C233" s="2" t="n">
        <f aca="false">$M233*input!C229</f>
        <v>0</v>
      </c>
      <c r="D233" s="2" t="n">
        <f aca="false">$M233*input!D229</f>
        <v>0</v>
      </c>
      <c r="E233" s="2" t="n">
        <f aca="false">$M233*input!E229</f>
        <v>0</v>
      </c>
      <c r="F233" s="2" t="n">
        <f aca="false">$M233*input!F229</f>
        <v>0</v>
      </c>
      <c r="G233" s="2" t="n">
        <f aca="false">$M233*input!G229</f>
        <v>0</v>
      </c>
      <c r="H233" s="2" t="n">
        <f aca="false">$M233*input!H229</f>
        <v>0</v>
      </c>
      <c r="I233" s="2" t="n">
        <f aca="false">$M233*input!I229</f>
        <v>0</v>
      </c>
      <c r="J233" s="2" t="n">
        <f aca="false">$M233*input!J229</f>
        <v>0</v>
      </c>
      <c r="K233" s="2" t="n">
        <f aca="false">$M233*input!K229</f>
        <v>0</v>
      </c>
      <c r="M233" s="3" t="n">
        <v>1</v>
      </c>
    </row>
    <row r="234" customFormat="false" ht="12.75" hidden="false" customHeight="false" outlineLevel="0" collapsed="false">
      <c r="A234" s="14" t="str">
        <f aca="false">input!A230</f>
        <v>Svalut. di attività finanziarie per la gestione accentrata della tesoreria</v>
      </c>
      <c r="B234" s="2" t="n">
        <f aca="false">$M234*input!B230</f>
        <v>0</v>
      </c>
      <c r="C234" s="2" t="n">
        <f aca="false">$M234*input!C230</f>
        <v>0</v>
      </c>
      <c r="D234" s="2" t="n">
        <f aca="false">$M234*input!D230</f>
        <v>0</v>
      </c>
      <c r="E234" s="2" t="n">
        <f aca="false">$M234*input!E230</f>
        <v>0</v>
      </c>
      <c r="F234" s="2" t="n">
        <f aca="false">$M234*input!F230</f>
        <v>0</v>
      </c>
      <c r="G234" s="2" t="n">
        <f aca="false">$M234*input!G230</f>
        <v>0</v>
      </c>
      <c r="H234" s="2" t="n">
        <f aca="false">$M234*input!H230</f>
        <v>0</v>
      </c>
      <c r="I234" s="2" t="n">
        <f aca="false">$M234*input!I230</f>
        <v>0</v>
      </c>
      <c r="J234" s="2" t="n">
        <f aca="false">$M234*input!J230</f>
        <v>0</v>
      </c>
      <c r="K234" s="2" t="n">
        <f aca="false">$M234*input!K230</f>
        <v>0</v>
      </c>
      <c r="M234" s="3" t="n">
        <v>1</v>
      </c>
    </row>
    <row r="235" s="19" customFormat="true" ht="12.75" hidden="false" customHeight="false" outlineLevel="0" collapsed="false">
      <c r="A235" s="27" t="str">
        <f aca="false">input!A231</f>
        <v>TOTALE PROVENTI/ONERI STRAORDINARI</v>
      </c>
      <c r="B235" s="28" t="n">
        <f aca="false">$M235*input!B231</f>
        <v>0</v>
      </c>
      <c r="C235" s="28" t="n">
        <f aca="false">$M235*input!C231</f>
        <v>0</v>
      </c>
      <c r="D235" s="28" t="n">
        <f aca="false">$M235*input!D231</f>
        <v>0</v>
      </c>
      <c r="E235" s="28" t="n">
        <f aca="false">$M235*input!E231</f>
        <v>0</v>
      </c>
      <c r="F235" s="28" t="n">
        <f aca="false">$M235*input!F231</f>
        <v>0</v>
      </c>
      <c r="G235" s="28" t="n">
        <f aca="false">$M235*input!G231</f>
        <v>0</v>
      </c>
      <c r="H235" s="28" t="n">
        <f aca="false">$M235*input!H231</f>
        <v>0</v>
      </c>
      <c r="I235" s="28" t="n">
        <f aca="false">$M235*input!I231</f>
        <v>0</v>
      </c>
      <c r="J235" s="28" t="n">
        <f aca="false">$M235*input!J231</f>
        <v>0</v>
      </c>
      <c r="K235" s="28" t="n">
        <f aca="false">$M235*input!K231</f>
        <v>108710</v>
      </c>
      <c r="M235" s="19" t="n">
        <v>1</v>
      </c>
    </row>
    <row r="236" customFormat="false" ht="12.75" hidden="false" customHeight="false" outlineLevel="0" collapsed="false">
      <c r="A236" s="13" t="str">
        <f aca="false">input!A232</f>
        <v>Proventi Straordinari</v>
      </c>
      <c r="B236" s="2" t="n">
        <f aca="false">$M236*input!B232</f>
        <v>0</v>
      </c>
      <c r="C236" s="2" t="n">
        <f aca="false">$M236*input!C232</f>
        <v>0</v>
      </c>
      <c r="D236" s="2" t="n">
        <f aca="false">$M236*input!D232</f>
        <v>0</v>
      </c>
      <c r="E236" s="2" t="n">
        <f aca="false">$M236*input!E232</f>
        <v>0</v>
      </c>
      <c r="F236" s="2" t="n">
        <f aca="false">$M236*input!F232</f>
        <v>0</v>
      </c>
      <c r="G236" s="2" t="n">
        <f aca="false">$M236*input!G232</f>
        <v>0</v>
      </c>
      <c r="H236" s="2" t="n">
        <f aca="false">$M236*input!H232</f>
        <v>0</v>
      </c>
      <c r="I236" s="2" t="n">
        <f aca="false">$M236*input!I232</f>
        <v>0</v>
      </c>
      <c r="J236" s="2" t="n">
        <f aca="false">$M236*input!J232</f>
        <v>0</v>
      </c>
      <c r="K236" s="2" t="n">
        <f aca="false">$M236*input!K232</f>
        <v>108710</v>
      </c>
      <c r="M236" s="3" t="n">
        <v>1</v>
      </c>
      <c r="N236" s="3" t="s">
        <v>294</v>
      </c>
    </row>
    <row r="237" customFormat="false" ht="12.75" hidden="false" customHeight="false" outlineLevel="0" collapsed="false">
      <c r="A237" s="14" t="str">
        <f aca="false">input!A233</f>
        <v>di cui plusvalenze</v>
      </c>
      <c r="B237" s="2" t="n">
        <f aca="false">$M237*input!B233</f>
        <v>0</v>
      </c>
      <c r="C237" s="2" t="n">
        <f aca="false">$M237*input!C233</f>
        <v>0</v>
      </c>
      <c r="D237" s="2" t="n">
        <f aca="false">$M237*input!D233</f>
        <v>0</v>
      </c>
      <c r="E237" s="2" t="n">
        <f aca="false">$M237*input!E233</f>
        <v>0</v>
      </c>
      <c r="F237" s="2" t="n">
        <f aca="false">$M237*input!F233</f>
        <v>0</v>
      </c>
      <c r="G237" s="2" t="n">
        <f aca="false">$M237*input!G233</f>
        <v>0</v>
      </c>
      <c r="H237" s="2" t="n">
        <f aca="false">$M237*input!H233</f>
        <v>0</v>
      </c>
      <c r="I237" s="2" t="n">
        <f aca="false">$M237*input!I233</f>
        <v>0</v>
      </c>
      <c r="J237" s="2" t="n">
        <f aca="false">$M237*input!J233</f>
        <v>0</v>
      </c>
      <c r="K237" s="2" t="n">
        <f aca="false">$M237*input!K233</f>
        <v>0</v>
      </c>
      <c r="M237" s="3" t="n">
        <v>1</v>
      </c>
    </row>
    <row r="238" customFormat="false" ht="12.75" hidden="false" customHeight="false" outlineLevel="0" collapsed="false">
      <c r="A238" s="13" t="str">
        <f aca="false">input!A234</f>
        <v>Oneri Straordinari</v>
      </c>
      <c r="B238" s="2" t="n">
        <f aca="false">$M238*input!B234</f>
        <v>-0</v>
      </c>
      <c r="C238" s="2" t="n">
        <f aca="false">$M238*input!C234</f>
        <v>-0</v>
      </c>
      <c r="D238" s="2" t="n">
        <f aca="false">$M238*input!D234</f>
        <v>-0</v>
      </c>
      <c r="E238" s="2" t="n">
        <f aca="false">$M238*input!E234</f>
        <v>-0</v>
      </c>
      <c r="F238" s="2" t="n">
        <f aca="false">$M238*input!F234</f>
        <v>-0</v>
      </c>
      <c r="G238" s="2" t="n">
        <f aca="false">$M238*input!G234</f>
        <v>-0</v>
      </c>
      <c r="H238" s="2" t="n">
        <f aca="false">$M238*input!H234</f>
        <v>-0</v>
      </c>
      <c r="I238" s="2" t="n">
        <f aca="false">$M238*input!I234</f>
        <v>-0</v>
      </c>
      <c r="J238" s="2" t="n">
        <f aca="false">$M238*input!J234</f>
        <v>-0</v>
      </c>
      <c r="K238" s="2" t="n">
        <f aca="false">$M238*input!K234</f>
        <v>-0</v>
      </c>
      <c r="M238" s="3" t="n">
        <v>-1</v>
      </c>
      <c r="N238" s="3" t="s">
        <v>294</v>
      </c>
    </row>
    <row r="239" customFormat="false" ht="12.75" hidden="false" customHeight="false" outlineLevel="0" collapsed="false">
      <c r="A239" s="14" t="str">
        <f aca="false">input!A235</f>
        <v>di cui minusvalenze</v>
      </c>
      <c r="B239" s="2" t="n">
        <f aca="false">$M239*input!B235</f>
        <v>0</v>
      </c>
      <c r="C239" s="2" t="n">
        <f aca="false">$M239*input!C235</f>
        <v>0</v>
      </c>
      <c r="D239" s="2" t="n">
        <f aca="false">$M239*input!D235</f>
        <v>0</v>
      </c>
      <c r="E239" s="2" t="n">
        <f aca="false">$M239*input!E235</f>
        <v>0</v>
      </c>
      <c r="F239" s="2" t="n">
        <f aca="false">$M239*input!F235</f>
        <v>0</v>
      </c>
      <c r="G239" s="2" t="n">
        <f aca="false">$M239*input!G235</f>
        <v>0</v>
      </c>
      <c r="H239" s="2" t="n">
        <f aca="false">$M239*input!H235</f>
        <v>0</v>
      </c>
      <c r="I239" s="2" t="n">
        <f aca="false">$M239*input!I235</f>
        <v>0</v>
      </c>
      <c r="J239" s="2" t="n">
        <f aca="false">$M239*input!J235</f>
        <v>0</v>
      </c>
      <c r="K239" s="2" t="n">
        <f aca="false">$M239*input!K235</f>
        <v>0</v>
      </c>
      <c r="M239" s="3" t="n">
        <v>1</v>
      </c>
    </row>
    <row r="240" customFormat="false" ht="12.75" hidden="false" customHeight="false" outlineLevel="0" collapsed="false">
      <c r="A240" s="14" t="str">
        <f aca="false">input!A236</f>
        <v>di cui imposte esercizio precedente</v>
      </c>
      <c r="B240" s="2" t="n">
        <f aca="false">$M240*input!B236</f>
        <v>0</v>
      </c>
      <c r="C240" s="2" t="n">
        <f aca="false">$M240*input!C236</f>
        <v>0</v>
      </c>
      <c r="D240" s="2" t="n">
        <f aca="false">$M240*input!D236</f>
        <v>0</v>
      </c>
      <c r="E240" s="2" t="n">
        <f aca="false">$M240*input!E236</f>
        <v>0</v>
      </c>
      <c r="F240" s="2" t="n">
        <f aca="false">$M240*input!F236</f>
        <v>0</v>
      </c>
      <c r="G240" s="2" t="n">
        <f aca="false">$M240*input!G236</f>
        <v>0</v>
      </c>
      <c r="H240" s="2" t="n">
        <f aca="false">$M240*input!H236</f>
        <v>0</v>
      </c>
      <c r="I240" s="2" t="n">
        <f aca="false">$M240*input!I236</f>
        <v>0</v>
      </c>
      <c r="J240" s="2" t="n">
        <f aca="false">$M240*input!J236</f>
        <v>0</v>
      </c>
      <c r="K240" s="2" t="n">
        <f aca="false">$M240*input!K236</f>
        <v>0</v>
      </c>
      <c r="M240" s="3" t="n">
        <v>1</v>
      </c>
    </row>
    <row r="241" s="19" customFormat="true" ht="12.75" hidden="false" customHeight="false" outlineLevel="0" collapsed="false">
      <c r="A241" s="27" t="str">
        <f aca="false">input!A237</f>
        <v>RISULTATO PRIMA DELLE IMPOSTE</v>
      </c>
      <c r="B241" s="28" t="n">
        <f aca="false">$M241*input!B237</f>
        <v>518841</v>
      </c>
      <c r="C241" s="28" t="n">
        <f aca="false">$M241*input!C237</f>
        <v>386023</v>
      </c>
      <c r="D241" s="28" t="n">
        <f aca="false">$M241*input!D237</f>
        <v>260638</v>
      </c>
      <c r="E241" s="28" t="n">
        <f aca="false">$M241*input!E237</f>
        <v>-536517</v>
      </c>
      <c r="F241" s="28" t="n">
        <f aca="false">$M241*input!F237</f>
        <v>2410624</v>
      </c>
      <c r="G241" s="28" t="n">
        <f aca="false">$M241*input!G237</f>
        <v>-1773745</v>
      </c>
      <c r="H241" s="28" t="n">
        <f aca="false">$M241*input!H237</f>
        <v>624611</v>
      </c>
      <c r="I241" s="28" t="n">
        <f aca="false">$M241*input!I237</f>
        <v>453176</v>
      </c>
      <c r="J241" s="28" t="n">
        <f aca="false">$M241*input!J237</f>
        <v>749649</v>
      </c>
      <c r="K241" s="28" t="n">
        <f aca="false">$M241*input!K237</f>
        <v>1000713</v>
      </c>
      <c r="M241" s="19" t="n">
        <v>1</v>
      </c>
    </row>
    <row r="242" s="11" customFormat="true" ht="13.5" hidden="false" customHeight="true" outlineLevel="0" collapsed="false">
      <c r="A242" s="9" t="str">
        <f aca="false">input!A238</f>
        <v>20. Totale Imposte sul reddito correnti, differite e anticipate</v>
      </c>
      <c r="B242" s="10" t="n">
        <f aca="false">$M242*input!B238</f>
        <v>-153364</v>
      </c>
      <c r="C242" s="10" t="n">
        <f aca="false">$M242*input!C238</f>
        <v>-38208</v>
      </c>
      <c r="D242" s="10" t="n">
        <f aca="false">$M242*input!D238</f>
        <v>1055</v>
      </c>
      <c r="E242" s="10" t="n">
        <f aca="false">$M242*input!E238</f>
        <v>238045</v>
      </c>
      <c r="F242" s="10" t="n">
        <f aca="false">$M242*input!F238</f>
        <v>-31429</v>
      </c>
      <c r="G242" s="10" t="n">
        <f aca="false">$M242*input!G238</f>
        <v>56764</v>
      </c>
      <c r="H242" s="10" t="n">
        <f aca="false">$M242*input!H238</f>
        <v>-6277</v>
      </c>
      <c r="I242" s="10" t="n">
        <f aca="false">$M242*input!I238</f>
        <v>-107490</v>
      </c>
      <c r="J242" s="10" t="n">
        <f aca="false">$M242*input!J238</f>
        <v>-254657</v>
      </c>
      <c r="K242" s="10" t="n">
        <f aca="false">$M242*input!K238</f>
        <v>-335067</v>
      </c>
      <c r="M242" s="11" t="n">
        <v>-1</v>
      </c>
      <c r="N242" s="11" t="s">
        <v>295</v>
      </c>
    </row>
    <row r="243" customFormat="false" ht="12.75" hidden="false" customHeight="false" outlineLevel="0" collapsed="false">
      <c r="A243" s="1" t="str">
        <f aca="false">input!A239</f>
        <v>Imposte correnti</v>
      </c>
      <c r="B243" s="2" t="n">
        <f aca="false">$M243*input!B239</f>
        <v>104483</v>
      </c>
      <c r="C243" s="2" t="n">
        <f aca="false">$M243*input!C239</f>
        <v>83573</v>
      </c>
      <c r="D243" s="2" t="n">
        <f aca="false">$M243*input!D239</f>
        <v>50128</v>
      </c>
      <c r="E243" s="2" t="n">
        <f aca="false">$M243*input!E239</f>
        <v>976</v>
      </c>
      <c r="F243" s="2" t="n">
        <f aca="false">$M243*input!F239</f>
        <v>173331</v>
      </c>
      <c r="G243" s="2" t="n">
        <f aca="false">$M243*input!G239</f>
        <v>0</v>
      </c>
      <c r="H243" s="2" t="n">
        <f aca="false">$M243*input!H239</f>
        <v>47142</v>
      </c>
      <c r="I243" s="2" t="n">
        <f aca="false">$M243*input!I239</f>
        <v>117862</v>
      </c>
      <c r="J243" s="2" t="n">
        <f aca="false">$M243*input!J239</f>
        <v>259690</v>
      </c>
      <c r="K243" s="2" t="n">
        <f aca="false">$M243*input!K239</f>
        <v>332472</v>
      </c>
      <c r="M243" s="3" t="n">
        <v>1</v>
      </c>
    </row>
    <row r="244" customFormat="false" ht="12.75" hidden="false" customHeight="false" outlineLevel="0" collapsed="false">
      <c r="A244" s="1" t="str">
        <f aca="false">input!A240</f>
        <v>Imposte relative a esercizi precedenti</v>
      </c>
      <c r="B244" s="2" t="n">
        <f aca="false">$M244*input!B240</f>
        <v>0</v>
      </c>
      <c r="C244" s="2" t="n">
        <f aca="false">$M244*input!C240</f>
        <v>0</v>
      </c>
      <c r="D244" s="2" t="n">
        <f aca="false">$M244*input!D240</f>
        <v>0</v>
      </c>
      <c r="E244" s="2" t="n">
        <f aca="false">$M244*input!E240</f>
        <v>0</v>
      </c>
      <c r="F244" s="2" t="n">
        <f aca="false">$M244*input!F240</f>
        <v>0</v>
      </c>
      <c r="G244" s="2" t="n">
        <f aca="false">$M244*input!G240</f>
        <v>0</v>
      </c>
      <c r="H244" s="2" t="n">
        <f aca="false">$M244*input!H240</f>
        <v>0</v>
      </c>
      <c r="I244" s="2" t="n">
        <f aca="false">$M244*input!I240</f>
        <v>0</v>
      </c>
      <c r="J244" s="2" t="n">
        <f aca="false">$M244*input!J240</f>
        <v>0</v>
      </c>
      <c r="K244" s="2" t="n">
        <f aca="false">$M244*input!K240</f>
        <v>0</v>
      </c>
      <c r="M244" s="3" t="n">
        <v>1</v>
      </c>
    </row>
    <row r="245" customFormat="false" ht="12.75" hidden="false" customHeight="false" outlineLevel="0" collapsed="false">
      <c r="A245" s="1" t="str">
        <f aca="false">input!A241</f>
        <v>Imposte differite e anticipate</v>
      </c>
      <c r="B245" s="2" t="n">
        <f aca="false">$M245*input!B241</f>
        <v>48881</v>
      </c>
      <c r="C245" s="2" t="n">
        <f aca="false">$M245*input!C241</f>
        <v>-45365</v>
      </c>
      <c r="D245" s="2" t="n">
        <f aca="false">$M245*input!D241</f>
        <v>-51183</v>
      </c>
      <c r="E245" s="2" t="n">
        <f aca="false">$M245*input!E241</f>
        <v>-239021</v>
      </c>
      <c r="F245" s="2" t="n">
        <f aca="false">$M245*input!F241</f>
        <v>-141902</v>
      </c>
      <c r="G245" s="2" t="n">
        <f aca="false">$M245*input!G241</f>
        <v>-56764</v>
      </c>
      <c r="H245" s="2" t="n">
        <f aca="false">$M245*input!H241</f>
        <v>-40865</v>
      </c>
      <c r="I245" s="2" t="n">
        <f aca="false">$M245*input!I241</f>
        <v>-10372</v>
      </c>
      <c r="J245" s="2" t="n">
        <f aca="false">$M245*input!J241</f>
        <v>-5033</v>
      </c>
      <c r="K245" s="2" t="n">
        <f aca="false">$M245*input!K241</f>
        <v>2595</v>
      </c>
      <c r="M245" s="3" t="n">
        <v>1</v>
      </c>
    </row>
    <row r="246" customFormat="false" ht="12.75" hidden="false" customHeight="false" outlineLevel="0" collapsed="false">
      <c r="A246" s="1" t="str">
        <f aca="false">input!A242</f>
        <v>Imposte differite (+/-)</v>
      </c>
      <c r="B246" s="2" t="n">
        <f aca="false">$M246*input!B242</f>
        <v>0</v>
      </c>
      <c r="C246" s="2" t="n">
        <f aca="false">$M246*input!C242</f>
        <v>0</v>
      </c>
      <c r="D246" s="2" t="n">
        <f aca="false">$M246*input!D242</f>
        <v>0</v>
      </c>
      <c r="E246" s="2" t="n">
        <f aca="false">$M246*input!E242</f>
        <v>0</v>
      </c>
      <c r="F246" s="2" t="n">
        <f aca="false">$M246*input!F242</f>
        <v>0</v>
      </c>
      <c r="G246" s="2" t="n">
        <f aca="false">$M246*input!G242</f>
        <v>0</v>
      </c>
      <c r="H246" s="2" t="n">
        <f aca="false">$M246*input!H242</f>
        <v>0</v>
      </c>
      <c r="I246" s="2" t="n">
        <f aca="false">$M246*input!I242</f>
        <v>0</v>
      </c>
      <c r="J246" s="2" t="n">
        <f aca="false">$M246*input!J242</f>
        <v>0</v>
      </c>
      <c r="K246" s="2" t="n">
        <f aca="false">$M246*input!K242</f>
        <v>2595</v>
      </c>
      <c r="M246" s="3" t="n">
        <v>1</v>
      </c>
    </row>
    <row r="247" customFormat="false" ht="12.75" hidden="false" customHeight="false" outlineLevel="0" collapsed="false">
      <c r="A247" s="1" t="str">
        <f aca="false">input!A243</f>
        <v>Imposte anticipate (+/-)</v>
      </c>
      <c r="B247" s="2" t="n">
        <f aca="false">$M247*input!B243</f>
        <v>0</v>
      </c>
      <c r="C247" s="2" t="n">
        <f aca="false">$M247*input!C243</f>
        <v>0</v>
      </c>
      <c r="D247" s="2" t="n">
        <f aca="false">$M247*input!D243</f>
        <v>0</v>
      </c>
      <c r="E247" s="2" t="n">
        <f aca="false">$M247*input!E243</f>
        <v>0</v>
      </c>
      <c r="F247" s="2" t="n">
        <f aca="false">$M247*input!F243</f>
        <v>0</v>
      </c>
      <c r="G247" s="2" t="n">
        <f aca="false">$M247*input!G243</f>
        <v>0</v>
      </c>
      <c r="H247" s="2" t="n">
        <f aca="false">$M247*input!H243</f>
        <v>0</v>
      </c>
      <c r="I247" s="2" t="n">
        <f aca="false">$M247*input!I243</f>
        <v>0</v>
      </c>
      <c r="J247" s="2" t="n">
        <f aca="false">$M247*input!J243</f>
        <v>0</v>
      </c>
      <c r="K247" s="2" t="n">
        <f aca="false">$M247*input!K243</f>
        <v>0</v>
      </c>
      <c r="M247" s="3" t="n">
        <v>1</v>
      </c>
    </row>
    <row r="248" customFormat="false" ht="12.75" hidden="false" customHeight="false" outlineLevel="0" collapsed="false">
      <c r="A248" s="1" t="str">
        <f aca="false">input!A244</f>
        <v>Prov. (oneri) da adesione al regime di trasparenza fiscale</v>
      </c>
      <c r="B248" s="2" t="n">
        <f aca="false">$M248*input!B244</f>
        <v>0</v>
      </c>
      <c r="C248" s="2" t="n">
        <f aca="false">$M248*input!C244</f>
        <v>0</v>
      </c>
      <c r="D248" s="2" t="n">
        <f aca="false">$M248*input!D244</f>
        <v>0</v>
      </c>
      <c r="E248" s="2" t="n">
        <f aca="false">$M248*input!E244</f>
        <v>0</v>
      </c>
      <c r="F248" s="2" t="n">
        <f aca="false">$M248*input!F244</f>
        <v>0</v>
      </c>
      <c r="G248" s="2" t="n">
        <f aca="false">$M248*input!G244</f>
        <v>0</v>
      </c>
      <c r="H248" s="2" t="n">
        <f aca="false">$M248*input!H244</f>
        <v>0</v>
      </c>
      <c r="I248" s="2" t="n">
        <f aca="false">$M248*input!I244</f>
        <v>0</v>
      </c>
      <c r="J248" s="2" t="n">
        <f aca="false">$M248*input!J244</f>
        <v>0</v>
      </c>
      <c r="K248" s="2" t="n">
        <f aca="false">$M248*input!K244</f>
        <v>0</v>
      </c>
      <c r="M248" s="3" t="n">
        <v>1</v>
      </c>
    </row>
    <row r="249" s="11" customFormat="true" ht="13.5" hidden="false" customHeight="true" outlineLevel="0" collapsed="false">
      <c r="A249" s="17" t="str">
        <f aca="false">input!A245</f>
        <v>21. UTILE/PERDITA DI ESERCIZIO</v>
      </c>
      <c r="B249" s="18" t="n">
        <f aca="false">$M249*input!B245</f>
        <v>365477</v>
      </c>
      <c r="C249" s="18" t="n">
        <f aca="false">$M249*input!C245</f>
        <v>347815</v>
      </c>
      <c r="D249" s="18" t="n">
        <f aca="false">$M249*input!D245</f>
        <v>261693</v>
      </c>
      <c r="E249" s="18" t="n">
        <f aca="false">$M249*input!E245</f>
        <v>-298472</v>
      </c>
      <c r="F249" s="18" t="n">
        <f aca="false">$M249*input!F245</f>
        <v>2379195</v>
      </c>
      <c r="G249" s="18" t="n">
        <f aca="false">$M249*input!G245</f>
        <v>-1716981</v>
      </c>
      <c r="H249" s="18" t="n">
        <f aca="false">$M249*input!H245</f>
        <v>618334</v>
      </c>
      <c r="I249" s="18" t="n">
        <f aca="false">$M249*input!I245</f>
        <v>345686</v>
      </c>
      <c r="J249" s="18" t="n">
        <f aca="false">$M249*input!J245</f>
        <v>494992</v>
      </c>
      <c r="K249" s="18" t="n">
        <f aca="false">$M249*input!K245</f>
        <v>665646</v>
      </c>
      <c r="M249" s="11" t="n">
        <v>1</v>
      </c>
    </row>
    <row r="250" customFormat="false" ht="12.75" hidden="false" customHeight="false" outlineLevel="0" collapsed="false">
      <c r="A250" s="32" t="str">
        <f aca="false">input!A246</f>
        <v>UTILE/PERDITA DI ESERCIZIO di pert. di TERZI</v>
      </c>
      <c r="B250" s="33" t="n">
        <f aca="false">$M250*input!B246</f>
        <v>0</v>
      </c>
      <c r="C250" s="33" t="n">
        <f aca="false">$M250*input!C246</f>
        <v>0</v>
      </c>
      <c r="D250" s="33" t="n">
        <f aca="false">$M250*input!D246</f>
        <v>0</v>
      </c>
      <c r="E250" s="33" t="n">
        <f aca="false">$M250*input!E246</f>
        <v>0</v>
      </c>
      <c r="F250" s="33" t="n">
        <f aca="false">$M250*input!F246</f>
        <v>0</v>
      </c>
      <c r="G250" s="33" t="n">
        <f aca="false">$M250*input!G246</f>
        <v>0</v>
      </c>
      <c r="H250" s="33" t="n">
        <f aca="false">$M250*input!H246</f>
        <v>0</v>
      </c>
      <c r="I250" s="33" t="n">
        <f aca="false">$M250*input!I246</f>
        <v>0</v>
      </c>
      <c r="J250" s="33" t="n">
        <f aca="false">$M250*input!J246</f>
        <v>0</v>
      </c>
      <c r="K250" s="33" t="n">
        <f aca="false">$M250*input!K246</f>
        <v>0</v>
      </c>
      <c r="M250" s="3" t="n">
        <v>1</v>
      </c>
    </row>
    <row r="251" customFormat="false" ht="12.75" hidden="false" customHeight="false" outlineLevel="0" collapsed="false">
      <c r="A251" s="1" t="str">
        <f aca="false">input!A247</f>
        <v>G. PFITSCHER SRL</v>
      </c>
    </row>
    <row r="252" customFormat="false" ht="12.75" hidden="false" customHeight="false" outlineLevel="0" collapsed="false">
      <c r="A252" s="1" t="str">
        <f aca="false">input!A248</f>
        <v>02526440215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162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E176" activeCellId="0" sqref="E176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3" width="42.83"/>
    <col collapsed="false" customWidth="true" hidden="false" outlineLevel="0" max="11" min="2" style="26" width="15.83"/>
    <col collapsed="false" customWidth="false" hidden="false" outlineLevel="0" max="16384" min="12" style="3" width="12.67"/>
  </cols>
  <sheetData>
    <row r="1" s="35" customFormat="true" ht="15.75" hidden="false" customHeight="true" outlineLevel="0" collapsed="false">
      <c r="A1" s="34"/>
      <c r="B1" s="28" t="n">
        <f aca="false">case!B1</f>
        <v>2024</v>
      </c>
      <c r="C1" s="35" t="n">
        <f aca="false">case!C1</f>
        <v>2023</v>
      </c>
      <c r="D1" s="35" t="n">
        <f aca="false">case!D1</f>
        <v>2022</v>
      </c>
      <c r="E1" s="35" t="n">
        <f aca="false">case!E1</f>
        <v>2021</v>
      </c>
      <c r="F1" s="35" t="n">
        <f aca="false">case!F1</f>
        <v>2020</v>
      </c>
      <c r="G1" s="35" t="n">
        <f aca="false">case!G1</f>
        <v>2019</v>
      </c>
      <c r="H1" s="35" t="n">
        <f aca="false">case!H1</f>
        <v>2018</v>
      </c>
      <c r="I1" s="35" t="n">
        <f aca="false">case!I1</f>
        <v>2017</v>
      </c>
      <c r="J1" s="35" t="n">
        <f aca="false">case!J1</f>
        <v>2016</v>
      </c>
      <c r="K1" s="35" t="n">
        <f aca="false">case!K1</f>
        <v>2015</v>
      </c>
    </row>
    <row r="2" s="12" customFormat="true" ht="15.75" hidden="false" customHeight="true" outlineLevel="0" collapsed="false">
      <c r="A2" s="36" t="s">
        <v>296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customFormat="false" ht="15.75" hidden="false" customHeight="true" outlineLevel="0" collapsed="false">
      <c r="A3" s="38" t="s">
        <v>297</v>
      </c>
    </row>
    <row r="4" customFormat="false" ht="15.75" hidden="false" customHeight="true" outlineLevel="0" collapsed="false">
      <c r="A4" s="39" t="s">
        <v>298</v>
      </c>
    </row>
    <row r="5" customFormat="false" ht="15.75" hidden="false" customHeight="true" outlineLevel="0" collapsed="false">
      <c r="A5" s="39" t="s">
        <v>256</v>
      </c>
      <c r="B5" s="26" t="n">
        <f aca="false">SUMIF(case!$N:$N,$A5,case!B:B)</f>
        <v>5072536</v>
      </c>
      <c r="C5" s="26" t="n">
        <f aca="false">SUMIF(case!$N:$N,$A5,case!C:C)</f>
        <v>4656610</v>
      </c>
      <c r="D5" s="26" t="n">
        <f aca="false">SUMIF(case!$N:$N,$A5,case!D:D)</f>
        <v>3891919</v>
      </c>
      <c r="E5" s="26" t="n">
        <f aca="false">SUMIF(case!$N:$N,$A5,case!E:E)</f>
        <v>2806882</v>
      </c>
      <c r="F5" s="26" t="n">
        <f aca="false">SUMIF(case!$N:$N,$A5,case!F:F)</f>
        <v>2220598</v>
      </c>
      <c r="G5" s="26" t="n">
        <f aca="false">SUMIF(case!$N:$N,$A5,case!G:G)</f>
        <v>5064957</v>
      </c>
      <c r="H5" s="26" t="n">
        <f aca="false">SUMIF(case!$N:$N,$A5,case!H:H)</f>
        <v>4426084</v>
      </c>
      <c r="I5" s="26" t="n">
        <f aca="false">SUMIF(case!$N:$N,$A5,case!I:I)</f>
        <v>3981145</v>
      </c>
      <c r="J5" s="26" t="n">
        <f aca="false">SUMIF(case!$N:$N,$A5,case!J:J)</f>
        <v>3926759</v>
      </c>
      <c r="K5" s="26" t="n">
        <f aca="false">SUMIF(case!$N:$N,$A5,case!K:K)</f>
        <v>3696647</v>
      </c>
    </row>
    <row r="6" customFormat="false" ht="15.75" hidden="false" customHeight="true" outlineLevel="0" collapsed="false">
      <c r="A6" s="39" t="s">
        <v>254</v>
      </c>
      <c r="B6" s="26" t="n">
        <f aca="false">SUMIF(case!$N:$N,$A6,case!B:B)</f>
        <v>9013430</v>
      </c>
      <c r="C6" s="26" t="n">
        <f aca="false">SUMIF(case!$N:$N,$A6,case!C:C)</f>
        <v>8214881</v>
      </c>
      <c r="D6" s="26" t="n">
        <f aca="false">SUMIF(case!$N:$N,$A6,case!D:D)</f>
        <v>5784833</v>
      </c>
      <c r="E6" s="26" t="n">
        <f aca="false">SUMIF(case!$N:$N,$A6,case!E:E)</f>
        <v>944914</v>
      </c>
      <c r="F6" s="26" t="n">
        <f aca="false">SUMIF(case!$N:$N,$A6,case!F:F)</f>
        <v>1011493</v>
      </c>
      <c r="G6" s="26" t="n">
        <f aca="false">SUMIF(case!$N:$N,$A6,case!G:G)</f>
        <v>6636488</v>
      </c>
      <c r="H6" s="26" t="n">
        <f aca="false">SUMIF(case!$N:$N,$A6,case!H:H)</f>
        <v>4798602</v>
      </c>
      <c r="I6" s="26" t="n">
        <f aca="false">SUMIF(case!$N:$N,$A6,case!I:I)</f>
        <v>3101691</v>
      </c>
      <c r="J6" s="26" t="n">
        <f aca="false">SUMIF(case!$N:$N,$A6,case!J:J)</f>
        <v>2298138</v>
      </c>
      <c r="K6" s="26" t="n">
        <f aca="false">SUMIF(case!$N:$N,$A6,case!K:K)</f>
        <v>2186681</v>
      </c>
    </row>
    <row r="7" customFormat="false" ht="15.75" hidden="false" customHeight="true" outlineLevel="0" collapsed="false">
      <c r="A7" s="39" t="s">
        <v>255</v>
      </c>
      <c r="B7" s="26" t="n">
        <f aca="false">SUMIF(case!$N:$N,$A7,case!B:B)</f>
        <v>6436540</v>
      </c>
      <c r="C7" s="26" t="n">
        <f aca="false">SUMIF(case!$N:$N,$A7,case!C:C)</f>
        <v>999408</v>
      </c>
      <c r="D7" s="26" t="n">
        <f aca="false">SUMIF(case!$N:$N,$A7,case!D:D)</f>
        <v>461652</v>
      </c>
      <c r="E7" s="26" t="n">
        <f aca="false">SUMIF(case!$N:$N,$A7,case!E:E)</f>
        <v>499824</v>
      </c>
      <c r="F7" s="26" t="n">
        <f aca="false">SUMIF(case!$N:$N,$A7,case!F:F)</f>
        <v>2260871</v>
      </c>
      <c r="G7" s="26" t="n">
        <f aca="false">SUMIF(case!$N:$N,$A7,case!G:G)</f>
        <v>706986</v>
      </c>
      <c r="H7" s="26" t="n">
        <f aca="false">SUMIF(case!$N:$N,$A7,case!H:H)</f>
        <v>899776</v>
      </c>
      <c r="I7" s="26" t="n">
        <f aca="false">SUMIF(case!$N:$N,$A7,case!I:I)</f>
        <v>1059260</v>
      </c>
      <c r="J7" s="26" t="n">
        <f aca="false">SUMIF(case!$N:$N,$A7,case!J:J)</f>
        <v>339249</v>
      </c>
      <c r="K7" s="26" t="n">
        <f aca="false">SUMIF(case!$N:$N,$A7,case!K:K)</f>
        <v>1042643</v>
      </c>
    </row>
    <row r="8" customFormat="false" ht="15.75" hidden="false" customHeight="true" outlineLevel="0" collapsed="false">
      <c r="A8" s="38" t="s">
        <v>299</v>
      </c>
      <c r="B8" s="26" t="n">
        <f aca="false">SUM(B5:B7)</f>
        <v>20522506</v>
      </c>
      <c r="C8" s="26" t="n">
        <f aca="false">SUM(C5:C7)</f>
        <v>13870899</v>
      </c>
      <c r="D8" s="26" t="n">
        <f aca="false">SUM(D5:D7)</f>
        <v>10138404</v>
      </c>
      <c r="E8" s="26" t="n">
        <f aca="false">SUM(E5:E7)</f>
        <v>4251620</v>
      </c>
      <c r="F8" s="26" t="n">
        <f aca="false">SUM(F5:F7)</f>
        <v>5492962</v>
      </c>
      <c r="G8" s="26" t="n">
        <f aca="false">SUM(G5:G7)</f>
        <v>12408431</v>
      </c>
      <c r="H8" s="26" t="n">
        <f aca="false">SUM(H5:H7)</f>
        <v>10124462</v>
      </c>
      <c r="I8" s="26" t="n">
        <f aca="false">SUM(I5:I7)</f>
        <v>8142096</v>
      </c>
      <c r="J8" s="26" t="n">
        <f aca="false">SUM(J5:J7)</f>
        <v>6564146</v>
      </c>
      <c r="K8" s="26" t="n">
        <f aca="false">SUM(K5:K7)</f>
        <v>6925971</v>
      </c>
    </row>
    <row r="9" customFormat="false" ht="15.75" hidden="false" customHeight="true" outlineLevel="0" collapsed="false">
      <c r="A9" s="39" t="s">
        <v>300</v>
      </c>
    </row>
    <row r="10" customFormat="false" ht="15.75" hidden="false" customHeight="true" outlineLevel="0" collapsed="false">
      <c r="A10" s="39" t="s">
        <v>247</v>
      </c>
      <c r="B10" s="26" t="n">
        <f aca="false">SUMIF(case!$N:$N,$A10,case!B:B)</f>
        <v>38405250</v>
      </c>
      <c r="C10" s="26" t="n">
        <f aca="false">SUMIF(case!$N:$N,$A10,case!C:C)</f>
        <v>39516723</v>
      </c>
      <c r="D10" s="26" t="n">
        <f aca="false">SUMIF(case!$N:$N,$A10,case!D:D)</f>
        <v>38786914</v>
      </c>
      <c r="E10" s="26" t="n">
        <f aca="false">SUMIF(case!$N:$N,$A10,case!E:E)</f>
        <v>35126044</v>
      </c>
      <c r="F10" s="26" t="n">
        <f aca="false">SUMIF(case!$N:$N,$A10,case!F:F)</f>
        <v>10409040</v>
      </c>
      <c r="G10" s="26" t="n">
        <f aca="false">SUMIF(case!$N:$N,$A10,case!G:G)</f>
        <v>19083354</v>
      </c>
      <c r="H10" s="26" t="n">
        <f aca="false">SUMIF(case!$N:$N,$A10,case!H:H)</f>
        <v>18075194</v>
      </c>
      <c r="I10" s="26" t="n">
        <f aca="false">SUMIF(case!$N:$N,$A10,case!I:I)</f>
        <v>12821075</v>
      </c>
      <c r="J10" s="26" t="n">
        <f aca="false">SUMIF(case!$N:$N,$A10,case!J:J)</f>
        <v>5068654</v>
      </c>
      <c r="K10" s="26" t="n">
        <f aca="false">SUMIF(case!$N:$N,$A10,case!K:K)</f>
        <v>952333</v>
      </c>
    </row>
    <row r="11" customFormat="false" ht="15.75" hidden="false" customHeight="true" outlineLevel="0" collapsed="false">
      <c r="A11" s="39" t="s">
        <v>246</v>
      </c>
      <c r="B11" s="26" t="n">
        <f aca="false">SUMIF(case!$N:$N,$A11,case!B:B)</f>
        <v>31051</v>
      </c>
      <c r="C11" s="26" t="n">
        <f aca="false">SUMIF(case!$N:$N,$A11,case!C:C)</f>
        <v>40796</v>
      </c>
      <c r="D11" s="26" t="n">
        <f aca="false">SUMIF(case!$N:$N,$A11,case!D:D)</f>
        <v>56047</v>
      </c>
      <c r="E11" s="26" t="n">
        <f aca="false">SUMIF(case!$N:$N,$A11,case!E:E)</f>
        <v>72267</v>
      </c>
      <c r="F11" s="26" t="n">
        <f aca="false">SUMIF(case!$N:$N,$A11,case!F:F)</f>
        <v>66140</v>
      </c>
      <c r="G11" s="26" t="n">
        <f aca="false">SUMIF(case!$N:$N,$A11,case!G:G)</f>
        <v>357298</v>
      </c>
      <c r="H11" s="26" t="n">
        <f aca="false">SUMIF(case!$N:$N,$A11,case!H:H)</f>
        <v>371980</v>
      </c>
      <c r="I11" s="26" t="n">
        <f aca="false">SUMIF(case!$N:$N,$A11,case!I:I)</f>
        <v>413542</v>
      </c>
      <c r="J11" s="26" t="n">
        <f aca="false">SUMIF(case!$N:$N,$A11,case!J:J)</f>
        <v>451840</v>
      </c>
      <c r="K11" s="26" t="n">
        <f aca="false">SUMIF(case!$N:$N,$A11,case!K:K)</f>
        <v>511604</v>
      </c>
    </row>
    <row r="12" customFormat="false" ht="15.75" hidden="false" customHeight="true" outlineLevel="0" collapsed="false">
      <c r="A12" s="38" t="s">
        <v>301</v>
      </c>
      <c r="B12" s="26" t="n">
        <f aca="false">SUM(B10:B11)</f>
        <v>38436301</v>
      </c>
      <c r="C12" s="26" t="n">
        <f aca="false">SUM(C10:C11)</f>
        <v>39557519</v>
      </c>
      <c r="D12" s="26" t="n">
        <f aca="false">SUM(D10:D11)</f>
        <v>38842961</v>
      </c>
      <c r="E12" s="26" t="n">
        <f aca="false">SUM(E10:E11)</f>
        <v>35198311</v>
      </c>
      <c r="F12" s="26" t="n">
        <f aca="false">SUM(F10:F11)</f>
        <v>10475180</v>
      </c>
      <c r="G12" s="26" t="n">
        <f aca="false">SUM(G10:G11)</f>
        <v>19440652</v>
      </c>
      <c r="H12" s="26" t="n">
        <f aca="false">SUM(H10:H11)</f>
        <v>18447174</v>
      </c>
      <c r="I12" s="26" t="n">
        <f aca="false">SUM(I10:I11)</f>
        <v>13234617</v>
      </c>
      <c r="J12" s="26" t="n">
        <f aca="false">SUM(J10:J11)</f>
        <v>5520494</v>
      </c>
      <c r="K12" s="26" t="n">
        <f aca="false">SUM(K10:K11)</f>
        <v>1463937</v>
      </c>
    </row>
    <row r="13" customFormat="false" ht="15.75" hidden="false" customHeight="true" outlineLevel="0" collapsed="false">
      <c r="A13" s="39" t="s">
        <v>302</v>
      </c>
    </row>
    <row r="14" customFormat="false" ht="15.75" hidden="false" customHeight="true" outlineLevel="0" collapsed="false">
      <c r="A14" s="39" t="s">
        <v>251</v>
      </c>
      <c r="B14" s="26" t="n">
        <f aca="false">SUMIF(case!$N:$N,$A14,case!B:B)</f>
        <v>1526</v>
      </c>
      <c r="C14" s="26" t="n">
        <f aca="false">SUMIF(case!$N:$N,$A14,case!C:C)</f>
        <v>1501</v>
      </c>
      <c r="D14" s="26" t="n">
        <f aca="false">SUMIF(case!$N:$N,$A14,case!D:D)</f>
        <v>1169</v>
      </c>
      <c r="E14" s="26" t="n">
        <f aca="false">SUMIF(case!$N:$N,$A14,case!E:E)</f>
        <v>1178</v>
      </c>
      <c r="F14" s="26" t="n">
        <f aca="false">SUMIF(case!$N:$N,$A14,case!F:F)</f>
        <v>3176</v>
      </c>
      <c r="G14" s="26" t="n">
        <f aca="false">SUMIF(case!$N:$N,$A14,case!G:G)</f>
        <v>3163</v>
      </c>
      <c r="H14" s="26" t="n">
        <f aca="false">SUMIF(case!$N:$N,$A14,case!H:H)</f>
        <v>3243</v>
      </c>
      <c r="I14" s="26" t="n">
        <f aca="false">SUMIF(case!$N:$N,$A14,case!I:I)</f>
        <v>906</v>
      </c>
      <c r="J14" s="26" t="n">
        <f aca="false">SUMIF(case!$N:$N,$A14,case!J:J)</f>
        <v>881</v>
      </c>
      <c r="K14" s="26" t="n">
        <f aca="false">SUMIF(case!$N:$N,$A14,case!K:K)</f>
        <v>885</v>
      </c>
    </row>
    <row r="15" customFormat="false" ht="15.75" hidden="false" customHeight="true" outlineLevel="0" collapsed="false">
      <c r="A15" s="38" t="s">
        <v>303</v>
      </c>
      <c r="B15" s="26" t="n">
        <f aca="false">SUM(B14)</f>
        <v>1526</v>
      </c>
      <c r="C15" s="26" t="n">
        <f aca="false">SUM(C14)</f>
        <v>1501</v>
      </c>
      <c r="D15" s="26" t="n">
        <f aca="false">SUM(D14)</f>
        <v>1169</v>
      </c>
      <c r="E15" s="26" t="n">
        <f aca="false">SUM(E14)</f>
        <v>1178</v>
      </c>
      <c r="F15" s="26" t="n">
        <f aca="false">SUM(F14)</f>
        <v>3176</v>
      </c>
      <c r="G15" s="26" t="n">
        <f aca="false">SUM(G14)</f>
        <v>3163</v>
      </c>
      <c r="H15" s="26" t="n">
        <f aca="false">SUM(H14)</f>
        <v>3243</v>
      </c>
      <c r="I15" s="26" t="n">
        <f aca="false">SUM(I14)</f>
        <v>906</v>
      </c>
      <c r="J15" s="26" t="n">
        <f aca="false">SUM(J14)</f>
        <v>881</v>
      </c>
      <c r="K15" s="26" t="n">
        <f aca="false">SUM(K14)</f>
        <v>885</v>
      </c>
    </row>
    <row r="16" customFormat="false" ht="15.75" hidden="false" customHeight="true" outlineLevel="0" collapsed="false">
      <c r="A16" s="38" t="s">
        <v>304</v>
      </c>
      <c r="B16" s="26" t="n">
        <f aca="false">B8+B12+B15</f>
        <v>58960333</v>
      </c>
      <c r="C16" s="26" t="n">
        <f aca="false">C8+C12+C15</f>
        <v>53429919</v>
      </c>
      <c r="D16" s="26" t="n">
        <f aca="false">D8+D12+D15</f>
        <v>48982534</v>
      </c>
      <c r="E16" s="26" t="n">
        <f aca="false">E8+E12+E15</f>
        <v>39451109</v>
      </c>
      <c r="F16" s="26" t="n">
        <f aca="false">F8+F12+F15</f>
        <v>15971318</v>
      </c>
      <c r="G16" s="26" t="n">
        <f aca="false">G8+G12+G15</f>
        <v>31852246</v>
      </c>
      <c r="H16" s="26" t="n">
        <f aca="false">H8+H12+H15</f>
        <v>28574879</v>
      </c>
      <c r="I16" s="26" t="n">
        <f aca="false">I8+I12+I15</f>
        <v>21377619</v>
      </c>
      <c r="J16" s="26" t="n">
        <f aca="false">J8+J12+J15</f>
        <v>12085521</v>
      </c>
      <c r="K16" s="26" t="n">
        <f aca="false">K8+K12+K15</f>
        <v>8390793</v>
      </c>
    </row>
    <row r="17" customFormat="false" ht="15.75" hidden="false" customHeight="true" outlineLevel="0" collapsed="false">
      <c r="A17" s="39"/>
    </row>
    <row r="18" customFormat="false" ht="15.75" hidden="false" customHeight="true" outlineLevel="0" collapsed="false">
      <c r="A18" s="38" t="s">
        <v>305</v>
      </c>
    </row>
    <row r="19" customFormat="false" ht="15.75" hidden="false" customHeight="true" outlineLevel="0" collapsed="false">
      <c r="A19" s="39" t="s">
        <v>257</v>
      </c>
      <c r="B19" s="26" t="n">
        <f aca="false">SUMIF(case!$N:$N,$A19,case!B:B)</f>
        <v>885448</v>
      </c>
      <c r="C19" s="26" t="n">
        <f aca="false">SUMIF(case!$N:$N,$A19,case!C:C)</f>
        <v>3417171</v>
      </c>
      <c r="D19" s="26" t="n">
        <f aca="false">SUMIF(case!$N:$N,$A19,case!D:D)</f>
        <v>4824223</v>
      </c>
      <c r="E19" s="26" t="n">
        <f aca="false">SUMIF(case!$N:$N,$A19,case!E:E)</f>
        <v>5600024</v>
      </c>
      <c r="F19" s="26" t="n">
        <f aca="false">SUMIF(case!$N:$N,$A19,case!F:F)</f>
        <v>610209</v>
      </c>
      <c r="G19" s="26" t="n">
        <f aca="false">SUMIF(case!$N:$N,$A19,case!G:G)</f>
        <v>50281</v>
      </c>
      <c r="H19" s="26" t="n">
        <f aca="false">SUMIF(case!$N:$N,$A19,case!H:H)</f>
        <v>239064</v>
      </c>
      <c r="I19" s="26" t="n">
        <f aca="false">SUMIF(case!$N:$N,$A19,case!I:I)</f>
        <v>938937</v>
      </c>
      <c r="J19" s="26" t="n">
        <f aca="false">SUMIF(case!$N:$N,$A19,case!J:J)</f>
        <v>162883</v>
      </c>
      <c r="K19" s="26" t="n">
        <f aca="false">SUMIF(case!$N:$N,$A19,case!K:K)</f>
        <v>8359</v>
      </c>
    </row>
    <row r="20" customFormat="false" ht="15.75" hidden="false" customHeight="true" outlineLevel="0" collapsed="false">
      <c r="A20" s="39" t="s">
        <v>258</v>
      </c>
      <c r="B20" s="26" t="n">
        <f aca="false">SUMIF(case!$N:$N,$A20,case!B:B)</f>
        <v>534220</v>
      </c>
      <c r="C20" s="26" t="n">
        <f aca="false">SUMIF(case!$N:$N,$A20,case!C:C)</f>
        <v>583101</v>
      </c>
      <c r="D20" s="26" t="n">
        <f aca="false">SUMIF(case!$N:$N,$A20,case!D:D)</f>
        <v>537736</v>
      </c>
      <c r="E20" s="26" t="n">
        <f aca="false">SUMIF(case!$N:$N,$A20,case!E:E)</f>
        <v>486553</v>
      </c>
      <c r="F20" s="26" t="n">
        <f aca="false">SUMIF(case!$N:$N,$A20,case!F:F)</f>
        <v>247532</v>
      </c>
      <c r="G20" s="26" t="n">
        <f aca="false">SUMIF(case!$N:$N,$A20,case!G:G)</f>
        <v>105630</v>
      </c>
      <c r="H20" s="26" t="n">
        <f aca="false">SUMIF(case!$N:$N,$A20,case!H:H)</f>
        <v>71399</v>
      </c>
      <c r="I20" s="26" t="n">
        <f aca="false">SUMIF(case!$N:$N,$A20,case!I:I)</f>
        <v>30534</v>
      </c>
      <c r="J20" s="26" t="n">
        <f aca="false">SUMIF(case!$N:$N,$A20,case!J:J)</f>
        <v>20163</v>
      </c>
      <c r="K20" s="26" t="n">
        <f aca="false">SUMIF(case!$N:$N,$A20,case!K:K)</f>
        <v>15130</v>
      </c>
    </row>
    <row r="21" customFormat="false" ht="15.75" hidden="false" customHeight="true" outlineLevel="0" collapsed="false">
      <c r="A21" s="38" t="s">
        <v>306</v>
      </c>
      <c r="B21" s="26" t="n">
        <f aca="false">SUM(B19:B20)</f>
        <v>1419668</v>
      </c>
      <c r="C21" s="26" t="n">
        <f aca="false">SUM(C19:C20)</f>
        <v>4000272</v>
      </c>
      <c r="D21" s="26" t="n">
        <f aca="false">SUM(D19:D20)</f>
        <v>5361959</v>
      </c>
      <c r="E21" s="26" t="n">
        <f aca="false">SUM(E19:E20)</f>
        <v>6086577</v>
      </c>
      <c r="F21" s="26" t="n">
        <f aca="false">SUM(F19:F20)</f>
        <v>857741</v>
      </c>
      <c r="G21" s="26" t="n">
        <f aca="false">SUM(G19:G20)</f>
        <v>155911</v>
      </c>
      <c r="H21" s="26" t="n">
        <f aca="false">SUM(H19:H20)</f>
        <v>310463</v>
      </c>
      <c r="I21" s="26" t="n">
        <f aca="false">SUM(I19:I20)</f>
        <v>969471</v>
      </c>
      <c r="J21" s="26" t="n">
        <f aca="false">SUM(J19:J20)</f>
        <v>183046</v>
      </c>
      <c r="K21" s="26" t="n">
        <f aca="false">SUM(K19:K20)</f>
        <v>23489</v>
      </c>
    </row>
    <row r="22" customFormat="false" ht="15.75" hidden="false" customHeight="true" outlineLevel="0" collapsed="false">
      <c r="A22" s="39"/>
    </row>
    <row r="23" customFormat="false" ht="15.75" hidden="false" customHeight="true" outlineLevel="0" collapsed="false">
      <c r="A23" s="38" t="s">
        <v>307</v>
      </c>
    </row>
    <row r="24" customFormat="false" ht="15.75" hidden="false" customHeight="true" outlineLevel="0" collapsed="false">
      <c r="A24" s="39" t="s">
        <v>308</v>
      </c>
      <c r="B24" s="26" t="n">
        <f aca="false">SUMIF(case!$N:$N,$A24,case!B:B)</f>
        <v>0</v>
      </c>
      <c r="C24" s="26" t="n">
        <f aca="false">SUMIF(case!$N:$N,$A24,case!C:C)</f>
        <v>0</v>
      </c>
      <c r="D24" s="26" t="n">
        <f aca="false">SUMIF(case!$N:$N,$A24,case!D:D)</f>
        <v>0</v>
      </c>
      <c r="E24" s="26" t="n">
        <f aca="false">SUMIF(case!$N:$N,$A24,case!E:E)</f>
        <v>0</v>
      </c>
      <c r="F24" s="26" t="n">
        <f aca="false">SUMIF(case!$N:$N,$A24,case!F:F)</f>
        <v>0</v>
      </c>
      <c r="G24" s="26" t="n">
        <f aca="false">SUMIF(case!$N:$N,$A24,case!G:G)</f>
        <v>0</v>
      </c>
      <c r="H24" s="26" t="n">
        <f aca="false">SUMIF(case!$N:$N,$A24,case!H:H)</f>
        <v>0</v>
      </c>
      <c r="I24" s="26" t="n">
        <f aca="false">SUMIF(case!$N:$N,$A24,case!I:I)</f>
        <v>0</v>
      </c>
      <c r="J24" s="26" t="n">
        <f aca="false">SUMIF(case!$N:$N,$A24,case!J:J)</f>
        <v>0</v>
      </c>
      <c r="K24" s="26" t="n">
        <f aca="false">SUMIF(case!$N:$N,$A24,case!K:K)</f>
        <v>0</v>
      </c>
    </row>
    <row r="25" customFormat="false" ht="15.75" hidden="false" customHeight="true" outlineLevel="0" collapsed="false">
      <c r="A25" s="39" t="s">
        <v>248</v>
      </c>
      <c r="B25" s="26" t="n">
        <f aca="false">SUMIF(case!$N:$N,$A25,case!B:B)</f>
        <v>3138</v>
      </c>
      <c r="C25" s="26" t="n">
        <f aca="false">SUMIF(case!$N:$N,$A25,case!C:C)</f>
        <v>3138</v>
      </c>
      <c r="D25" s="26" t="n">
        <f aca="false">SUMIF(case!$N:$N,$A25,case!D:D)</f>
        <v>3138</v>
      </c>
      <c r="E25" s="26" t="n">
        <f aca="false">SUMIF(case!$N:$N,$A25,case!E:E)</f>
        <v>3138</v>
      </c>
      <c r="F25" s="26" t="n">
        <f aca="false">SUMIF(case!$N:$N,$A25,case!F:F)</f>
        <v>3138</v>
      </c>
      <c r="G25" s="26" t="n">
        <f aca="false">SUMIF(case!$N:$N,$A25,case!G:G)</f>
        <v>3138</v>
      </c>
      <c r="H25" s="26" t="n">
        <f aca="false">SUMIF(case!$N:$N,$A25,case!H:H)</f>
        <v>3138</v>
      </c>
      <c r="I25" s="26" t="n">
        <f aca="false">SUMIF(case!$N:$N,$A25,case!I:I)</f>
        <v>3138</v>
      </c>
      <c r="J25" s="26" t="n">
        <f aca="false">SUMIF(case!$N:$N,$A25,case!J:J)</f>
        <v>3138</v>
      </c>
      <c r="K25" s="26" t="n">
        <f aca="false">SUMIF(case!$N:$N,$A25,case!K:K)</f>
        <v>2831</v>
      </c>
    </row>
    <row r="26" customFormat="false" ht="15.75" hidden="false" customHeight="true" outlineLevel="0" collapsed="false">
      <c r="A26" s="39" t="s">
        <v>250</v>
      </c>
      <c r="B26" s="26" t="n">
        <f aca="false">SUMIF(case!$N:$N,$A26,case!B:B)</f>
        <v>0</v>
      </c>
      <c r="C26" s="26" t="n">
        <f aca="false">SUMIF(case!$N:$N,$A26,case!C:C)</f>
        <v>0</v>
      </c>
      <c r="D26" s="26" t="n">
        <f aca="false">SUMIF(case!$N:$N,$A26,case!D:D)</f>
        <v>0</v>
      </c>
      <c r="E26" s="26" t="n">
        <f aca="false">SUMIF(case!$N:$N,$A26,case!E:E)</f>
        <v>0</v>
      </c>
      <c r="F26" s="26" t="n">
        <f aca="false">SUMIF(case!$N:$N,$A26,case!F:F)</f>
        <v>0</v>
      </c>
      <c r="G26" s="26" t="n">
        <f aca="false">SUMIF(case!$N:$N,$A26,case!G:G)</f>
        <v>0</v>
      </c>
      <c r="H26" s="26" t="n">
        <f aca="false">SUMIF(case!$N:$N,$A26,case!H:H)</f>
        <v>0</v>
      </c>
      <c r="I26" s="26" t="n">
        <f aca="false">SUMIF(case!$N:$N,$A26,case!I:I)</f>
        <v>0</v>
      </c>
      <c r="J26" s="26" t="n">
        <f aca="false">SUMIF(case!$N:$N,$A26,case!J:J)</f>
        <v>0</v>
      </c>
      <c r="K26" s="26" t="n">
        <f aca="false">SUMIF(case!$N:$N,$A26,case!K:K)</f>
        <v>0</v>
      </c>
    </row>
    <row r="27" customFormat="false" ht="15.75" hidden="false" customHeight="true" outlineLevel="0" collapsed="false">
      <c r="A27" s="38" t="s">
        <v>309</v>
      </c>
      <c r="B27" s="26" t="n">
        <f aca="false">SUM(B24:B26)</f>
        <v>3138</v>
      </c>
      <c r="C27" s="26" t="n">
        <f aca="false">SUM(C24:C26)</f>
        <v>3138</v>
      </c>
      <c r="D27" s="26" t="n">
        <f aca="false">SUM(D24:D26)</f>
        <v>3138</v>
      </c>
      <c r="E27" s="26" t="n">
        <f aca="false">SUM(E24:E26)</f>
        <v>3138</v>
      </c>
      <c r="F27" s="26" t="n">
        <f aca="false">SUM(F24:F26)</f>
        <v>3138</v>
      </c>
      <c r="G27" s="26" t="n">
        <f aca="false">SUM(G24:G26)</f>
        <v>3138</v>
      </c>
      <c r="H27" s="26" t="n">
        <f aca="false">SUM(H24:H26)</f>
        <v>3138</v>
      </c>
      <c r="I27" s="26" t="n">
        <f aca="false">SUM(I24:I26)</f>
        <v>3138</v>
      </c>
      <c r="J27" s="26" t="n">
        <f aca="false">SUM(J24:J26)</f>
        <v>3138</v>
      </c>
      <c r="K27" s="26" t="n">
        <f aca="false">SUM(K24:K26)</f>
        <v>2831</v>
      </c>
    </row>
    <row r="28" customFormat="false" ht="15.75" hidden="false" customHeight="true" outlineLevel="0" collapsed="false">
      <c r="A28" s="39"/>
    </row>
    <row r="29" customFormat="false" ht="15.75" hidden="false" customHeight="true" outlineLevel="0" collapsed="false">
      <c r="A29" s="38" t="s">
        <v>310</v>
      </c>
    </row>
    <row r="30" customFormat="false" ht="15.75" hidden="false" customHeight="true" outlineLevel="0" collapsed="false">
      <c r="A30" s="39" t="s">
        <v>259</v>
      </c>
      <c r="B30" s="26" t="n">
        <f aca="false">SUMIF(case!$N:$N,$A30,case!B:B)</f>
        <v>0</v>
      </c>
      <c r="C30" s="26" t="n">
        <f aca="false">SUMIF(case!$N:$N,$A30,case!C:C)</f>
        <v>0</v>
      </c>
      <c r="D30" s="26" t="n">
        <f aca="false">SUMIF(case!$N:$N,$A30,case!D:D)</f>
        <v>0</v>
      </c>
      <c r="E30" s="26" t="n">
        <f aca="false">SUMIF(case!$N:$N,$A30,case!E:E)</f>
        <v>0</v>
      </c>
      <c r="F30" s="26" t="n">
        <f aca="false">SUMIF(case!$N:$N,$A30,case!F:F)</f>
        <v>0</v>
      </c>
      <c r="G30" s="26" t="n">
        <f aca="false">SUMIF(case!$N:$N,$A30,case!G:G)</f>
        <v>0</v>
      </c>
      <c r="H30" s="26" t="n">
        <f aca="false">SUMIF(case!$N:$N,$A30,case!H:H)</f>
        <v>0</v>
      </c>
      <c r="I30" s="26" t="n">
        <f aca="false">SUMIF(case!$N:$N,$A30,case!I:I)</f>
        <v>0</v>
      </c>
      <c r="J30" s="26" t="n">
        <f aca="false">SUMIF(case!$N:$N,$A30,case!J:J)</f>
        <v>0</v>
      </c>
      <c r="K30" s="26" t="n">
        <f aca="false">SUMIF(case!$N:$N,$A30,case!K:K)</f>
        <v>0</v>
      </c>
    </row>
    <row r="31" customFormat="false" ht="15.75" hidden="false" customHeight="true" outlineLevel="0" collapsed="false">
      <c r="A31" s="39" t="s">
        <v>260</v>
      </c>
      <c r="B31" s="26" t="n">
        <f aca="false">SUMIF(case!$N:$N,$A31,case!B:B)</f>
        <v>11657</v>
      </c>
      <c r="C31" s="26" t="n">
        <f aca="false">SUMIF(case!$N:$N,$A31,case!C:C)</f>
        <v>46341</v>
      </c>
      <c r="D31" s="26" t="n">
        <f aca="false">SUMIF(case!$N:$N,$A31,case!D:D)</f>
        <v>111998</v>
      </c>
      <c r="E31" s="26" t="n">
        <f aca="false">SUMIF(case!$N:$N,$A31,case!E:E)</f>
        <v>958199</v>
      </c>
      <c r="F31" s="26" t="n">
        <f aca="false">SUMIF(case!$N:$N,$A31,case!F:F)</f>
        <v>8964663</v>
      </c>
      <c r="G31" s="26" t="n">
        <f aca="false">SUMIF(case!$N:$N,$A31,case!G:G)</f>
        <v>395065</v>
      </c>
      <c r="H31" s="26" t="n">
        <f aca="false">SUMIF(case!$N:$N,$A31,case!H:H)</f>
        <v>249464</v>
      </c>
      <c r="I31" s="26" t="n">
        <f aca="false">SUMIF(case!$N:$N,$A31,case!I:I)</f>
        <v>146831</v>
      </c>
      <c r="J31" s="26" t="n">
        <f aca="false">SUMIF(case!$N:$N,$A31,case!J:J)</f>
        <v>79896</v>
      </c>
      <c r="K31" s="26" t="n">
        <f aca="false">SUMIF(case!$N:$N,$A31,case!K:K)</f>
        <v>59936</v>
      </c>
    </row>
    <row r="32" customFormat="false" ht="15.75" hidden="false" customHeight="true" outlineLevel="0" collapsed="false">
      <c r="A32" s="39" t="s">
        <v>252</v>
      </c>
      <c r="B32" s="26" t="n">
        <f aca="false">SUMIF(case!$N:$N,$A32,case!B:B)</f>
        <v>0</v>
      </c>
      <c r="C32" s="26" t="n">
        <f aca="false">SUMIF(case!$N:$N,$A32,case!C:C)</f>
        <v>0</v>
      </c>
      <c r="D32" s="26" t="n">
        <f aca="false">SUMIF(case!$N:$N,$A32,case!D:D)</f>
        <v>0</v>
      </c>
      <c r="E32" s="26" t="n">
        <f aca="false">SUMIF(case!$N:$N,$A32,case!E:E)</f>
        <v>0</v>
      </c>
      <c r="F32" s="26" t="n">
        <f aca="false">SUMIF(case!$N:$N,$A32,case!F:F)</f>
        <v>0</v>
      </c>
      <c r="G32" s="26" t="n">
        <f aca="false">SUMIF(case!$N:$N,$A32,case!G:G)</f>
        <v>0</v>
      </c>
      <c r="H32" s="26" t="n">
        <f aca="false">SUMIF(case!$N:$N,$A32,case!H:H)</f>
        <v>0</v>
      </c>
      <c r="I32" s="26" t="n">
        <f aca="false">SUMIF(case!$N:$N,$A32,case!I:I)</f>
        <v>0</v>
      </c>
      <c r="J32" s="26" t="n">
        <f aca="false">SUMIF(case!$N:$N,$A32,case!J:J)</f>
        <v>0</v>
      </c>
      <c r="K32" s="26" t="n">
        <f aca="false">SUMIF(case!$N:$N,$A32,case!K:K)</f>
        <v>0</v>
      </c>
    </row>
    <row r="33" customFormat="false" ht="15.75" hidden="false" customHeight="true" outlineLevel="0" collapsed="false">
      <c r="A33" s="38" t="s">
        <v>311</v>
      </c>
      <c r="B33" s="26" t="n">
        <f aca="false">SUM(B30:B32)</f>
        <v>11657</v>
      </c>
      <c r="C33" s="26" t="n">
        <f aca="false">SUM(C30:C32)</f>
        <v>46341</v>
      </c>
      <c r="D33" s="26" t="n">
        <f aca="false">SUM(D30:D32)</f>
        <v>111998</v>
      </c>
      <c r="E33" s="26" t="n">
        <f aca="false">SUM(E30:E32)</f>
        <v>958199</v>
      </c>
      <c r="F33" s="26" t="n">
        <f aca="false">SUM(F30:F32)</f>
        <v>8964663</v>
      </c>
      <c r="G33" s="26" t="n">
        <f aca="false">SUM(G30:G32)</f>
        <v>395065</v>
      </c>
      <c r="H33" s="26" t="n">
        <f aca="false">SUM(H30:H32)</f>
        <v>249464</v>
      </c>
      <c r="I33" s="26" t="n">
        <f aca="false">SUM(I30:I32)</f>
        <v>146831</v>
      </c>
      <c r="J33" s="26" t="n">
        <f aca="false">SUM(J30:J32)</f>
        <v>79896</v>
      </c>
      <c r="K33" s="26" t="n">
        <f aca="false">SUM(K30:K32)</f>
        <v>59936</v>
      </c>
    </row>
    <row r="34" customFormat="false" ht="15.75" hidden="false" customHeight="true" outlineLevel="0" collapsed="false">
      <c r="A34" s="39"/>
    </row>
    <row r="35" customFormat="false" ht="15.75" hidden="false" customHeight="true" outlineLevel="0" collapsed="false">
      <c r="A35" s="38" t="s">
        <v>312</v>
      </c>
      <c r="B35" s="26" t="n">
        <f aca="false">B16+B21+B27+B33</f>
        <v>60394796</v>
      </c>
      <c r="C35" s="26" t="n">
        <f aca="false">C16+C21+C27+C33</f>
        <v>57479670</v>
      </c>
      <c r="D35" s="26" t="n">
        <f aca="false">D16+D21+D27+D33</f>
        <v>54459629</v>
      </c>
      <c r="E35" s="26" t="n">
        <f aca="false">E16+E21+E27+E33</f>
        <v>46499023</v>
      </c>
      <c r="F35" s="26" t="n">
        <f aca="false">F16+F21+F27+F33</f>
        <v>25796860</v>
      </c>
      <c r="G35" s="26" t="n">
        <f aca="false">G16+G21+G27+G33</f>
        <v>32406360</v>
      </c>
      <c r="H35" s="26" t="n">
        <f aca="false">H16+H21+H27+H33</f>
        <v>29137944</v>
      </c>
      <c r="I35" s="26" t="n">
        <f aca="false">I16+I21+I27+I33</f>
        <v>22497059</v>
      </c>
      <c r="J35" s="26" t="n">
        <f aca="false">J16+J21+J27+J33</f>
        <v>12351601</v>
      </c>
      <c r="K35" s="26" t="n">
        <f aca="false">K16+K21+K27+K33</f>
        <v>8477049</v>
      </c>
    </row>
    <row r="36" customFormat="false" ht="15.75" hidden="false" customHeight="true" outlineLevel="0" collapsed="false">
      <c r="A36" s="39"/>
    </row>
    <row r="37" customFormat="false" ht="15.75" hidden="false" customHeight="true" outlineLevel="0" collapsed="false">
      <c r="A37" s="39" t="s">
        <v>313</v>
      </c>
      <c r="B37" s="26" t="n">
        <f aca="false">case!B95</f>
        <v>61444796</v>
      </c>
      <c r="C37" s="26" t="n">
        <f aca="false">case!C95</f>
        <v>57479670</v>
      </c>
      <c r="D37" s="26" t="n">
        <f aca="false">case!D95</f>
        <v>54459629</v>
      </c>
      <c r="E37" s="26" t="n">
        <f aca="false">case!E95</f>
        <v>46499023</v>
      </c>
      <c r="F37" s="26" t="n">
        <f aca="false">case!F95</f>
        <v>25796860</v>
      </c>
      <c r="G37" s="26" t="n">
        <f aca="false">case!G95</f>
        <v>32406360</v>
      </c>
      <c r="H37" s="26" t="n">
        <f aca="false">case!H95</f>
        <v>29137944</v>
      </c>
      <c r="I37" s="26" t="n">
        <f aca="false">case!I95</f>
        <v>22497059</v>
      </c>
      <c r="J37" s="26" t="n">
        <f aca="false">case!J95</f>
        <v>12351601</v>
      </c>
      <c r="K37" s="26" t="n">
        <f aca="false">case!K95</f>
        <v>8477049</v>
      </c>
    </row>
    <row r="38" customFormat="false" ht="15.75" hidden="false" customHeight="true" outlineLevel="0" collapsed="false">
      <c r="A38" s="39" t="s">
        <v>314</v>
      </c>
      <c r="B38" s="26" t="n">
        <f aca="false">B37-B35</f>
        <v>1050000</v>
      </c>
      <c r="C38" s="26" t="n">
        <f aca="false">C37-C35</f>
        <v>0</v>
      </c>
      <c r="D38" s="26" t="n">
        <f aca="false">D37-D35</f>
        <v>0</v>
      </c>
      <c r="E38" s="26" t="n">
        <f aca="false">E37-E35</f>
        <v>0</v>
      </c>
      <c r="F38" s="26" t="n">
        <f aca="false">F37-F35</f>
        <v>0</v>
      </c>
      <c r="G38" s="26" t="n">
        <f aca="false">G37-G35</f>
        <v>0</v>
      </c>
      <c r="H38" s="26" t="n">
        <f aca="false">H37-H35</f>
        <v>0</v>
      </c>
      <c r="I38" s="26" t="n">
        <f aca="false">I37-I35</f>
        <v>0</v>
      </c>
      <c r="J38" s="26" t="n">
        <f aca="false">J37-J35</f>
        <v>0</v>
      </c>
      <c r="K38" s="26" t="n">
        <f aca="false">K37-K35</f>
        <v>0</v>
      </c>
    </row>
    <row r="39" customFormat="false" ht="15.75" hidden="false" customHeight="true" outlineLevel="0" collapsed="false">
      <c r="A39" s="39" t="s">
        <v>315</v>
      </c>
      <c r="B39" s="26" t="n">
        <f aca="false">case!B2+case!B46</f>
        <v>-1050000</v>
      </c>
      <c r="C39" s="26" t="n">
        <f aca="false">case!C2+case!C46</f>
        <v>-0</v>
      </c>
      <c r="D39" s="26" t="n">
        <f aca="false">case!D2+case!D46</f>
        <v>-0</v>
      </c>
      <c r="E39" s="26" t="n">
        <f aca="false">case!E2+case!E46</f>
        <v>-0</v>
      </c>
      <c r="F39" s="26" t="n">
        <f aca="false">case!F2+case!F46</f>
        <v>-0</v>
      </c>
      <c r="G39" s="26" t="n">
        <f aca="false">case!G2+case!G46</f>
        <v>-0</v>
      </c>
      <c r="H39" s="26" t="n">
        <f aca="false">case!H2+case!H46</f>
        <v>-0</v>
      </c>
      <c r="I39" s="26" t="n">
        <f aca="false">case!I2+case!I46</f>
        <v>-0</v>
      </c>
      <c r="J39" s="26" t="n">
        <f aca="false">case!J2+case!J46</f>
        <v>-0</v>
      </c>
      <c r="K39" s="26" t="n">
        <f aca="false">case!K2+case!K46</f>
        <v>-0</v>
      </c>
    </row>
    <row r="40" customFormat="false" ht="15.75" hidden="false" customHeight="true" outlineLevel="0" collapsed="false">
      <c r="A40" s="39" t="s">
        <v>316</v>
      </c>
      <c r="B40" s="26" t="n">
        <f aca="false">B38+B39</f>
        <v>0</v>
      </c>
      <c r="C40" s="26" t="n">
        <f aca="false">C38+C39</f>
        <v>0</v>
      </c>
      <c r="D40" s="26" t="n">
        <f aca="false">D38+D39</f>
        <v>0</v>
      </c>
      <c r="E40" s="26" t="n">
        <f aca="false">E38+E39</f>
        <v>0</v>
      </c>
      <c r="F40" s="26" t="n">
        <f aca="false">F38+F39</f>
        <v>0</v>
      </c>
      <c r="G40" s="26" t="n">
        <f aca="false">G38+G39</f>
        <v>0</v>
      </c>
      <c r="H40" s="26" t="n">
        <f aca="false">H38+H39</f>
        <v>0</v>
      </c>
      <c r="I40" s="26" t="n">
        <f aca="false">I38+I39</f>
        <v>0</v>
      </c>
      <c r="J40" s="26" t="n">
        <f aca="false">J38+J39</f>
        <v>0</v>
      </c>
      <c r="K40" s="26" t="n">
        <f aca="false">K38+K39</f>
        <v>0</v>
      </c>
    </row>
    <row r="41" customFormat="false" ht="15.75" hidden="false" customHeight="true" outlineLevel="0" collapsed="false">
      <c r="A41" s="39"/>
    </row>
    <row r="42" customFormat="false" ht="15.75" hidden="false" customHeight="true" outlineLevel="0" collapsed="false">
      <c r="A42" s="39"/>
    </row>
    <row r="43" customFormat="false" ht="15.75" hidden="false" customHeight="true" outlineLevel="0" collapsed="false">
      <c r="A43" s="39"/>
    </row>
    <row r="44" customFormat="false" ht="15.75" hidden="false" customHeight="true" outlineLevel="0" collapsed="false">
      <c r="A44" s="38"/>
      <c r="B44" s="10" t="n">
        <f aca="false">B1</f>
        <v>2024</v>
      </c>
      <c r="C44" s="10" t="n">
        <f aca="false">C1</f>
        <v>2023</v>
      </c>
      <c r="D44" s="10" t="n">
        <f aca="false">D1</f>
        <v>2022</v>
      </c>
      <c r="E44" s="10" t="n">
        <f aca="false">E1</f>
        <v>2021</v>
      </c>
      <c r="F44" s="10" t="n">
        <f aca="false">F1</f>
        <v>2020</v>
      </c>
      <c r="G44" s="10" t="n">
        <f aca="false">G1</f>
        <v>2019</v>
      </c>
      <c r="H44" s="10" t="n">
        <f aca="false">H1</f>
        <v>2018</v>
      </c>
      <c r="I44" s="10" t="n">
        <f aca="false">I1</f>
        <v>2017</v>
      </c>
      <c r="J44" s="10" t="n">
        <f aca="false">J1</f>
        <v>2016</v>
      </c>
      <c r="K44" s="10" t="n">
        <f aca="false">K1</f>
        <v>2015</v>
      </c>
    </row>
    <row r="45" s="12" customFormat="true" ht="15.75" hidden="false" customHeight="true" outlineLevel="0" collapsed="false">
      <c r="A45" s="36" t="s">
        <v>317</v>
      </c>
    </row>
    <row r="46" customFormat="false" ht="15.75" hidden="false" customHeight="true" outlineLevel="0" collapsed="false">
      <c r="A46" s="38" t="s">
        <v>318</v>
      </c>
    </row>
    <row r="47" customFormat="false" ht="15.75" hidden="false" customHeight="true" outlineLevel="0" collapsed="false">
      <c r="A47" s="39" t="s">
        <v>319</v>
      </c>
      <c r="B47" s="26" t="n">
        <f aca="false">SUMIF(case!$N:$N,$A47,case!B:B)</f>
        <v>0</v>
      </c>
      <c r="C47" s="26" t="n">
        <f aca="false">SUMIF(case!$N:$N,$A47,case!C:C)</f>
        <v>0</v>
      </c>
      <c r="D47" s="26" t="n">
        <f aca="false">SUMIF(case!$N:$N,$A47,case!D:D)</f>
        <v>0</v>
      </c>
      <c r="E47" s="26" t="n">
        <f aca="false">SUMIF(case!$N:$N,$A47,case!E:E)</f>
        <v>0</v>
      </c>
      <c r="F47" s="26" t="n">
        <f aca="false">SUMIF(case!$N:$N,$A47,case!F:F)</f>
        <v>0</v>
      </c>
      <c r="G47" s="26" t="n">
        <f aca="false">SUMIF(case!$N:$N,$A47,case!G:G)</f>
        <v>0</v>
      </c>
      <c r="H47" s="26" t="n">
        <f aca="false">SUMIF(case!$N:$N,$A47,case!H:H)</f>
        <v>0</v>
      </c>
      <c r="I47" s="26" t="n">
        <f aca="false">SUMIF(case!$N:$N,$A47,case!I:I)</f>
        <v>0</v>
      </c>
      <c r="J47" s="26" t="n">
        <f aca="false">SUMIF(case!$N:$N,$A47,case!J:J)</f>
        <v>0</v>
      </c>
      <c r="K47" s="26" t="n">
        <f aca="false">SUMIF(case!$N:$N,$A47,case!K:K)</f>
        <v>0</v>
      </c>
    </row>
    <row r="48" customFormat="false" ht="15.75" hidden="false" customHeight="true" outlineLevel="0" collapsed="false">
      <c r="A48" s="39" t="s">
        <v>274</v>
      </c>
      <c r="B48" s="26" t="n">
        <f aca="false">SUMIF(case!$N:$N,$A48,case!B:B)</f>
        <v>7743380</v>
      </c>
      <c r="C48" s="26" t="n">
        <f aca="false">SUMIF(case!$N:$N,$A48,case!C:C)</f>
        <v>10950974</v>
      </c>
      <c r="D48" s="26" t="n">
        <f aca="false">SUMIF(case!$N:$N,$A48,case!D:D)</f>
        <v>10425213</v>
      </c>
      <c r="E48" s="26" t="n">
        <f aca="false">SUMIF(case!$N:$N,$A48,case!E:E)</f>
        <v>12275557</v>
      </c>
      <c r="F48" s="26" t="n">
        <f aca="false">SUMIF(case!$N:$N,$A48,case!F:F)</f>
        <v>6553860</v>
      </c>
      <c r="G48" s="26" t="n">
        <f aca="false">SUMIF(case!$N:$N,$A48,case!G:G)</f>
        <v>3605154</v>
      </c>
      <c r="H48" s="26" t="n">
        <f aca="false">SUMIF(case!$N:$N,$A48,case!H:H)</f>
        <v>3163637</v>
      </c>
      <c r="I48" s="26" t="n">
        <f aca="false">SUMIF(case!$N:$N,$A48,case!I:I)</f>
        <v>3849711</v>
      </c>
      <c r="J48" s="26" t="n">
        <f aca="false">SUMIF(case!$N:$N,$A48,case!J:J)</f>
        <v>1639864</v>
      </c>
      <c r="K48" s="26" t="n">
        <f aca="false">SUMIF(case!$N:$N,$A48,case!K:K)</f>
        <v>1782237</v>
      </c>
    </row>
    <row r="49" customFormat="false" ht="15.75" hidden="false" customHeight="true" outlineLevel="0" collapsed="false">
      <c r="A49" s="39" t="s">
        <v>320</v>
      </c>
      <c r="B49" s="26" t="n">
        <f aca="false">SUMIF(case!$N:$N,$A49,case!B:B)</f>
        <v>0</v>
      </c>
      <c r="C49" s="26" t="n">
        <f aca="false">SUMIF(case!$N:$N,$A49,case!C:C)</f>
        <v>0</v>
      </c>
      <c r="D49" s="26" t="n">
        <f aca="false">SUMIF(case!$N:$N,$A49,case!D:D)</f>
        <v>0</v>
      </c>
      <c r="E49" s="26" t="n">
        <f aca="false">SUMIF(case!$N:$N,$A49,case!E:E)</f>
        <v>0</v>
      </c>
      <c r="F49" s="26" t="n">
        <f aca="false">SUMIF(case!$N:$N,$A49,case!F:F)</f>
        <v>0</v>
      </c>
      <c r="G49" s="26" t="n">
        <f aca="false">SUMIF(case!$N:$N,$A49,case!G:G)</f>
        <v>0</v>
      </c>
      <c r="H49" s="26" t="n">
        <f aca="false">SUMIF(case!$N:$N,$A49,case!H:H)</f>
        <v>0</v>
      </c>
      <c r="I49" s="26" t="n">
        <f aca="false">SUMIF(case!$N:$N,$A49,case!I:I)</f>
        <v>0</v>
      </c>
      <c r="J49" s="26" t="n">
        <f aca="false">SUMIF(case!$N:$N,$A49,case!J:J)</f>
        <v>0</v>
      </c>
      <c r="K49" s="26" t="n">
        <f aca="false">SUMIF(case!$N:$N,$A49,case!K:K)</f>
        <v>0</v>
      </c>
    </row>
    <row r="50" customFormat="false" ht="15.75" hidden="false" customHeight="true" outlineLevel="0" collapsed="false">
      <c r="A50" s="39" t="s">
        <v>272</v>
      </c>
      <c r="B50" s="26" t="n">
        <f aca="false">SUMIF(case!$N:$N,$A50,case!B:B)</f>
        <v>17736469</v>
      </c>
      <c r="C50" s="26" t="n">
        <f aca="false">SUMIF(case!$N:$N,$A50,case!C:C)</f>
        <v>11588657</v>
      </c>
      <c r="D50" s="26" t="n">
        <f aca="false">SUMIF(case!$N:$N,$A50,case!D:D)</f>
        <v>9458323</v>
      </c>
      <c r="E50" s="26" t="n">
        <f aca="false">SUMIF(case!$N:$N,$A50,case!E:E)</f>
        <v>5584074</v>
      </c>
      <c r="F50" s="26" t="n">
        <f aca="false">SUMIF(case!$N:$N,$A50,case!F:F)</f>
        <v>2566488</v>
      </c>
      <c r="G50" s="26" t="n">
        <f aca="false">SUMIF(case!$N:$N,$A50,case!G:G)</f>
        <v>993167</v>
      </c>
      <c r="H50" s="26" t="n">
        <f aca="false">SUMIF(case!$N:$N,$A50,case!H:H)</f>
        <v>1052947</v>
      </c>
      <c r="I50" s="26" t="n">
        <f aca="false">SUMIF(case!$N:$N,$A50,case!I:I)</f>
        <v>870142</v>
      </c>
      <c r="J50" s="26" t="n">
        <f aca="false">SUMIF(case!$N:$N,$A50,case!J:J)</f>
        <v>732548</v>
      </c>
      <c r="K50" s="26" t="n">
        <f aca="false">SUMIF(case!$N:$N,$A50,case!K:K)</f>
        <v>750417</v>
      </c>
    </row>
    <row r="51" customFormat="false" ht="15.75" hidden="false" customHeight="true" outlineLevel="0" collapsed="false">
      <c r="A51" s="38" t="s">
        <v>321</v>
      </c>
      <c r="B51" s="26" t="n">
        <f aca="false">SUM(B48:B50)</f>
        <v>25479849</v>
      </c>
      <c r="C51" s="26" t="n">
        <f aca="false">SUM(C48:C50)</f>
        <v>22539631</v>
      </c>
      <c r="D51" s="26" t="n">
        <f aca="false">SUM(D48:D50)</f>
        <v>19883536</v>
      </c>
      <c r="E51" s="26" t="n">
        <f aca="false">SUM(E48:E50)</f>
        <v>17859631</v>
      </c>
      <c r="F51" s="26" t="n">
        <f aca="false">SUM(F48:F50)</f>
        <v>9120348</v>
      </c>
      <c r="G51" s="26" t="n">
        <f aca="false">SUM(G48:G50)</f>
        <v>4598321</v>
      </c>
      <c r="H51" s="26" t="n">
        <f aca="false">SUM(H48:H50)</f>
        <v>4216584</v>
      </c>
      <c r="I51" s="26" t="n">
        <f aca="false">SUM(I48:I50)</f>
        <v>4719853</v>
      </c>
      <c r="J51" s="26" t="n">
        <f aca="false">SUM(J48:J50)</f>
        <v>2372412</v>
      </c>
      <c r="K51" s="26" t="n">
        <f aca="false">SUM(K48:K50)</f>
        <v>2532654</v>
      </c>
    </row>
    <row r="52" customFormat="false" ht="15.75" hidden="false" customHeight="true" outlineLevel="0" collapsed="false">
      <c r="A52" s="39" t="s">
        <v>322</v>
      </c>
      <c r="B52" s="26" t="n">
        <f aca="false">SUMIF(case!$N:$N,$A52,case!B:B)</f>
        <v>0</v>
      </c>
      <c r="C52" s="26" t="n">
        <f aca="false">SUMIF(case!$N:$N,$A52,case!C:C)</f>
        <v>0</v>
      </c>
      <c r="D52" s="26" t="n">
        <f aca="false">SUMIF(case!$N:$N,$A52,case!D:D)</f>
        <v>0</v>
      </c>
      <c r="E52" s="26" t="n">
        <f aca="false">SUMIF(case!$N:$N,$A52,case!E:E)</f>
        <v>0</v>
      </c>
      <c r="F52" s="26" t="n">
        <f aca="false">SUMIF(case!$N:$N,$A52,case!F:F)</f>
        <v>0</v>
      </c>
      <c r="G52" s="26" t="n">
        <f aca="false">SUMIF(case!$N:$N,$A52,case!G:G)</f>
        <v>0</v>
      </c>
      <c r="H52" s="26" t="n">
        <f aca="false">SUMIF(case!$N:$N,$A52,case!H:H)</f>
        <v>0</v>
      </c>
      <c r="I52" s="26" t="n">
        <f aca="false">SUMIF(case!$N:$N,$A52,case!I:I)</f>
        <v>0</v>
      </c>
      <c r="J52" s="26" t="n">
        <f aca="false">SUMIF(case!$N:$N,$A52,case!J:J)</f>
        <v>0</v>
      </c>
      <c r="K52" s="26" t="n">
        <f aca="false">SUMIF(case!$N:$N,$A52,case!K:K)</f>
        <v>0</v>
      </c>
    </row>
    <row r="53" customFormat="false" ht="15.75" hidden="false" customHeight="true" outlineLevel="0" collapsed="false">
      <c r="A53" s="39" t="s">
        <v>269</v>
      </c>
      <c r="B53" s="26" t="n">
        <f aca="false">SUMIF(case!$N:$N,$A53,case!B:B)</f>
        <v>330532</v>
      </c>
      <c r="C53" s="26" t="n">
        <f aca="false">SUMIF(case!$N:$N,$A53,case!C:C)</f>
        <v>270891</v>
      </c>
      <c r="D53" s="26" t="n">
        <f aca="false">SUMIF(case!$N:$N,$A53,case!D:D)</f>
        <v>256615</v>
      </c>
      <c r="E53" s="26" t="n">
        <f aca="false">SUMIF(case!$N:$N,$A53,case!E:E)</f>
        <v>336895</v>
      </c>
      <c r="F53" s="26" t="n">
        <f aca="false">SUMIF(case!$N:$N,$A53,case!F:F)</f>
        <v>350704</v>
      </c>
      <c r="G53" s="26" t="n">
        <f aca="false">SUMIF(case!$N:$N,$A53,case!G:G)</f>
        <v>369610</v>
      </c>
      <c r="H53" s="26" t="n">
        <f aca="false">SUMIF(case!$N:$N,$A53,case!H:H)</f>
        <v>284922</v>
      </c>
      <c r="I53" s="26" t="n">
        <f aca="false">SUMIF(case!$N:$N,$A53,case!I:I)</f>
        <v>241894</v>
      </c>
      <c r="J53" s="26" t="n">
        <f aca="false">SUMIF(case!$N:$N,$A53,case!J:J)</f>
        <v>238425</v>
      </c>
      <c r="K53" s="26" t="n">
        <f aca="false">SUMIF(case!$N:$N,$A53,case!K:K)</f>
        <v>220527</v>
      </c>
    </row>
    <row r="54" customFormat="false" ht="15.75" hidden="false" customHeight="true" outlineLevel="0" collapsed="false">
      <c r="A54" s="39" t="s">
        <v>273</v>
      </c>
      <c r="B54" s="26" t="n">
        <f aca="false">SUMIF(case!$N:$N,$A54,case!B:B)</f>
        <v>0</v>
      </c>
      <c r="C54" s="26" t="n">
        <f aca="false">SUMIF(case!$N:$N,$A54,case!C:C)</f>
        <v>0</v>
      </c>
      <c r="D54" s="26" t="n">
        <f aca="false">SUMIF(case!$N:$N,$A54,case!D:D)</f>
        <v>0</v>
      </c>
      <c r="E54" s="26" t="n">
        <f aca="false">SUMIF(case!$N:$N,$A54,case!E:E)</f>
        <v>15000</v>
      </c>
      <c r="F54" s="26" t="n">
        <f aca="false">SUMIF(case!$N:$N,$A54,case!F:F)</f>
        <v>0</v>
      </c>
      <c r="G54" s="26" t="n">
        <f aca="false">SUMIF(case!$N:$N,$A54,case!G:G)</f>
        <v>0</v>
      </c>
      <c r="H54" s="26" t="n">
        <f aca="false">SUMIF(case!$N:$N,$A54,case!H:H)</f>
        <v>0</v>
      </c>
      <c r="I54" s="26" t="n">
        <f aca="false">SUMIF(case!$N:$N,$A54,case!I:I)</f>
        <v>13200</v>
      </c>
      <c r="J54" s="26" t="n">
        <f aca="false">SUMIF(case!$N:$N,$A54,case!J:J)</f>
        <v>13200</v>
      </c>
      <c r="K54" s="26" t="n">
        <f aca="false">SUMIF(case!$N:$N,$A54,case!K:K)</f>
        <v>13200</v>
      </c>
    </row>
    <row r="55" customFormat="false" ht="15.75" hidden="false" customHeight="true" outlineLevel="0" collapsed="false">
      <c r="A55" s="38" t="s">
        <v>323</v>
      </c>
      <c r="B55" s="26" t="n">
        <f aca="false">SUM(B53:B54)</f>
        <v>330532</v>
      </c>
      <c r="C55" s="26" t="n">
        <f aca="false">SUM(C53:C54)</f>
        <v>270891</v>
      </c>
      <c r="D55" s="26" t="n">
        <f aca="false">SUM(D53:D54)</f>
        <v>256615</v>
      </c>
      <c r="E55" s="26" t="n">
        <f aca="false">SUM(E53:E54)</f>
        <v>351895</v>
      </c>
      <c r="F55" s="26" t="n">
        <f aca="false">SUM(F53:F54)</f>
        <v>350704</v>
      </c>
      <c r="G55" s="26" t="n">
        <f aca="false">SUM(G53:G54)</f>
        <v>369610</v>
      </c>
      <c r="H55" s="26" t="n">
        <f aca="false">SUM(H53:H54)</f>
        <v>284922</v>
      </c>
      <c r="I55" s="26" t="n">
        <f aca="false">SUM(I53:I54)</f>
        <v>255094</v>
      </c>
      <c r="J55" s="26" t="n">
        <f aca="false">SUM(J53:J54)</f>
        <v>251625</v>
      </c>
      <c r="K55" s="26" t="n">
        <f aca="false">SUM(K53:K54)</f>
        <v>233727</v>
      </c>
    </row>
    <row r="56" customFormat="false" ht="15.75" hidden="false" customHeight="true" outlineLevel="0" collapsed="false">
      <c r="A56" s="38" t="s">
        <v>324</v>
      </c>
      <c r="B56" s="26" t="n">
        <f aca="false">B51+B55</f>
        <v>25810381</v>
      </c>
      <c r="C56" s="26" t="n">
        <f aca="false">C51+C55</f>
        <v>22810522</v>
      </c>
      <c r="D56" s="26" t="n">
        <f aca="false">D51+D55</f>
        <v>20140151</v>
      </c>
      <c r="E56" s="26" t="n">
        <f aca="false">E51+E55</f>
        <v>18211526</v>
      </c>
      <c r="F56" s="26" t="n">
        <f aca="false">F51+F55</f>
        <v>9471052</v>
      </c>
      <c r="G56" s="26" t="n">
        <f aca="false">G51+G55</f>
        <v>4967931</v>
      </c>
      <c r="H56" s="26" t="n">
        <f aca="false">H51+H55</f>
        <v>4501506</v>
      </c>
      <c r="I56" s="26" t="n">
        <f aca="false">I51+I55</f>
        <v>4974947</v>
      </c>
      <c r="J56" s="26" t="n">
        <f aca="false">J51+J55</f>
        <v>2624037</v>
      </c>
      <c r="K56" s="26" t="n">
        <f aca="false">K51+K55</f>
        <v>2766381</v>
      </c>
    </row>
    <row r="57" customFormat="false" ht="15.75" hidden="false" customHeight="true" outlineLevel="0" collapsed="false">
      <c r="A57" s="39"/>
    </row>
    <row r="58" customFormat="false" ht="15.75" hidden="false" customHeight="true" outlineLevel="0" collapsed="false">
      <c r="A58" s="38" t="s">
        <v>325</v>
      </c>
    </row>
    <row r="59" customFormat="false" ht="15.75" hidden="false" customHeight="true" outlineLevel="0" collapsed="false">
      <c r="A59" s="39" t="s">
        <v>276</v>
      </c>
      <c r="B59" s="26" t="n">
        <f aca="false">SUMIF(case!$N:$N,$A59,case!B:B)</f>
        <v>242399</v>
      </c>
      <c r="C59" s="26" t="n">
        <f aca="false">SUMIF(case!$N:$N,$A59,case!C:C)</f>
        <v>292997</v>
      </c>
      <c r="D59" s="26" t="n">
        <f aca="false">SUMIF(case!$N:$N,$A59,case!D:D)</f>
        <v>184665</v>
      </c>
      <c r="E59" s="26" t="n">
        <f aca="false">SUMIF(case!$N:$N,$A59,case!E:E)</f>
        <v>121600</v>
      </c>
      <c r="F59" s="26" t="n">
        <f aca="false">SUMIF(case!$N:$N,$A59,case!F:F)</f>
        <v>354396</v>
      </c>
      <c r="G59" s="26" t="n">
        <f aca="false">SUMIF(case!$N:$N,$A59,case!G:G)</f>
        <v>268386</v>
      </c>
      <c r="H59" s="26" t="n">
        <f aca="false">SUMIF(case!$N:$N,$A59,case!H:H)</f>
        <v>208672</v>
      </c>
      <c r="I59" s="26" t="n">
        <f aca="false">SUMIF(case!$N:$N,$A59,case!I:I)</f>
        <v>138388</v>
      </c>
      <c r="J59" s="26" t="n">
        <f aca="false">SUMIF(case!$N:$N,$A59,case!J:J)</f>
        <v>128426</v>
      </c>
      <c r="K59" s="26" t="n">
        <f aca="false">SUMIF(case!$N:$N,$A59,case!K:K)</f>
        <v>269398</v>
      </c>
    </row>
    <row r="60" customFormat="false" ht="15.75" hidden="false" customHeight="true" outlineLevel="0" collapsed="false">
      <c r="A60" s="39" t="s">
        <v>267</v>
      </c>
      <c r="B60" s="26" t="n">
        <f aca="false">SUMIF(case!$N:$N,$A60,case!B:B)</f>
        <v>0</v>
      </c>
      <c r="C60" s="26" t="n">
        <f aca="false">SUMIF(case!$N:$N,$A60,case!C:C)</f>
        <v>0</v>
      </c>
      <c r="D60" s="26" t="n">
        <f aca="false">SUMIF(case!$N:$N,$A60,case!D:D)</f>
        <v>0</v>
      </c>
      <c r="E60" s="26" t="n">
        <f aca="false">SUMIF(case!$N:$N,$A60,case!E:E)</f>
        <v>0</v>
      </c>
      <c r="F60" s="26" t="n">
        <f aca="false">SUMIF(case!$N:$N,$A60,case!F:F)</f>
        <v>0</v>
      </c>
      <c r="G60" s="26" t="n">
        <f aca="false">SUMIF(case!$N:$N,$A60,case!G:G)</f>
        <v>0</v>
      </c>
      <c r="H60" s="26" t="n">
        <f aca="false">SUMIF(case!$N:$N,$A60,case!H:H)</f>
        <v>0</v>
      </c>
      <c r="I60" s="26" t="n">
        <f aca="false">SUMIF(case!$N:$N,$A60,case!I:I)</f>
        <v>0</v>
      </c>
      <c r="J60" s="26" t="n">
        <f aca="false">SUMIF(case!$N:$N,$A60,case!J:J)</f>
        <v>0</v>
      </c>
      <c r="K60" s="26" t="n">
        <f aca="false">SUMIF(case!$N:$N,$A60,case!K:K)</f>
        <v>0</v>
      </c>
    </row>
    <row r="61" customFormat="false" ht="15.75" hidden="false" customHeight="true" outlineLevel="0" collapsed="false">
      <c r="A61" s="39" t="s">
        <v>266</v>
      </c>
      <c r="B61" s="26" t="n">
        <f aca="false">SUMIF(case!$N:$N,$A61,case!B:B)</f>
        <v>96515</v>
      </c>
      <c r="C61" s="26" t="n">
        <f aca="false">SUMIF(case!$N:$N,$A61,case!C:C)</f>
        <v>88604</v>
      </c>
      <c r="D61" s="26" t="n">
        <f aca="false">SUMIF(case!$N:$N,$A61,case!D:D)</f>
        <v>88510</v>
      </c>
      <c r="E61" s="26" t="n">
        <f aca="false">SUMIF(case!$N:$N,$A61,case!E:E)</f>
        <v>74753</v>
      </c>
      <c r="F61" s="26" t="n">
        <f aca="false">SUMIF(case!$N:$N,$A61,case!F:F)</f>
        <v>76972</v>
      </c>
      <c r="G61" s="26" t="n">
        <f aca="false">SUMIF(case!$N:$N,$A61,case!G:G)</f>
        <v>58170</v>
      </c>
      <c r="H61" s="26" t="n">
        <f aca="false">SUMIF(case!$N:$N,$A61,case!H:H)</f>
        <v>48369</v>
      </c>
      <c r="I61" s="26" t="n">
        <f aca="false">SUMIF(case!$N:$N,$A61,case!I:I)</f>
        <v>34968</v>
      </c>
      <c r="J61" s="26" t="n">
        <f aca="false">SUMIF(case!$N:$N,$A61,case!J:J)</f>
        <v>26229</v>
      </c>
      <c r="K61" s="26" t="n">
        <f aca="false">SUMIF(case!$N:$N,$A61,case!K:K)</f>
        <v>0</v>
      </c>
    </row>
    <row r="62" customFormat="false" ht="15.75" hidden="false" customHeight="true" outlineLevel="0" collapsed="false">
      <c r="A62" s="38" t="s">
        <v>326</v>
      </c>
      <c r="B62" s="26" t="n">
        <f aca="false">SUM(B59:B61)</f>
        <v>338914</v>
      </c>
      <c r="C62" s="26" t="n">
        <f aca="false">SUM(C59:C61)</f>
        <v>381601</v>
      </c>
      <c r="D62" s="26" t="n">
        <f aca="false">SUM(D59:D61)</f>
        <v>273175</v>
      </c>
      <c r="E62" s="26" t="n">
        <f aca="false">SUM(E59:E61)</f>
        <v>196353</v>
      </c>
      <c r="F62" s="26" t="n">
        <f aca="false">SUM(F59:F61)</f>
        <v>431368</v>
      </c>
      <c r="G62" s="26" t="n">
        <f aca="false">SUM(G59:G61)</f>
        <v>326556</v>
      </c>
      <c r="H62" s="26" t="n">
        <f aca="false">SUM(H59:H61)</f>
        <v>257041</v>
      </c>
      <c r="I62" s="26" t="n">
        <f aca="false">SUM(I59:I61)</f>
        <v>173356</v>
      </c>
      <c r="J62" s="26" t="n">
        <f aca="false">SUM(J59:J61)</f>
        <v>154655</v>
      </c>
      <c r="K62" s="26" t="n">
        <f aca="false">SUM(K59:K61)</f>
        <v>269398</v>
      </c>
    </row>
    <row r="63" customFormat="false" ht="15.75" hidden="false" customHeight="true" outlineLevel="0" collapsed="false">
      <c r="A63" s="39"/>
    </row>
    <row r="64" customFormat="false" ht="15.75" hidden="false" customHeight="true" outlineLevel="0" collapsed="false">
      <c r="A64" s="38" t="s">
        <v>327</v>
      </c>
    </row>
    <row r="65" customFormat="false" ht="15.75" hidden="false" customHeight="true" outlineLevel="0" collapsed="false">
      <c r="A65" s="39" t="s">
        <v>275</v>
      </c>
      <c r="B65" s="26" t="n">
        <f aca="false">SUMIF(case!$N:$N,$A65,case!B:B)</f>
        <v>0</v>
      </c>
      <c r="C65" s="26" t="n">
        <f aca="false">SUMIF(case!$N:$N,$A65,case!C:C)</f>
        <v>0</v>
      </c>
      <c r="D65" s="26" t="n">
        <f aca="false">SUMIF(case!$N:$N,$A65,case!D:D)</f>
        <v>0</v>
      </c>
      <c r="E65" s="26" t="n">
        <f aca="false">SUMIF(case!$N:$N,$A65,case!E:E)</f>
        <v>0</v>
      </c>
      <c r="F65" s="26" t="n">
        <f aca="false">SUMIF(case!$N:$N,$A65,case!F:F)</f>
        <v>0</v>
      </c>
      <c r="G65" s="26" t="n">
        <f aca="false">SUMIF(case!$N:$N,$A65,case!G:G)</f>
        <v>0</v>
      </c>
      <c r="H65" s="26" t="n">
        <f aca="false">SUMIF(case!$N:$N,$A65,case!H:H)</f>
        <v>0</v>
      </c>
      <c r="I65" s="26" t="n">
        <f aca="false">SUMIF(case!$N:$N,$A65,case!I:I)</f>
        <v>0</v>
      </c>
      <c r="J65" s="26" t="n">
        <f aca="false">SUMIF(case!$N:$N,$A65,case!J:J)</f>
        <v>0</v>
      </c>
      <c r="K65" s="26" t="n">
        <f aca="false">SUMIF(case!$N:$N,$A65,case!K:K)</f>
        <v>0</v>
      </c>
    </row>
    <row r="66" customFormat="false" ht="15.75" hidden="false" customHeight="true" outlineLevel="0" collapsed="false">
      <c r="A66" s="38" t="s">
        <v>328</v>
      </c>
      <c r="B66" s="26" t="n">
        <f aca="false">B65</f>
        <v>0</v>
      </c>
      <c r="C66" s="26" t="n">
        <f aca="false">C65</f>
        <v>0</v>
      </c>
      <c r="D66" s="26" t="n">
        <f aca="false">D65</f>
        <v>0</v>
      </c>
      <c r="E66" s="26" t="n">
        <f aca="false">E65</f>
        <v>0</v>
      </c>
      <c r="F66" s="26" t="n">
        <f aca="false">F65</f>
        <v>0</v>
      </c>
      <c r="G66" s="26" t="n">
        <f aca="false">G65</f>
        <v>0</v>
      </c>
      <c r="H66" s="26" t="n">
        <f aca="false">H65</f>
        <v>0</v>
      </c>
      <c r="I66" s="26" t="n">
        <f aca="false">I65</f>
        <v>0</v>
      </c>
      <c r="J66" s="26" t="n">
        <f aca="false">J65</f>
        <v>0</v>
      </c>
      <c r="K66" s="26" t="n">
        <f aca="false">K65</f>
        <v>0</v>
      </c>
    </row>
    <row r="67" customFormat="false" ht="15.75" hidden="false" customHeight="true" outlineLevel="0" collapsed="false">
      <c r="A67" s="39"/>
    </row>
    <row r="68" customFormat="false" ht="15.75" hidden="false" customHeight="true" outlineLevel="0" collapsed="false">
      <c r="A68" s="38" t="s">
        <v>329</v>
      </c>
    </row>
    <row r="69" customFormat="false" ht="15.75" hidden="false" customHeight="true" outlineLevel="0" collapsed="false">
      <c r="A69" s="39" t="s">
        <v>270</v>
      </c>
      <c r="B69" s="26" t="n">
        <f aca="false">SUMIF(case!$N:$N,$A69,case!B:B)</f>
        <v>20552923</v>
      </c>
      <c r="C69" s="26" t="n">
        <f aca="false">SUMIF(case!$N:$N,$A69,case!C:C)</f>
        <v>21592071</v>
      </c>
      <c r="D69" s="26" t="n">
        <f aca="false">SUMIF(case!$N:$N,$A69,case!D:D)</f>
        <v>21961303</v>
      </c>
      <c r="E69" s="26" t="n">
        <f aca="false">SUMIF(case!$N:$N,$A69,case!E:E)</f>
        <v>18077687</v>
      </c>
      <c r="F69" s="26" t="n">
        <f aca="false">SUMIF(case!$N:$N,$A69,case!F:F)</f>
        <v>3273458</v>
      </c>
      <c r="G69" s="26" t="n">
        <f aca="false">SUMIF(case!$N:$N,$A69,case!G:G)</f>
        <v>11654549</v>
      </c>
      <c r="H69" s="26" t="n">
        <f aca="false">SUMIF(case!$N:$N,$A69,case!H:H)</f>
        <v>10780240</v>
      </c>
      <c r="I69" s="26" t="n">
        <f aca="false">SUMIF(case!$N:$N,$A69,case!I:I)</f>
        <v>6301355</v>
      </c>
      <c r="J69" s="26" t="n">
        <f aca="false">SUMIF(case!$N:$N,$A69,case!J:J)</f>
        <v>1007448</v>
      </c>
      <c r="K69" s="26" t="n">
        <f aca="false">SUMIF(case!$N:$N,$A69,case!K:K)</f>
        <v>671866</v>
      </c>
    </row>
    <row r="70" customFormat="false" ht="15.75" hidden="false" customHeight="true" outlineLevel="0" collapsed="false">
      <c r="A70" s="39" t="s">
        <v>271</v>
      </c>
      <c r="B70" s="26" t="n">
        <f aca="false">SUMIF(case!$N:$N,$A70,case!B:B)</f>
        <v>6187139</v>
      </c>
      <c r="C70" s="26" t="n">
        <f aca="false">SUMIF(case!$N:$N,$A70,case!C:C)</f>
        <v>6108014</v>
      </c>
      <c r="D70" s="26" t="n">
        <f aca="false">SUMIF(case!$N:$N,$A70,case!D:D)</f>
        <v>5845352</v>
      </c>
      <c r="E70" s="26" t="n">
        <f aca="false">SUMIF(case!$N:$N,$A70,case!E:E)</f>
        <v>4093001</v>
      </c>
      <c r="F70" s="26" t="n">
        <f aca="false">SUMIF(case!$N:$N,$A70,case!F:F)</f>
        <v>6752052</v>
      </c>
      <c r="G70" s="26" t="n">
        <f aca="false">SUMIF(case!$N:$N,$A70,case!G:G)</f>
        <v>12054789</v>
      </c>
      <c r="H70" s="26" t="n">
        <f aca="false">SUMIF(case!$N:$N,$A70,case!H:H)</f>
        <v>8436639</v>
      </c>
      <c r="I70" s="26" t="n">
        <f aca="false">SUMIF(case!$N:$N,$A70,case!I:I)</f>
        <v>6507223</v>
      </c>
      <c r="J70" s="26" t="n">
        <f aca="false">SUMIF(case!$N:$N,$A70,case!J:J)</f>
        <v>4333680</v>
      </c>
      <c r="K70" s="26" t="n">
        <f aca="false">SUMIF(case!$N:$N,$A70,case!K:K)</f>
        <v>2924238</v>
      </c>
    </row>
    <row r="71" customFormat="false" ht="15.75" hidden="false" customHeight="true" outlineLevel="0" collapsed="false">
      <c r="A71" s="39" t="s">
        <v>330</v>
      </c>
      <c r="B71" s="26" t="n">
        <f aca="false">SUMIF(case!$N:$N,$A71,case!B:B)</f>
        <v>0</v>
      </c>
      <c r="C71" s="26" t="n">
        <f aca="false">SUMIF(case!$N:$N,$A71,case!C:C)</f>
        <v>0</v>
      </c>
      <c r="D71" s="26" t="n">
        <f aca="false">SUMIF(case!$N:$N,$A71,case!D:D)</f>
        <v>0</v>
      </c>
      <c r="E71" s="26" t="n">
        <f aca="false">SUMIF(case!$N:$N,$A71,case!E:E)</f>
        <v>0</v>
      </c>
      <c r="F71" s="26" t="n">
        <f aca="false">SUMIF(case!$N:$N,$A71,case!F:F)</f>
        <v>0</v>
      </c>
      <c r="G71" s="26" t="n">
        <f aca="false">SUMIF(case!$N:$N,$A71,case!G:G)</f>
        <v>0</v>
      </c>
      <c r="H71" s="26" t="n">
        <f aca="false">SUMIF(case!$N:$N,$A71,case!H:H)</f>
        <v>0</v>
      </c>
      <c r="I71" s="26" t="n">
        <f aca="false">SUMIF(case!$N:$N,$A71,case!I:I)</f>
        <v>0</v>
      </c>
      <c r="J71" s="26" t="n">
        <f aca="false">SUMIF(case!$N:$N,$A71,case!J:J)</f>
        <v>0</v>
      </c>
      <c r="K71" s="26" t="n">
        <f aca="false">SUMIF(case!$N:$N,$A71,case!K:K)</f>
        <v>0</v>
      </c>
    </row>
    <row r="72" customFormat="false" ht="15.75" hidden="false" customHeight="true" outlineLevel="0" collapsed="false">
      <c r="A72" s="39" t="s">
        <v>268</v>
      </c>
      <c r="B72" s="26" t="n">
        <f aca="false">SUMIF(case!$N:$N,$A72,case!B:B)</f>
        <v>0</v>
      </c>
      <c r="C72" s="26" t="n">
        <f aca="false">SUMIF(case!$N:$N,$A72,case!C:C)</f>
        <v>0</v>
      </c>
      <c r="D72" s="26" t="n">
        <f aca="false">SUMIF(case!$N:$N,$A72,case!D:D)</f>
        <v>0</v>
      </c>
      <c r="E72" s="26" t="n">
        <f aca="false">SUMIF(case!$N:$N,$A72,case!E:E)</f>
        <v>0</v>
      </c>
      <c r="F72" s="26" t="n">
        <f aca="false">SUMIF(case!$N:$N,$A72,case!F:F)</f>
        <v>0</v>
      </c>
      <c r="G72" s="26" t="n">
        <f aca="false">SUMIF(case!$N:$N,$A72,case!G:G)</f>
        <v>0</v>
      </c>
      <c r="H72" s="26" t="n">
        <f aca="false">SUMIF(case!$N:$N,$A72,case!H:H)</f>
        <v>0</v>
      </c>
      <c r="I72" s="26" t="n">
        <f aca="false">SUMIF(case!$N:$N,$A72,case!I:I)</f>
        <v>0</v>
      </c>
      <c r="J72" s="26" t="n">
        <f aca="false">SUMIF(case!$N:$N,$A72,case!J:J)</f>
        <v>0</v>
      </c>
      <c r="K72" s="26" t="n">
        <f aca="false">SUMIF(case!$N:$N,$A72,case!K:K)</f>
        <v>0</v>
      </c>
    </row>
    <row r="73" customFormat="false" ht="15.75" hidden="false" customHeight="true" outlineLevel="0" collapsed="false">
      <c r="A73" s="38" t="s">
        <v>331</v>
      </c>
      <c r="B73" s="26" t="n">
        <f aca="false">SUM(B69:B72)</f>
        <v>26740062</v>
      </c>
      <c r="C73" s="26" t="n">
        <f aca="false">SUM(C69:C72)</f>
        <v>27700085</v>
      </c>
      <c r="D73" s="26" t="n">
        <f aca="false">SUM(D69:D72)</f>
        <v>27806655</v>
      </c>
      <c r="E73" s="26" t="n">
        <f aca="false">SUM(E69:E72)</f>
        <v>22170688</v>
      </c>
      <c r="F73" s="26" t="n">
        <f aca="false">SUM(F69:F72)</f>
        <v>10025510</v>
      </c>
      <c r="G73" s="26" t="n">
        <f aca="false">SUM(G69:G72)</f>
        <v>23709338</v>
      </c>
      <c r="H73" s="26" t="n">
        <f aca="false">SUM(H69:H72)</f>
        <v>19216879</v>
      </c>
      <c r="I73" s="26" t="n">
        <f aca="false">SUM(I69:I72)</f>
        <v>12808578</v>
      </c>
      <c r="J73" s="26" t="n">
        <f aca="false">SUM(J69:J72)</f>
        <v>5341128</v>
      </c>
      <c r="K73" s="26" t="n">
        <f aca="false">SUM(K69:K72)</f>
        <v>3596104</v>
      </c>
    </row>
    <row r="74" customFormat="false" ht="15.75" hidden="false" customHeight="true" outlineLevel="0" collapsed="false">
      <c r="A74" s="39"/>
    </row>
    <row r="75" customFormat="false" ht="15.75" hidden="false" customHeight="true" outlineLevel="0" collapsed="false">
      <c r="A75" s="38" t="s">
        <v>332</v>
      </c>
    </row>
    <row r="76" customFormat="false" ht="15.75" hidden="false" customHeight="true" outlineLevel="0" collapsed="false">
      <c r="A76" s="39" t="s">
        <v>245</v>
      </c>
      <c r="B76" s="26" t="n">
        <f aca="false">SUMIF(case!$N:$N,$A76,case!B:B)</f>
        <v>1525488</v>
      </c>
      <c r="C76" s="26" t="n">
        <f aca="false">SUMIF(case!$N:$N,$A76,case!C:C)</f>
        <v>2372988</v>
      </c>
      <c r="D76" s="26" t="n">
        <f aca="false">SUMIF(case!$N:$N,$A76,case!D:D)</f>
        <v>2372988</v>
      </c>
      <c r="E76" s="26" t="n">
        <f aca="false">SUMIF(case!$N:$N,$A76,case!E:E)</f>
        <v>2315488</v>
      </c>
      <c r="F76" s="26" t="n">
        <f aca="false">SUMIF(case!$N:$N,$A76,case!F:F)</f>
        <v>1965488</v>
      </c>
      <c r="G76" s="26" t="n">
        <f aca="false">SUMIF(case!$N:$N,$A76,case!G:G)</f>
        <v>1878288</v>
      </c>
      <c r="H76" s="26" t="n">
        <f aca="false">SUMIF(case!$N:$N,$A76,case!H:H)</f>
        <v>1921288</v>
      </c>
      <c r="I76" s="26" t="n">
        <f aca="false">SUMIF(case!$N:$N,$A76,case!I:I)</f>
        <v>1917288</v>
      </c>
      <c r="J76" s="26" t="n">
        <f aca="false">SUMIF(case!$N:$N,$A76,case!J:J)</f>
        <v>1954576</v>
      </c>
      <c r="K76" s="26" t="n">
        <f aca="false">SUMIF(case!$N:$N,$A76,case!K:K)</f>
        <v>45000</v>
      </c>
    </row>
    <row r="77" customFormat="false" ht="15.75" hidden="false" customHeight="true" outlineLevel="0" collapsed="false">
      <c r="A77" s="39" t="s">
        <v>333</v>
      </c>
      <c r="B77" s="26" t="n">
        <f aca="false">SUM(B78:B82)</f>
        <v>5979951</v>
      </c>
      <c r="C77" s="26" t="n">
        <f aca="false">SUM(C78:C82)</f>
        <v>4214474</v>
      </c>
      <c r="D77" s="26" t="n">
        <f aca="false">SUM(D78:D82)</f>
        <v>3866660</v>
      </c>
      <c r="E77" s="26" t="n">
        <f aca="false">SUM(E78:E82)</f>
        <v>3604968</v>
      </c>
      <c r="F77" s="26" t="n">
        <f aca="false">SUM(F78:F82)</f>
        <v>3903442</v>
      </c>
      <c r="G77" s="26" t="n">
        <f aca="false">SUM(G78:G82)</f>
        <v>1524247</v>
      </c>
      <c r="H77" s="26" t="n">
        <f aca="false">SUM(H78:H82)</f>
        <v>3241230</v>
      </c>
      <c r="I77" s="26" t="n">
        <f aca="false">SUM(I78:I82)</f>
        <v>2622890</v>
      </c>
      <c r="J77" s="26" t="n">
        <f aca="false">SUM(J78:J82)</f>
        <v>2277205</v>
      </c>
      <c r="K77" s="26" t="n">
        <f aca="false">SUM(K78:K82)</f>
        <v>1782213</v>
      </c>
    </row>
    <row r="78" customFormat="false" ht="15.75" hidden="false" customHeight="true" outlineLevel="0" collapsed="false">
      <c r="A78" s="39" t="s">
        <v>261</v>
      </c>
      <c r="B78" s="26" t="n">
        <f aca="false">SUMIF(case!$N:$N,$A78,case!B:B)</f>
        <v>1500000</v>
      </c>
      <c r="C78" s="26" t="n">
        <f aca="false">SUMIF(case!$N:$N,$A78,case!C:C)</f>
        <v>100000</v>
      </c>
      <c r="D78" s="26" t="n">
        <f aca="false">SUMIF(case!$N:$N,$A78,case!D:D)</f>
        <v>100000</v>
      </c>
      <c r="E78" s="26" t="n">
        <f aca="false">SUMIF(case!$N:$N,$A78,case!E:E)</f>
        <v>100000</v>
      </c>
      <c r="F78" s="26" t="n">
        <f aca="false">SUMIF(case!$N:$N,$A78,case!F:F)</f>
        <v>100000</v>
      </c>
      <c r="G78" s="26" t="n">
        <f aca="false">SUMIF(case!$N:$N,$A78,case!G:G)</f>
        <v>100000</v>
      </c>
      <c r="H78" s="26" t="n">
        <f aca="false">SUMIF(case!$N:$N,$A78,case!H:H)</f>
        <v>100000</v>
      </c>
      <c r="I78" s="26" t="n">
        <f aca="false">SUMIF(case!$N:$N,$A78,case!I:I)</f>
        <v>100000</v>
      </c>
      <c r="J78" s="26" t="n">
        <f aca="false">SUMIF(case!$N:$N,$A78,case!J:J)</f>
        <v>100000</v>
      </c>
      <c r="K78" s="26" t="n">
        <f aca="false">SUMIF(case!$N:$N,$A78,case!K:K)</f>
        <v>100000</v>
      </c>
    </row>
    <row r="79" customFormat="false" ht="15.75" hidden="false" customHeight="true" outlineLevel="0" collapsed="false">
      <c r="A79" s="39" t="s">
        <v>263</v>
      </c>
      <c r="B79" s="26" t="n">
        <f aca="false">SUMIF(case!$N:$N,$A79,case!B:B)</f>
        <v>4114474</v>
      </c>
      <c r="C79" s="26" t="n">
        <f aca="false">SUMIF(case!$N:$N,$A79,case!C:C)</f>
        <v>3766659</v>
      </c>
      <c r="D79" s="26" t="n">
        <f aca="false">SUMIF(case!$N:$N,$A79,case!D:D)</f>
        <v>3504967</v>
      </c>
      <c r="E79" s="26" t="n">
        <f aca="false">SUMIF(case!$N:$N,$A79,case!E:E)</f>
        <v>3803440</v>
      </c>
      <c r="F79" s="26" t="n">
        <f aca="false">SUMIF(case!$N:$N,$A79,case!F:F)</f>
        <v>1424247</v>
      </c>
      <c r="G79" s="26" t="n">
        <f aca="false">SUMIF(case!$N:$N,$A79,case!G:G)</f>
        <v>3141228</v>
      </c>
      <c r="H79" s="26" t="n">
        <f aca="false">SUMIF(case!$N:$N,$A79,case!H:H)</f>
        <v>2522896</v>
      </c>
      <c r="I79" s="26" t="n">
        <f aca="false">SUMIF(case!$N:$N,$A79,case!I:I)</f>
        <v>2177204</v>
      </c>
      <c r="J79" s="26" t="n">
        <f aca="false">SUMIF(case!$N:$N,$A79,case!J:J)</f>
        <v>1682213</v>
      </c>
      <c r="K79" s="26" t="n">
        <f aca="false">SUMIF(case!$N:$N,$A79,case!K:K)</f>
        <v>1016567</v>
      </c>
    </row>
    <row r="80" customFormat="false" ht="15.75" hidden="false" customHeight="true" outlineLevel="0" collapsed="false">
      <c r="A80" s="39" t="s">
        <v>262</v>
      </c>
      <c r="B80" s="26" t="n">
        <f aca="false">SUMIF(case!$N:$N,$A80,case!B:B)</f>
        <v>0</v>
      </c>
      <c r="C80" s="26" t="n">
        <f aca="false">SUMIF(case!$N:$N,$A80,case!C:C)</f>
        <v>0</v>
      </c>
      <c r="D80" s="26" t="n">
        <f aca="false">SUMIF(case!$N:$N,$A80,case!D:D)</f>
        <v>0</v>
      </c>
      <c r="E80" s="26" t="n">
        <f aca="false">SUMIF(case!$N:$N,$A80,case!E:E)</f>
        <v>0</v>
      </c>
      <c r="F80" s="26" t="n">
        <f aca="false">SUMIF(case!$N:$N,$A80,case!F:F)</f>
        <v>0</v>
      </c>
      <c r="G80" s="26" t="n">
        <f aca="false">SUMIF(case!$N:$N,$A80,case!G:G)</f>
        <v>0</v>
      </c>
      <c r="H80" s="26" t="n">
        <f aca="false">SUMIF(case!$N:$N,$A80,case!H:H)</f>
        <v>0</v>
      </c>
      <c r="I80" s="26" t="n">
        <f aca="false">SUMIF(case!$N:$N,$A80,case!I:I)</f>
        <v>0</v>
      </c>
      <c r="J80" s="26" t="n">
        <f aca="false">SUMIF(case!$N:$N,$A80,case!J:J)</f>
        <v>0</v>
      </c>
      <c r="K80" s="26" t="n">
        <f aca="false">SUMIF(case!$N:$N,$A80,case!K:K)</f>
        <v>0</v>
      </c>
    </row>
    <row r="81" customFormat="false" ht="15.75" hidden="false" customHeight="true" outlineLevel="0" collapsed="false">
      <c r="A81" s="39" t="s">
        <v>249</v>
      </c>
      <c r="B81" s="26" t="n">
        <f aca="false">SUMIF(case!$N:$N,$A81,case!B:B)</f>
        <v>0</v>
      </c>
      <c r="C81" s="26" t="n">
        <f aca="false">SUMIF(case!$N:$N,$A81,case!C:C)</f>
        <v>0</v>
      </c>
      <c r="D81" s="26" t="n">
        <f aca="false">SUMIF(case!$N:$N,$A81,case!D:D)</f>
        <v>0</v>
      </c>
      <c r="E81" s="26" t="n">
        <f aca="false">SUMIF(case!$N:$N,$A81,case!E:E)</f>
        <v>0</v>
      </c>
      <c r="F81" s="26" t="n">
        <f aca="false">SUMIF(case!$N:$N,$A81,case!F:F)</f>
        <v>0</v>
      </c>
      <c r="G81" s="26" t="n">
        <f aca="false">SUMIF(case!$N:$N,$A81,case!G:G)</f>
        <v>0</v>
      </c>
      <c r="H81" s="26" t="n">
        <f aca="false">SUMIF(case!$N:$N,$A81,case!H:H)</f>
        <v>0</v>
      </c>
      <c r="I81" s="26" t="n">
        <f aca="false">SUMIF(case!$N:$N,$A81,case!I:I)</f>
        <v>0</v>
      </c>
      <c r="J81" s="26" t="n">
        <f aca="false">SUMIF(case!$N:$N,$A81,case!J:J)</f>
        <v>0</v>
      </c>
      <c r="K81" s="26" t="n">
        <f aca="false">SUMIF(case!$N:$N,$A81,case!K:K)</f>
        <v>0</v>
      </c>
    </row>
    <row r="82" customFormat="false" ht="15.75" hidden="false" customHeight="true" outlineLevel="0" collapsed="false">
      <c r="A82" s="39" t="s">
        <v>264</v>
      </c>
      <c r="B82" s="26" t="n">
        <f aca="false">SUMIF(case!$N:$N,$A82,case!B:B)</f>
        <v>365477</v>
      </c>
      <c r="C82" s="26" t="n">
        <f aca="false">SUMIF(case!$N:$N,$A82,case!C:C)</f>
        <v>347815</v>
      </c>
      <c r="D82" s="26" t="n">
        <f aca="false">SUMIF(case!$N:$N,$A82,case!D:D)</f>
        <v>261693</v>
      </c>
      <c r="E82" s="26" t="n">
        <f aca="false">SUMIF(case!$N:$N,$A82,case!E:E)</f>
        <v>-298472</v>
      </c>
      <c r="F82" s="26" t="n">
        <f aca="false">SUMIF(case!$N:$N,$A82,case!F:F)</f>
        <v>2379195</v>
      </c>
      <c r="G82" s="26" t="n">
        <f aca="false">SUMIF(case!$N:$N,$A82,case!G:G)</f>
        <v>-1716981</v>
      </c>
      <c r="H82" s="26" t="n">
        <f aca="false">SUMIF(case!$N:$N,$A82,case!H:H)</f>
        <v>618334</v>
      </c>
      <c r="I82" s="26" t="n">
        <f aca="false">SUMIF(case!$N:$N,$A82,case!I:I)</f>
        <v>345686</v>
      </c>
      <c r="J82" s="26" t="n">
        <f aca="false">SUMIF(case!$N:$N,$A82,case!J:J)</f>
        <v>494992</v>
      </c>
      <c r="K82" s="26" t="n">
        <f aca="false">SUMIF(case!$N:$N,$A82,case!K:K)</f>
        <v>665646</v>
      </c>
    </row>
    <row r="83" customFormat="false" ht="15.75" hidden="false" customHeight="true" outlineLevel="0" collapsed="false">
      <c r="A83" s="39" t="s">
        <v>265</v>
      </c>
      <c r="B83" s="26" t="n">
        <f aca="false">SUMIF(case!$N:$N,$A83,case!B:B)</f>
        <v>0</v>
      </c>
      <c r="C83" s="26" t="n">
        <f aca="false">SUMIF(case!$N:$N,$A83,case!C:C)</f>
        <v>0</v>
      </c>
      <c r="D83" s="26" t="n">
        <f aca="false">SUMIF(case!$N:$N,$A83,case!D:D)</f>
        <v>0</v>
      </c>
      <c r="E83" s="26" t="n">
        <f aca="false">SUMIF(case!$N:$N,$A83,case!E:E)</f>
        <v>0</v>
      </c>
      <c r="F83" s="26" t="n">
        <f aca="false">SUMIF(case!$N:$N,$A83,case!F:F)</f>
        <v>0</v>
      </c>
      <c r="G83" s="26" t="n">
        <f aca="false">SUMIF(case!$N:$N,$A83,case!G:G)</f>
        <v>0</v>
      </c>
      <c r="H83" s="26" t="n">
        <f aca="false">SUMIF(case!$N:$N,$A83,case!H:H)</f>
        <v>0</v>
      </c>
      <c r="I83" s="26" t="n">
        <f aca="false">SUMIF(case!$N:$N,$A83,case!I:I)</f>
        <v>0</v>
      </c>
      <c r="J83" s="26" t="n">
        <f aca="false">SUMIF(case!$N:$N,$A83,case!J:J)</f>
        <v>0</v>
      </c>
      <c r="K83" s="26" t="n">
        <f aca="false">SUMIF(case!$N:$N,$A83,case!K:K)</f>
        <v>0</v>
      </c>
    </row>
    <row r="84" customFormat="false" ht="15.75" hidden="false" customHeight="true" outlineLevel="0" collapsed="false">
      <c r="A84" s="38" t="s">
        <v>334</v>
      </c>
      <c r="B84" s="26" t="n">
        <f aca="false">B76+B77+B83</f>
        <v>7505439</v>
      </c>
      <c r="C84" s="26" t="n">
        <f aca="false">C76+C77+C83</f>
        <v>6587462</v>
      </c>
      <c r="D84" s="26" t="n">
        <f aca="false">D76+D77+D83</f>
        <v>6239648</v>
      </c>
      <c r="E84" s="26" t="n">
        <f aca="false">E76+E77+E83</f>
        <v>5920456</v>
      </c>
      <c r="F84" s="26" t="n">
        <f aca="false">F76+F77+F83</f>
        <v>5868930</v>
      </c>
      <c r="G84" s="26" t="n">
        <f aca="false">G76+G77+G83</f>
        <v>3402535</v>
      </c>
      <c r="H84" s="26" t="n">
        <f aca="false">H76+H77+H83</f>
        <v>5162518</v>
      </c>
      <c r="I84" s="26" t="n">
        <f aca="false">I76+I77+I83</f>
        <v>4540178</v>
      </c>
      <c r="J84" s="26" t="n">
        <f aca="false">J76+J77+J83</f>
        <v>4231781</v>
      </c>
      <c r="K84" s="26" t="n">
        <f aca="false">K76+K77+K83</f>
        <v>1827213</v>
      </c>
    </row>
    <row r="85" customFormat="false" ht="15.75" hidden="false" customHeight="true" outlineLevel="0" collapsed="false">
      <c r="A85" s="39"/>
    </row>
    <row r="86" customFormat="false" ht="15.75" hidden="false" customHeight="true" outlineLevel="0" collapsed="false">
      <c r="A86" s="38" t="s">
        <v>335</v>
      </c>
      <c r="B86" s="26" t="n">
        <f aca="false">B56+B62+B66+B73+B84</f>
        <v>60394796</v>
      </c>
      <c r="C86" s="26" t="n">
        <f aca="false">C56+C62+C66+C73+C84</f>
        <v>57479670</v>
      </c>
      <c r="D86" s="26" t="n">
        <f aca="false">D56+D62+D66+D73+D84</f>
        <v>54459629</v>
      </c>
      <c r="E86" s="26" t="n">
        <f aca="false">E56+E62+E66+E73+E84</f>
        <v>46499023</v>
      </c>
      <c r="F86" s="26" t="n">
        <f aca="false">F56+F62+F66+F73+F84</f>
        <v>25796860</v>
      </c>
      <c r="G86" s="26" t="n">
        <f aca="false">G56+G62+G66+G73+G84</f>
        <v>32406360</v>
      </c>
      <c r="H86" s="26" t="n">
        <f aca="false">H56+H62+H66+H73+H84</f>
        <v>29137944</v>
      </c>
      <c r="I86" s="26" t="n">
        <f aca="false">I56+I62+I66+I73+I84</f>
        <v>22497059</v>
      </c>
      <c r="J86" s="26" t="n">
        <f aca="false">J56+J62+J66+J73+J84</f>
        <v>12351601</v>
      </c>
      <c r="K86" s="26" t="n">
        <f aca="false">K56+K62+K66+K73+K84</f>
        <v>8459096</v>
      </c>
    </row>
    <row r="87" customFormat="false" ht="15.75" hidden="false" customHeight="true" outlineLevel="0" collapsed="false">
      <c r="A87" s="38"/>
    </row>
    <row r="88" customFormat="false" ht="15.75" hidden="false" customHeight="true" outlineLevel="0" collapsed="false">
      <c r="A88" s="39" t="s">
        <v>313</v>
      </c>
      <c r="B88" s="26" t="n">
        <f aca="false">case!B168</f>
        <v>61444796</v>
      </c>
      <c r="C88" s="26" t="n">
        <f aca="false">case!C168</f>
        <v>57479670</v>
      </c>
      <c r="D88" s="26" t="n">
        <f aca="false">case!D168</f>
        <v>54459629</v>
      </c>
      <c r="E88" s="26" t="n">
        <f aca="false">case!E168</f>
        <v>46499023</v>
      </c>
      <c r="F88" s="26" t="n">
        <f aca="false">case!F168</f>
        <v>25796860</v>
      </c>
      <c r="G88" s="26" t="n">
        <f aca="false">case!G168</f>
        <v>32406360</v>
      </c>
      <c r="H88" s="26" t="n">
        <f aca="false">case!H168</f>
        <v>29137944</v>
      </c>
      <c r="I88" s="26" t="n">
        <f aca="false">case!I168</f>
        <v>22497059</v>
      </c>
      <c r="J88" s="26" t="n">
        <f aca="false">case!J168</f>
        <v>12351601</v>
      </c>
      <c r="K88" s="26" t="n">
        <f aca="false">case!K168</f>
        <v>8477049</v>
      </c>
    </row>
    <row r="89" customFormat="false" ht="15.75" hidden="false" customHeight="true" outlineLevel="0" collapsed="false">
      <c r="A89" s="40" t="s">
        <v>336</v>
      </c>
      <c r="B89" s="26" t="n">
        <f aca="false">B88-B86</f>
        <v>1050000</v>
      </c>
      <c r="C89" s="26" t="n">
        <f aca="false">C88-C86</f>
        <v>0</v>
      </c>
      <c r="D89" s="26" t="n">
        <f aca="false">D88-D86</f>
        <v>0</v>
      </c>
      <c r="E89" s="26" t="n">
        <f aca="false">E88-E86</f>
        <v>0</v>
      </c>
      <c r="F89" s="26" t="n">
        <f aca="false">F88-F86</f>
        <v>0</v>
      </c>
      <c r="G89" s="26" t="n">
        <f aca="false">G88-G86</f>
        <v>0</v>
      </c>
      <c r="H89" s="26" t="n">
        <f aca="false">H88-H86</f>
        <v>0</v>
      </c>
      <c r="I89" s="26" t="n">
        <f aca="false">I88-I86</f>
        <v>0</v>
      </c>
      <c r="J89" s="26" t="n">
        <f aca="false">J88-J86</f>
        <v>0</v>
      </c>
      <c r="K89" s="26" t="n">
        <f aca="false">K88-K86</f>
        <v>17953</v>
      </c>
    </row>
    <row r="90" customFormat="false" ht="15.75" hidden="false" customHeight="true" outlineLevel="0" collapsed="false">
      <c r="A90" s="39" t="s">
        <v>337</v>
      </c>
      <c r="B90" s="26" t="n">
        <f aca="false">B35-B86</f>
        <v>0</v>
      </c>
      <c r="C90" s="26" t="n">
        <f aca="false">C35-C86</f>
        <v>0</v>
      </c>
      <c r="D90" s="26" t="n">
        <f aca="false">D35-D86</f>
        <v>0</v>
      </c>
      <c r="E90" s="26" t="n">
        <f aca="false">E35-E86</f>
        <v>0</v>
      </c>
      <c r="F90" s="26" t="n">
        <f aca="false">F35-F86</f>
        <v>0</v>
      </c>
      <c r="G90" s="26" t="n">
        <f aca="false">G35-G86</f>
        <v>0</v>
      </c>
      <c r="H90" s="26" t="n">
        <f aca="false">H35-H86</f>
        <v>0</v>
      </c>
      <c r="I90" s="26" t="n">
        <f aca="false">I35-I86</f>
        <v>0</v>
      </c>
      <c r="J90" s="26" t="n">
        <f aca="false">J35-J86</f>
        <v>0</v>
      </c>
      <c r="K90" s="26" t="n">
        <f aca="false">K35-K86</f>
        <v>17953</v>
      </c>
    </row>
    <row r="91" customFormat="false" ht="15.75" hidden="false" customHeight="true" outlineLevel="0" collapsed="false">
      <c r="A91" s="39"/>
    </row>
    <row r="92" customFormat="false" ht="15.75" hidden="false" customHeight="true" outlineLevel="0" collapsed="false">
      <c r="A92" s="38" t="s">
        <v>338</v>
      </c>
    </row>
    <row r="93" customFormat="false" ht="15.75" hidden="false" customHeight="true" outlineLevel="0" collapsed="false">
      <c r="A93" s="39" t="s">
        <v>339</v>
      </c>
      <c r="B93" s="26" t="n">
        <f aca="false">B16-B56+B21-B62</f>
        <v>34230706</v>
      </c>
      <c r="C93" s="26" t="n">
        <f aca="false">C16-C56+C21-C62</f>
        <v>34238068</v>
      </c>
      <c r="D93" s="26" t="n">
        <f aca="false">D16-D56+D21-D62</f>
        <v>33931167</v>
      </c>
      <c r="E93" s="26" t="n">
        <f aca="false">E16-E56+E21-E62</f>
        <v>27129807</v>
      </c>
      <c r="F93" s="26" t="n">
        <f aca="false">F16-F56+F21-F62</f>
        <v>6926639</v>
      </c>
      <c r="G93" s="26" t="n">
        <f aca="false">G16-G56+G21-G62</f>
        <v>26713670</v>
      </c>
      <c r="H93" s="26" t="n">
        <f aca="false">H16-H56+H21-H62</f>
        <v>24126795</v>
      </c>
      <c r="I93" s="26" t="n">
        <f aca="false">I16-I56+I21-I62</f>
        <v>17198787</v>
      </c>
      <c r="J93" s="26" t="n">
        <f aca="false">J16-J56+J21-J62</f>
        <v>9489875</v>
      </c>
      <c r="K93" s="26" t="n">
        <f aca="false">K16-K56+K21-K62</f>
        <v>5378503</v>
      </c>
    </row>
    <row r="94" customFormat="false" ht="15.75" hidden="false" customHeight="true" outlineLevel="0" collapsed="false">
      <c r="A94" s="39" t="s">
        <v>340</v>
      </c>
      <c r="B94" s="26" t="n">
        <f aca="false">B27-B66</f>
        <v>3138</v>
      </c>
      <c r="C94" s="26" t="n">
        <f aca="false">C27-C66</f>
        <v>3138</v>
      </c>
      <c r="D94" s="26" t="n">
        <f aca="false">D27-D66</f>
        <v>3138</v>
      </c>
      <c r="E94" s="26" t="n">
        <f aca="false">E27-E66</f>
        <v>3138</v>
      </c>
      <c r="F94" s="26" t="n">
        <f aca="false">F27-F66</f>
        <v>3138</v>
      </c>
      <c r="G94" s="26" t="n">
        <f aca="false">G27-G66</f>
        <v>3138</v>
      </c>
      <c r="H94" s="26" t="n">
        <f aca="false">H27-H66</f>
        <v>3138</v>
      </c>
      <c r="I94" s="26" t="n">
        <f aca="false">I27-I66</f>
        <v>3138</v>
      </c>
      <c r="J94" s="26" t="n">
        <f aca="false">J27-J66</f>
        <v>3138</v>
      </c>
      <c r="K94" s="26" t="n">
        <f aca="false">K27-K66</f>
        <v>2831</v>
      </c>
    </row>
    <row r="95" customFormat="false" ht="15.75" hidden="false" customHeight="true" outlineLevel="0" collapsed="false">
      <c r="A95" s="39" t="s">
        <v>341</v>
      </c>
      <c r="B95" s="26" t="n">
        <f aca="false">B33-B73</f>
        <v>-26728405</v>
      </c>
      <c r="C95" s="26" t="n">
        <f aca="false">C33-C73</f>
        <v>-27653744</v>
      </c>
      <c r="D95" s="26" t="n">
        <f aca="false">D33-D73</f>
        <v>-27694657</v>
      </c>
      <c r="E95" s="26" t="n">
        <f aca="false">E33-E73</f>
        <v>-21212489</v>
      </c>
      <c r="F95" s="26" t="n">
        <f aca="false">F33-F73</f>
        <v>-1060847</v>
      </c>
      <c r="G95" s="26" t="n">
        <f aca="false">G33-G73</f>
        <v>-23314273</v>
      </c>
      <c r="H95" s="26" t="n">
        <f aca="false">H33-H73</f>
        <v>-18967415</v>
      </c>
      <c r="I95" s="26" t="n">
        <f aca="false">I33-I73</f>
        <v>-12661747</v>
      </c>
      <c r="J95" s="26" t="n">
        <f aca="false">J33-J73</f>
        <v>-5261232</v>
      </c>
      <c r="K95" s="26" t="n">
        <f aca="false">K33-K73</f>
        <v>-3536168</v>
      </c>
    </row>
    <row r="96" customFormat="false" ht="15.75" hidden="false" customHeight="true" outlineLevel="0" collapsed="false">
      <c r="A96" s="39" t="s">
        <v>342</v>
      </c>
      <c r="B96" s="26" t="n">
        <f aca="false">B84</f>
        <v>7505439</v>
      </c>
      <c r="C96" s="26" t="n">
        <f aca="false">C84</f>
        <v>6587462</v>
      </c>
      <c r="D96" s="26" t="n">
        <f aca="false">D84</f>
        <v>6239648</v>
      </c>
      <c r="E96" s="26" t="n">
        <f aca="false">E84</f>
        <v>5920456</v>
      </c>
      <c r="F96" s="26" t="n">
        <f aca="false">F84</f>
        <v>5868930</v>
      </c>
      <c r="G96" s="26" t="n">
        <f aca="false">G84</f>
        <v>3402535</v>
      </c>
      <c r="H96" s="26" t="n">
        <f aca="false">H84</f>
        <v>5162518</v>
      </c>
      <c r="I96" s="26" t="n">
        <f aca="false">I84</f>
        <v>4540178</v>
      </c>
      <c r="J96" s="26" t="n">
        <f aca="false">J84</f>
        <v>4231781</v>
      </c>
      <c r="K96" s="26" t="n">
        <f aca="false">K84</f>
        <v>1827213</v>
      </c>
    </row>
    <row r="97" customFormat="false" ht="15.75" hidden="false" customHeight="true" outlineLevel="0" collapsed="false">
      <c r="A97" s="39" t="s">
        <v>343</v>
      </c>
      <c r="B97" s="26" t="n">
        <f aca="false">B35</f>
        <v>60394796</v>
      </c>
      <c r="C97" s="26" t="n">
        <f aca="false">C35</f>
        <v>57479670</v>
      </c>
      <c r="D97" s="26" t="n">
        <f aca="false">D35</f>
        <v>54459629</v>
      </c>
      <c r="E97" s="26" t="n">
        <f aca="false">E35</f>
        <v>46499023</v>
      </c>
      <c r="F97" s="26" t="n">
        <f aca="false">F35</f>
        <v>25796860</v>
      </c>
      <c r="G97" s="26" t="n">
        <f aca="false">G35</f>
        <v>32406360</v>
      </c>
      <c r="H97" s="26" t="n">
        <f aca="false">H35</f>
        <v>29137944</v>
      </c>
      <c r="I97" s="26" t="n">
        <f aca="false">I35</f>
        <v>22497059</v>
      </c>
      <c r="J97" s="26" t="n">
        <f aca="false">J35</f>
        <v>12351601</v>
      </c>
      <c r="K97" s="26" t="n">
        <f aca="false">K35</f>
        <v>8477049</v>
      </c>
    </row>
    <row r="98" customFormat="false" ht="15.75" hidden="false" customHeight="true" outlineLevel="0" collapsed="false">
      <c r="A98" s="39" t="s">
        <v>344</v>
      </c>
      <c r="B98" s="26" t="n">
        <f aca="false">B86</f>
        <v>60394796</v>
      </c>
      <c r="C98" s="26" t="n">
        <f aca="false">C86</f>
        <v>57479670</v>
      </c>
      <c r="D98" s="26" t="n">
        <f aca="false">D86</f>
        <v>54459629</v>
      </c>
      <c r="E98" s="26" t="n">
        <f aca="false">E86</f>
        <v>46499023</v>
      </c>
      <c r="F98" s="26" t="n">
        <f aca="false">F86</f>
        <v>25796860</v>
      </c>
      <c r="G98" s="26" t="n">
        <f aca="false">G86</f>
        <v>32406360</v>
      </c>
      <c r="H98" s="26" t="n">
        <f aca="false">H86</f>
        <v>29137944</v>
      </c>
      <c r="I98" s="26" t="n">
        <f aca="false">I86</f>
        <v>22497059</v>
      </c>
      <c r="J98" s="26" t="n">
        <f aca="false">J86</f>
        <v>12351601</v>
      </c>
      <c r="K98" s="26" t="n">
        <f aca="false">K86</f>
        <v>8459096</v>
      </c>
    </row>
    <row r="99" customFormat="false" ht="15.75" hidden="false" customHeight="true" outlineLevel="0" collapsed="false">
      <c r="A99" s="39" t="s">
        <v>316</v>
      </c>
      <c r="B99" s="26" t="n">
        <f aca="false">B97-B98</f>
        <v>0</v>
      </c>
      <c r="C99" s="26" t="n">
        <f aca="false">C97-C98</f>
        <v>0</v>
      </c>
      <c r="D99" s="26" t="n">
        <f aca="false">D97-D98</f>
        <v>0</v>
      </c>
      <c r="E99" s="26" t="n">
        <f aca="false">E97-E98</f>
        <v>0</v>
      </c>
      <c r="F99" s="26" t="n">
        <f aca="false">F97-F98</f>
        <v>0</v>
      </c>
      <c r="G99" s="26" t="n">
        <f aca="false">G97-G98</f>
        <v>0</v>
      </c>
      <c r="H99" s="26" t="n">
        <f aca="false">H97-H98</f>
        <v>0</v>
      </c>
      <c r="I99" s="26" t="n">
        <f aca="false">I97-I98</f>
        <v>0</v>
      </c>
      <c r="J99" s="26" t="n">
        <f aca="false">J97-J98</f>
        <v>0</v>
      </c>
      <c r="K99" s="26" t="n">
        <f aca="false">K97-K98</f>
        <v>17953</v>
      </c>
    </row>
    <row r="100" customFormat="false" ht="15.75" hidden="false" customHeight="true" outlineLevel="0" collapsed="false">
      <c r="A100" s="39"/>
    </row>
    <row r="101" customFormat="false" ht="15.75" hidden="false" customHeight="true" outlineLevel="0" collapsed="false">
      <c r="A101" s="41" t="s">
        <v>345</v>
      </c>
      <c r="B101" s="26" t="n">
        <f aca="false">B8-B51</f>
        <v>-4957343</v>
      </c>
      <c r="C101" s="26" t="n">
        <f aca="false">C8-C51</f>
        <v>-8668732</v>
      </c>
      <c r="D101" s="26" t="n">
        <f aca="false">D8-D51</f>
        <v>-9745132</v>
      </c>
      <c r="E101" s="26" t="n">
        <f aca="false">E8-E51</f>
        <v>-13608011</v>
      </c>
      <c r="F101" s="26" t="n">
        <f aca="false">F8-F51</f>
        <v>-3627386</v>
      </c>
      <c r="G101" s="26" t="n">
        <f aca="false">G8-G51</f>
        <v>7810110</v>
      </c>
      <c r="H101" s="26" t="n">
        <f aca="false">H8-H51</f>
        <v>5907878</v>
      </c>
      <c r="I101" s="26" t="n">
        <f aca="false">I8-I51</f>
        <v>3422243</v>
      </c>
      <c r="J101" s="26" t="n">
        <f aca="false">J8-J51</f>
        <v>4191734</v>
      </c>
      <c r="K101" s="26" t="n">
        <f aca="false">K8-K51</f>
        <v>4393317</v>
      </c>
    </row>
    <row r="102" customFormat="false" ht="15.75" hidden="false" customHeight="true" outlineLevel="0" collapsed="false">
      <c r="A102" s="41" t="s">
        <v>346</v>
      </c>
      <c r="B102" s="26" t="n">
        <f aca="false">B16-B56</f>
        <v>33149952</v>
      </c>
      <c r="C102" s="26" t="n">
        <f aca="false">C16-C56</f>
        <v>30619397</v>
      </c>
      <c r="D102" s="26" t="n">
        <f aca="false">D16-D56</f>
        <v>28842383</v>
      </c>
      <c r="E102" s="26" t="n">
        <f aca="false">E16-E56</f>
        <v>21239583</v>
      </c>
      <c r="F102" s="26" t="n">
        <f aca="false">F16-F56</f>
        <v>6500266</v>
      </c>
      <c r="G102" s="26" t="n">
        <f aca="false">G16-G56</f>
        <v>26884315</v>
      </c>
      <c r="H102" s="26" t="n">
        <f aca="false">H16-H56</f>
        <v>24073373</v>
      </c>
      <c r="I102" s="26" t="n">
        <f aca="false">I16-I56</f>
        <v>16402672</v>
      </c>
      <c r="J102" s="26" t="n">
        <f aca="false">J16-J56</f>
        <v>9461484</v>
      </c>
      <c r="K102" s="26" t="n">
        <f aca="false">K16-K56</f>
        <v>5624412</v>
      </c>
    </row>
    <row r="103" customFormat="false" ht="15.75" hidden="false" customHeight="true" outlineLevel="0" collapsed="false">
      <c r="A103" s="41" t="s">
        <v>347</v>
      </c>
      <c r="B103" s="26" t="n">
        <f aca="false">-B95</f>
        <v>26728405</v>
      </c>
      <c r="C103" s="26" t="n">
        <f aca="false">-C95</f>
        <v>27653744</v>
      </c>
      <c r="D103" s="26" t="n">
        <f aca="false">-D95</f>
        <v>27694657</v>
      </c>
      <c r="E103" s="26" t="n">
        <f aca="false">-E95</f>
        <v>21212489</v>
      </c>
      <c r="F103" s="26" t="n">
        <f aca="false">-F95</f>
        <v>1060847</v>
      </c>
      <c r="G103" s="26" t="n">
        <f aca="false">-G95</f>
        <v>23314273</v>
      </c>
      <c r="H103" s="26" t="n">
        <f aca="false">-H95</f>
        <v>18967415</v>
      </c>
      <c r="I103" s="26" t="n">
        <f aca="false">-I95</f>
        <v>12661747</v>
      </c>
      <c r="J103" s="26" t="n">
        <f aca="false">-J95</f>
        <v>5261232</v>
      </c>
      <c r="K103" s="26" t="n">
        <f aca="false">-K95</f>
        <v>3536168</v>
      </c>
    </row>
    <row r="104" customFormat="false" ht="15.75" hidden="false" customHeight="true" outlineLevel="0" collapsed="false">
      <c r="A104" s="39" t="s">
        <v>348</v>
      </c>
      <c r="B104" s="26" t="n">
        <f aca="false">B93+B94</f>
        <v>34233844</v>
      </c>
      <c r="C104" s="26" t="n">
        <f aca="false">C93+C94</f>
        <v>34241206</v>
      </c>
      <c r="D104" s="26" t="n">
        <f aca="false">D93+D94</f>
        <v>33934305</v>
      </c>
      <c r="E104" s="26" t="n">
        <f aca="false">E93+E94</f>
        <v>27132945</v>
      </c>
      <c r="F104" s="26" t="n">
        <f aca="false">F93+F94</f>
        <v>6929777</v>
      </c>
      <c r="G104" s="26" t="n">
        <f aca="false">G93+G94</f>
        <v>26716808</v>
      </c>
      <c r="H104" s="26" t="n">
        <f aca="false">H93+H94</f>
        <v>24129933</v>
      </c>
      <c r="I104" s="26" t="n">
        <f aca="false">I93+I94</f>
        <v>17201925</v>
      </c>
      <c r="J104" s="26" t="n">
        <f aca="false">J93+J94</f>
        <v>9493013</v>
      </c>
      <c r="K104" s="26" t="n">
        <f aca="false">K93+K94</f>
        <v>5381334</v>
      </c>
    </row>
    <row r="105" customFormat="false" ht="15.75" hidden="false" customHeight="true" outlineLevel="0" collapsed="false">
      <c r="A105" s="39" t="s">
        <v>349</v>
      </c>
      <c r="B105" s="26" t="n">
        <f aca="false">B96+B103</f>
        <v>34233844</v>
      </c>
      <c r="C105" s="26" t="n">
        <f aca="false">C96+C103</f>
        <v>34241206</v>
      </c>
      <c r="D105" s="26" t="n">
        <f aca="false">D96+D103</f>
        <v>33934305</v>
      </c>
      <c r="E105" s="26" t="n">
        <f aca="false">E96+E103</f>
        <v>27132945</v>
      </c>
      <c r="F105" s="26" t="n">
        <f aca="false">F96+F103</f>
        <v>6929777</v>
      </c>
      <c r="G105" s="26" t="n">
        <f aca="false">G96+G103</f>
        <v>26716808</v>
      </c>
      <c r="H105" s="26" t="n">
        <f aca="false">H96+H103</f>
        <v>24129933</v>
      </c>
      <c r="I105" s="26" t="n">
        <f aca="false">I96+I103</f>
        <v>17201925</v>
      </c>
      <c r="J105" s="26" t="n">
        <f aca="false">J96+J103</f>
        <v>9493013</v>
      </c>
      <c r="K105" s="26" t="n">
        <f aca="false">K96+K103</f>
        <v>5363381</v>
      </c>
    </row>
    <row r="106" customFormat="false" ht="15.75" hidden="false" customHeight="true" outlineLevel="0" collapsed="false">
      <c r="A106" s="39" t="s">
        <v>350</v>
      </c>
      <c r="B106" s="26" t="n">
        <f aca="false">B104-B105</f>
        <v>0</v>
      </c>
      <c r="C106" s="26" t="n">
        <f aca="false">C104-C105</f>
        <v>0</v>
      </c>
      <c r="D106" s="26" t="n">
        <f aca="false">D104-D105</f>
        <v>0</v>
      </c>
      <c r="E106" s="26" t="n">
        <f aca="false">E104-E105</f>
        <v>0</v>
      </c>
      <c r="F106" s="26" t="n">
        <f aca="false">F104-F105</f>
        <v>0</v>
      </c>
      <c r="G106" s="26" t="n">
        <f aca="false">G104-G105</f>
        <v>0</v>
      </c>
      <c r="H106" s="26" t="n">
        <f aca="false">H104-H105</f>
        <v>0</v>
      </c>
      <c r="I106" s="26" t="n">
        <f aca="false">I104-I105</f>
        <v>0</v>
      </c>
      <c r="J106" s="26" t="n">
        <f aca="false">J104-J105</f>
        <v>0</v>
      </c>
      <c r="K106" s="26" t="n">
        <f aca="false">K104-K105</f>
        <v>17953</v>
      </c>
    </row>
    <row r="107" customFormat="false" ht="15.75" hidden="false" customHeight="true" outlineLevel="0" collapsed="false">
      <c r="A107" s="39"/>
    </row>
    <row r="108" customFormat="false" ht="15.75" hidden="false" customHeight="true" outlineLevel="0" collapsed="false">
      <c r="A108" s="39"/>
      <c r="B108" s="28" t="n">
        <f aca="false">B1</f>
        <v>2024</v>
      </c>
      <c r="C108" s="28" t="n">
        <f aca="false">C1</f>
        <v>2023</v>
      </c>
      <c r="D108" s="28" t="n">
        <f aca="false">D1</f>
        <v>2022</v>
      </c>
      <c r="E108" s="28" t="n">
        <f aca="false">E1</f>
        <v>2021</v>
      </c>
      <c r="F108" s="28" t="n">
        <f aca="false">F1</f>
        <v>2020</v>
      </c>
      <c r="G108" s="28" t="n">
        <f aca="false">G1</f>
        <v>2019</v>
      </c>
      <c r="H108" s="28" t="n">
        <f aca="false">H1</f>
        <v>2018</v>
      </c>
      <c r="I108" s="28" t="n">
        <f aca="false">I1</f>
        <v>2017</v>
      </c>
      <c r="J108" s="28" t="n">
        <f aca="false">J1</f>
        <v>2016</v>
      </c>
      <c r="K108" s="28" t="n">
        <f aca="false">K1</f>
        <v>2015</v>
      </c>
    </row>
    <row r="109" customFormat="false" ht="15.75" hidden="false" customHeight="true" outlineLevel="0" collapsed="false">
      <c r="A109" s="36" t="s">
        <v>351</v>
      </c>
    </row>
    <row r="110" customFormat="false" ht="15.75" hidden="false" customHeight="true" outlineLevel="0" collapsed="false">
      <c r="A110" s="38" t="s">
        <v>352</v>
      </c>
    </row>
    <row r="111" customFormat="false" ht="15.75" hidden="false" customHeight="true" outlineLevel="0" collapsed="false">
      <c r="A111" s="39" t="s">
        <v>277</v>
      </c>
      <c r="B111" s="26" t="n">
        <f aca="false">SUMIF(case!$N:$N,$A111,case!B:B)-B127</f>
        <v>32682165</v>
      </c>
      <c r="C111" s="26" t="n">
        <f aca="false">SUMIF(case!$N:$N,$A111,case!C:C)-C127</f>
        <v>26863768</v>
      </c>
      <c r="D111" s="26" t="n">
        <f aca="false">SUMIF(case!$N:$N,$A111,case!D:D)-D127</f>
        <v>18270743</v>
      </c>
      <c r="E111" s="26" t="n">
        <f aca="false">SUMIF(case!$N:$N,$A111,case!E:E)-E127</f>
        <v>15960871</v>
      </c>
      <c r="F111" s="26" t="n">
        <f aca="false">SUMIF(case!$N:$N,$A111,case!F:F)-F127</f>
        <v>45566501</v>
      </c>
      <c r="G111" s="26" t="n">
        <f aca="false">SUMIF(case!$N:$N,$A111,case!G:G)-G127</f>
        <v>23432087</v>
      </c>
      <c r="H111" s="26" t="n">
        <f aca="false">SUMIF(case!$N:$N,$A111,case!H:H)-H127</f>
        <v>20383024</v>
      </c>
      <c r="I111" s="26" t="n">
        <f aca="false">SUMIF(case!$N:$N,$A111,case!I:I)-I127</f>
        <v>17823677</v>
      </c>
      <c r="J111" s="26" t="n">
        <f aca="false">SUMIF(case!$N:$N,$A111,case!J:J)-J127</f>
        <v>17354714</v>
      </c>
      <c r="K111" s="26" t="n">
        <f aca="false">SUMIF(case!$N:$N,$A111,case!K:K)-K127</f>
        <v>16814530</v>
      </c>
    </row>
    <row r="112" customFormat="false" ht="15.75" hidden="false" customHeight="true" outlineLevel="0" collapsed="false">
      <c r="A112" s="39" t="s">
        <v>353</v>
      </c>
    </row>
    <row r="113" customFormat="false" ht="15.75" hidden="false" customHeight="true" outlineLevel="0" collapsed="false">
      <c r="A113" s="39" t="s">
        <v>282</v>
      </c>
      <c r="B113" s="26" t="n">
        <f aca="false">SUMIF(case!$N:$N,$A113,case!B:B)</f>
        <v>-22885536</v>
      </c>
      <c r="C113" s="26" t="n">
        <f aca="false">SUMIF(case!$N:$N,$A113,case!C:C)</f>
        <v>-20757477</v>
      </c>
      <c r="D113" s="26" t="n">
        <f aca="false">SUMIF(case!$N:$N,$A113,case!D:D)</f>
        <v>-16050120</v>
      </c>
      <c r="E113" s="26" t="n">
        <f aca="false">SUMIF(case!$N:$N,$A113,case!E:E)</f>
        <v>-12465684</v>
      </c>
      <c r="F113" s="26" t="n">
        <f aca="false">SUMIF(case!$N:$N,$A113,case!F:F)</f>
        <v>-13280397</v>
      </c>
      <c r="G113" s="26" t="n">
        <f aca="false">SUMIF(case!$N:$N,$A113,case!G:G)</f>
        <v>-16932090</v>
      </c>
      <c r="H113" s="26" t="n">
        <f aca="false">SUMIF(case!$N:$N,$A113,case!H:H)</f>
        <v>-13993125</v>
      </c>
      <c r="I113" s="26" t="n">
        <f aca="false">SUMIF(case!$N:$N,$A113,case!I:I)</f>
        <v>-12334028</v>
      </c>
      <c r="J113" s="26" t="n">
        <f aca="false">SUMIF(case!$N:$N,$A113,case!J:J)</f>
        <v>-11490154</v>
      </c>
      <c r="K113" s="26" t="n">
        <f aca="false">SUMIF(case!$N:$N,$A113,case!K:K)</f>
        <v>-10631340</v>
      </c>
    </row>
    <row r="114" customFormat="false" ht="15.75" hidden="false" customHeight="true" outlineLevel="0" collapsed="false">
      <c r="A114" s="39" t="s">
        <v>283</v>
      </c>
      <c r="B114" s="26" t="n">
        <f aca="false">SUMIF(case!$N:$N,$A114,case!B:B)</f>
        <v>-4713095</v>
      </c>
      <c r="C114" s="26" t="n">
        <f aca="false">SUMIF(case!$N:$N,$A114,case!C:C)</f>
        <v>-3451674</v>
      </c>
      <c r="D114" s="26" t="n">
        <f aca="false">SUMIF(case!$N:$N,$A114,case!D:D)</f>
        <v>-3669246</v>
      </c>
      <c r="E114" s="26" t="n">
        <f aca="false">SUMIF(case!$N:$N,$A114,case!E:E)</f>
        <v>-2062948</v>
      </c>
      <c r="F114" s="26" t="n">
        <f aca="false">SUMIF(case!$N:$N,$A114,case!F:F)</f>
        <v>-3145307</v>
      </c>
      <c r="G114" s="26" t="n">
        <f aca="false">SUMIF(case!$N:$N,$A114,case!G:G)</f>
        <v>-4161603</v>
      </c>
      <c r="H114" s="26" t="n">
        <f aca="false">SUMIF(case!$N:$N,$A114,case!H:H)</f>
        <v>-3117431</v>
      </c>
      <c r="I114" s="26" t="n">
        <f aca="false">SUMIF(case!$N:$N,$A114,case!I:I)</f>
        <v>-2564870</v>
      </c>
      <c r="J114" s="26" t="n">
        <f aca="false">SUMIF(case!$N:$N,$A114,case!J:J)</f>
        <v>-2315205</v>
      </c>
      <c r="K114" s="26" t="n">
        <f aca="false">SUMIF(case!$N:$N,$A114,case!K:K)</f>
        <v>-2075877</v>
      </c>
    </row>
    <row r="115" customFormat="false" ht="15.75" hidden="false" customHeight="true" outlineLevel="0" collapsed="false">
      <c r="A115" s="39" t="s">
        <v>284</v>
      </c>
      <c r="B115" s="26" t="n">
        <f aca="false">SUMIF(case!$N:$N,$A115,case!B:B)</f>
        <v>-64351</v>
      </c>
      <c r="C115" s="26" t="n">
        <f aca="false">SUMIF(case!$N:$N,$A115,case!C:C)</f>
        <v>-70254</v>
      </c>
      <c r="D115" s="26" t="n">
        <f aca="false">SUMIF(case!$N:$N,$A115,case!D:D)</f>
        <v>-70413</v>
      </c>
      <c r="E115" s="26" t="n">
        <f aca="false">SUMIF(case!$N:$N,$A115,case!E:E)</f>
        <v>-169510</v>
      </c>
      <c r="F115" s="26" t="n">
        <f aca="false">SUMIF(case!$N:$N,$A115,case!F:F)</f>
        <v>-504258</v>
      </c>
      <c r="G115" s="26" t="n">
        <f aca="false">SUMIF(case!$N:$N,$A115,case!G:G)</f>
        <v>-807162</v>
      </c>
      <c r="H115" s="26" t="n">
        <f aca="false">SUMIF(case!$N:$N,$A115,case!H:H)</f>
        <v>-758512</v>
      </c>
      <c r="I115" s="26" t="n">
        <f aca="false">SUMIF(case!$N:$N,$A115,case!I:I)</f>
        <v>-565272</v>
      </c>
      <c r="J115" s="26" t="n">
        <f aca="false">SUMIF(case!$N:$N,$A115,case!J:J)</f>
        <v>-617112</v>
      </c>
      <c r="K115" s="26" t="n">
        <f aca="false">SUMIF(case!$N:$N,$A115,case!K:K)</f>
        <v>-672603</v>
      </c>
    </row>
    <row r="116" customFormat="false" ht="15.75" hidden="false" customHeight="true" outlineLevel="0" collapsed="false">
      <c r="A116" s="39" t="s">
        <v>354</v>
      </c>
      <c r="B116" s="26" t="n">
        <f aca="false">SUM(B113:B115)</f>
        <v>-27662982</v>
      </c>
      <c r="C116" s="26" t="n">
        <f aca="false">SUM(C113:C115)</f>
        <v>-24279405</v>
      </c>
      <c r="D116" s="26" t="n">
        <f aca="false">SUM(D113:D115)</f>
        <v>-19789779</v>
      </c>
      <c r="E116" s="26" t="n">
        <f aca="false">SUM(E113:E115)</f>
        <v>-14698142</v>
      </c>
      <c r="F116" s="26" t="n">
        <f aca="false">SUM(F113:F115)</f>
        <v>-16929962</v>
      </c>
      <c r="G116" s="26" t="n">
        <f aca="false">SUM(G113:G115)</f>
        <v>-21900855</v>
      </c>
      <c r="H116" s="26" t="n">
        <f aca="false">SUM(H113:H115)</f>
        <v>-17869068</v>
      </c>
      <c r="I116" s="26" t="n">
        <f aca="false">SUM(I113:I115)</f>
        <v>-15464170</v>
      </c>
      <c r="J116" s="26" t="n">
        <f aca="false">SUM(J113:J115)</f>
        <v>-14422471</v>
      </c>
      <c r="K116" s="26" t="n">
        <f aca="false">SUM(K113:K115)</f>
        <v>-13379820</v>
      </c>
    </row>
    <row r="117" customFormat="false" ht="15.75" hidden="false" customHeight="true" outlineLevel="0" collapsed="false">
      <c r="A117" s="39" t="s">
        <v>288</v>
      </c>
      <c r="B117" s="26" t="n">
        <f aca="false">SUMIF(case!$N:$N,$A117,case!B:B)</f>
        <v>-46126</v>
      </c>
      <c r="C117" s="26" t="n">
        <f aca="false">SUMIF(case!$N:$N,$A117,case!C:C)</f>
        <v>-7412</v>
      </c>
      <c r="D117" s="26" t="n">
        <f aca="false">SUMIF(case!$N:$N,$A117,case!D:D)</f>
        <v>469309</v>
      </c>
      <c r="E117" s="26" t="n">
        <f aca="false">SUMIF(case!$N:$N,$A117,case!E:E)</f>
        <v>96182</v>
      </c>
      <c r="F117" s="26" t="n">
        <f aca="false">SUMIF(case!$N:$N,$A117,case!F:F)</f>
        <v>-112764</v>
      </c>
      <c r="G117" s="26" t="n">
        <f aca="false">SUMIF(case!$N:$N,$A117,case!G:G)</f>
        <v>-98266</v>
      </c>
      <c r="H117" s="26" t="n">
        <f aca="false">SUMIF(case!$N:$N,$A117,case!H:H)</f>
        <v>-13409</v>
      </c>
      <c r="I117" s="26" t="n">
        <f aca="false">SUMIF(case!$N:$N,$A117,case!I:I)</f>
        <v>-35809</v>
      </c>
      <c r="J117" s="26" t="n">
        <f aca="false">SUMIF(case!$N:$N,$A117,case!J:J)</f>
        <v>31952</v>
      </c>
      <c r="K117" s="26" t="n">
        <f aca="false">SUMIF(case!$N:$N,$A117,case!K:K)</f>
        <v>40195</v>
      </c>
    </row>
    <row r="118" customFormat="false" ht="15.75" hidden="false" customHeight="true" outlineLevel="0" collapsed="false">
      <c r="A118" s="39" t="s">
        <v>278</v>
      </c>
      <c r="B118" s="26" t="n">
        <f aca="false">SUMIF(case!$N:$N,$A118,case!B:B)</f>
        <v>844675</v>
      </c>
      <c r="C118" s="26" t="n">
        <f aca="false">SUMIF(case!$N:$N,$A118,case!C:C)</f>
        <v>2437461</v>
      </c>
      <c r="D118" s="26" t="n">
        <f aca="false">SUMIF(case!$N:$N,$A118,case!D:D)</f>
        <v>4370611</v>
      </c>
      <c r="E118" s="26" t="n">
        <f aca="false">SUMIF(case!$N:$N,$A118,case!E:E)</f>
        <v>-162763</v>
      </c>
      <c r="F118" s="26" t="n">
        <f aca="false">SUMIF(case!$N:$N,$A118,case!F:F)</f>
        <v>-5512230</v>
      </c>
      <c r="G118" s="26" t="n">
        <f aca="false">SUMIF(case!$N:$N,$A118,case!G:G)</f>
        <v>1936152</v>
      </c>
      <c r="H118" s="26" t="n">
        <f aca="false">SUMIF(case!$N:$N,$A118,case!H:H)</f>
        <v>1710320</v>
      </c>
      <c r="I118" s="26" t="n">
        <f aca="false">SUMIF(case!$N:$N,$A118,case!I:I)</f>
        <v>839363</v>
      </c>
      <c r="J118" s="26" t="n">
        <f aca="false">SUMIF(case!$N:$N,$A118,case!J:J)</f>
        <v>79504</v>
      </c>
      <c r="K118" s="26" t="n">
        <f aca="false">SUMIF(case!$N:$N,$A118,case!K:K)</f>
        <v>-557027</v>
      </c>
    </row>
    <row r="119" customFormat="false" ht="15.75" hidden="false" customHeight="true" outlineLevel="0" collapsed="false">
      <c r="A119" s="39" t="s">
        <v>279</v>
      </c>
      <c r="B119" s="26" t="n">
        <f aca="false">SUMIF(case!$N:$N,$A119,case!B:B)</f>
        <v>0</v>
      </c>
      <c r="C119" s="26" t="n">
        <f aca="false">SUMIF(case!$N:$N,$A119,case!C:C)</f>
        <v>0</v>
      </c>
      <c r="D119" s="26" t="n">
        <f aca="false">SUMIF(case!$N:$N,$A119,case!D:D)</f>
        <v>0</v>
      </c>
      <c r="E119" s="26" t="n">
        <f aca="false">SUMIF(case!$N:$N,$A119,case!E:E)</f>
        <v>0</v>
      </c>
      <c r="F119" s="26" t="n">
        <f aca="false">SUMIF(case!$N:$N,$A119,case!F:F)</f>
        <v>0</v>
      </c>
      <c r="G119" s="26" t="n">
        <f aca="false">SUMIF(case!$N:$N,$A119,case!G:G)</f>
        <v>0</v>
      </c>
      <c r="H119" s="26" t="n">
        <f aca="false">SUMIF(case!$N:$N,$A119,case!H:H)</f>
        <v>0</v>
      </c>
      <c r="I119" s="26" t="n">
        <f aca="false">SUMIF(case!$N:$N,$A119,case!I:I)</f>
        <v>0</v>
      </c>
      <c r="J119" s="26" t="n">
        <f aca="false">SUMIF(case!$N:$N,$A119,case!J:J)</f>
        <v>0</v>
      </c>
      <c r="K119" s="26" t="n">
        <f aca="false">SUMIF(case!$N:$N,$A119,case!K:K)</f>
        <v>0</v>
      </c>
    </row>
    <row r="120" customFormat="false" ht="15.75" hidden="false" customHeight="true" outlineLevel="0" collapsed="false">
      <c r="A120" s="39" t="s">
        <v>355</v>
      </c>
      <c r="B120" s="26" t="n">
        <f aca="false">B116+B117+B118+B119</f>
        <v>-26864433</v>
      </c>
      <c r="C120" s="26" t="n">
        <f aca="false">C116+C117+C118+C119</f>
        <v>-21849356</v>
      </c>
      <c r="D120" s="26" t="n">
        <f aca="false">D116+D117+D118+D119</f>
        <v>-14949859</v>
      </c>
      <c r="E120" s="26" t="n">
        <f aca="false">E116+E117+E118+E119</f>
        <v>-14764723</v>
      </c>
      <c r="F120" s="26" t="n">
        <f aca="false">F116+F117+F118+F119</f>
        <v>-22554956</v>
      </c>
      <c r="G120" s="26" t="n">
        <f aca="false">G116+G117+G118+G119</f>
        <v>-20062969</v>
      </c>
      <c r="H120" s="26" t="n">
        <f aca="false">H116+H117+H118+H119</f>
        <v>-16172157</v>
      </c>
      <c r="I120" s="26" t="n">
        <f aca="false">I116+I117+I118+I119</f>
        <v>-14660616</v>
      </c>
      <c r="J120" s="26" t="n">
        <f aca="false">J116+J117+J118+J119</f>
        <v>-14311015</v>
      </c>
      <c r="K120" s="26" t="n">
        <f aca="false">K116+K117+K118+K119</f>
        <v>-13896652</v>
      </c>
    </row>
    <row r="121" customFormat="false" ht="15.75" hidden="false" customHeight="true" outlineLevel="0" collapsed="false">
      <c r="A121" s="39" t="s">
        <v>356</v>
      </c>
      <c r="B121" s="26" t="n">
        <f aca="false">B111+B120</f>
        <v>5817732</v>
      </c>
      <c r="C121" s="26" t="n">
        <f aca="false">C111+C120</f>
        <v>5014412</v>
      </c>
      <c r="D121" s="26" t="n">
        <f aca="false">D111+D120</f>
        <v>3320884</v>
      </c>
      <c r="E121" s="26" t="n">
        <f aca="false">E111+E120</f>
        <v>1196148</v>
      </c>
      <c r="F121" s="26" t="n">
        <f aca="false">F111+F120</f>
        <v>23011545</v>
      </c>
      <c r="G121" s="26" t="n">
        <f aca="false">G111+G120</f>
        <v>3369118</v>
      </c>
      <c r="H121" s="26" t="n">
        <f aca="false">H111+H120</f>
        <v>4210867</v>
      </c>
      <c r="I121" s="26" t="n">
        <f aca="false">I111+I120</f>
        <v>3163061</v>
      </c>
      <c r="J121" s="26" t="n">
        <f aca="false">J111+J120</f>
        <v>3043699</v>
      </c>
      <c r="K121" s="26" t="n">
        <f aca="false">K111+K120</f>
        <v>2917878</v>
      </c>
    </row>
    <row r="122" customFormat="false" ht="15.75" hidden="false" customHeight="true" outlineLevel="0" collapsed="false">
      <c r="A122" s="39" t="s">
        <v>285</v>
      </c>
      <c r="B122" s="26" t="n">
        <f aca="false">SUMIF(case!$N:$N,$A122,case!B:B)</f>
        <v>-2681925</v>
      </c>
      <c r="C122" s="26" t="n">
        <f aca="false">SUMIF(case!$N:$N,$A122,case!C:C)</f>
        <v>-2131577</v>
      </c>
      <c r="D122" s="26" t="n">
        <f aca="false">SUMIF(case!$N:$N,$A122,case!D:D)</f>
        <v>-1951241</v>
      </c>
      <c r="E122" s="26" t="n">
        <f aca="false">SUMIF(case!$N:$N,$A122,case!E:E)</f>
        <v>-1243643</v>
      </c>
      <c r="F122" s="26" t="n">
        <f aca="false">SUMIF(case!$N:$N,$A122,case!F:F)</f>
        <v>-1919876</v>
      </c>
      <c r="G122" s="26" t="n">
        <f aca="false">SUMIF(case!$N:$N,$A122,case!G:G)</f>
        <v>-3220370</v>
      </c>
      <c r="H122" s="26" t="n">
        <f aca="false">SUMIF(case!$N:$N,$A122,case!H:H)</f>
        <v>-2559233</v>
      </c>
      <c r="I122" s="26" t="n">
        <f aca="false">SUMIF(case!$N:$N,$A122,case!I:I)</f>
        <v>-1993525</v>
      </c>
      <c r="J122" s="26" t="n">
        <f aca="false">SUMIF(case!$N:$N,$A122,case!J:J)</f>
        <v>-1661107</v>
      </c>
      <c r="K122" s="26" t="n">
        <f aca="false">SUMIF(case!$N:$N,$A122,case!K:K)</f>
        <v>-1550056</v>
      </c>
    </row>
    <row r="123" customFormat="false" ht="15.75" hidden="false" customHeight="true" outlineLevel="0" collapsed="false">
      <c r="A123" s="39" t="s">
        <v>357</v>
      </c>
      <c r="B123" s="26" t="n">
        <f aca="false">B121+B122</f>
        <v>3135807</v>
      </c>
      <c r="C123" s="26" t="n">
        <f aca="false">C121+C122</f>
        <v>2882835</v>
      </c>
      <c r="D123" s="26" t="n">
        <f aca="false">D121+D122</f>
        <v>1369643</v>
      </c>
      <c r="E123" s="26" t="n">
        <f aca="false">E121+E122</f>
        <v>-47495</v>
      </c>
      <c r="F123" s="26" t="n">
        <f aca="false">F121+F122</f>
        <v>21091669</v>
      </c>
      <c r="G123" s="26" t="n">
        <f aca="false">G121+G122</f>
        <v>148748</v>
      </c>
      <c r="H123" s="26" t="n">
        <f aca="false">H121+H122</f>
        <v>1651634</v>
      </c>
      <c r="I123" s="26" t="n">
        <f aca="false">I121+I122</f>
        <v>1169536</v>
      </c>
      <c r="J123" s="26" t="n">
        <f aca="false">J121+J122</f>
        <v>1382592</v>
      </c>
      <c r="K123" s="26" t="n">
        <f aca="false">K121+K122</f>
        <v>1367822</v>
      </c>
    </row>
    <row r="124" customFormat="false" ht="15.75" hidden="false" customHeight="true" outlineLevel="0" collapsed="false">
      <c r="A124" s="39" t="s">
        <v>286</v>
      </c>
      <c r="B124" s="26" t="n">
        <f aca="false">SUMIF(case!$N:$N,$A124,case!B:B)</f>
        <v>-2248638</v>
      </c>
      <c r="C124" s="26" t="n">
        <f aca="false">SUMIF(case!$N:$N,$A124,case!C:C)</f>
        <v>-1814814</v>
      </c>
      <c r="D124" s="26" t="n">
        <f aca="false">SUMIF(case!$N:$N,$A124,case!D:D)</f>
        <v>-1191708</v>
      </c>
      <c r="E124" s="26" t="n">
        <f aca="false">SUMIF(case!$N:$N,$A124,case!E:E)</f>
        <v>0</v>
      </c>
      <c r="F124" s="26" t="n">
        <f aca="false">SUMIF(case!$N:$N,$A124,case!F:F)</f>
        <v>-415221</v>
      </c>
      <c r="G124" s="26" t="n">
        <f aca="false">SUMIF(case!$N:$N,$A124,case!G:G)</f>
        <v>-1322599</v>
      </c>
      <c r="H124" s="26" t="n">
        <f aca="false">SUMIF(case!$N:$N,$A124,case!H:H)</f>
        <v>-832224</v>
      </c>
      <c r="I124" s="26" t="n">
        <f aca="false">SUMIF(case!$N:$N,$A124,case!I:I)</f>
        <v>-461070</v>
      </c>
      <c r="J124" s="26" t="n">
        <f aca="false">SUMIF(case!$N:$N,$A124,case!J:J)</f>
        <v>-348320</v>
      </c>
      <c r="K124" s="26" t="n">
        <f aca="false">SUMIF(case!$N:$N,$A124,case!K:K)</f>
        <v>-233484</v>
      </c>
    </row>
    <row r="125" customFormat="false" ht="15.75" hidden="false" customHeight="true" outlineLevel="0" collapsed="false">
      <c r="A125" s="39" t="s">
        <v>358</v>
      </c>
      <c r="B125" s="26" t="n">
        <f aca="false">B123+B124</f>
        <v>887169</v>
      </c>
      <c r="C125" s="26" t="n">
        <f aca="false">C123+C124</f>
        <v>1068021</v>
      </c>
      <c r="D125" s="26" t="n">
        <f aca="false">D123+D124</f>
        <v>177935</v>
      </c>
      <c r="E125" s="26" t="n">
        <f aca="false">E123+E124</f>
        <v>-47495</v>
      </c>
      <c r="F125" s="26" t="n">
        <f aca="false">F123+F124</f>
        <v>20676448</v>
      </c>
      <c r="G125" s="26" t="n">
        <f aca="false">G123+G124</f>
        <v>-1173851</v>
      </c>
      <c r="H125" s="26" t="n">
        <f aca="false">H123+H124</f>
        <v>819410</v>
      </c>
      <c r="I125" s="26" t="n">
        <f aca="false">I123+I124</f>
        <v>708466</v>
      </c>
      <c r="J125" s="26" t="n">
        <f aca="false">J123+J124</f>
        <v>1034272</v>
      </c>
      <c r="K125" s="26" t="n">
        <f aca="false">K123+K124</f>
        <v>1134338</v>
      </c>
    </row>
    <row r="126" customFormat="false" ht="15.75" hidden="false" customHeight="true" outlineLevel="0" collapsed="false">
      <c r="A126" s="39" t="s">
        <v>280</v>
      </c>
      <c r="B126" s="26" t="n">
        <f aca="false">SUMIF(case!$N:$N,$A126,case!B:B)</f>
        <v>0</v>
      </c>
      <c r="C126" s="26" t="n">
        <f aca="false">SUMIF(case!$N:$N,$A126,case!C:C)</f>
        <v>0</v>
      </c>
      <c r="D126" s="26" t="n">
        <f aca="false">SUMIF(case!$N:$N,$A126,case!D:D)</f>
        <v>0</v>
      </c>
      <c r="E126" s="26" t="n">
        <f aca="false">SUMIF(case!$N:$N,$A126,case!E:E)</f>
        <v>0</v>
      </c>
      <c r="F126" s="26" t="n">
        <f aca="false">SUMIF(case!$N:$N,$A126,case!F:F)</f>
        <v>0</v>
      </c>
      <c r="G126" s="26" t="n">
        <f aca="false">SUMIF(case!$N:$N,$A126,case!G:G)</f>
        <v>0</v>
      </c>
      <c r="H126" s="26" t="n">
        <f aca="false">SUMIF(case!$N:$N,$A126,case!H:H)</f>
        <v>0</v>
      </c>
      <c r="I126" s="26" t="n">
        <f aca="false">SUMIF(case!$N:$N,$A126,case!I:I)</f>
        <v>0</v>
      </c>
      <c r="J126" s="26" t="n">
        <f aca="false">SUMIF(case!$N:$N,$A126,case!J:J)</f>
        <v>0</v>
      </c>
      <c r="K126" s="26" t="n">
        <f aca="false">SUMIF(case!$N:$N,$A126,case!K:K)</f>
        <v>0</v>
      </c>
    </row>
    <row r="127" customFormat="false" ht="15.75" hidden="false" customHeight="true" outlineLevel="0" collapsed="false">
      <c r="A127" s="39" t="s">
        <v>281</v>
      </c>
      <c r="B127" s="26" t="n">
        <f aca="false">SUMIF(case!$N:$N,$A127,case!B:B)</f>
        <v>1683351</v>
      </c>
      <c r="C127" s="26" t="n">
        <f aca="false">SUMIF(case!$N:$N,$A127,case!C:C)</f>
        <v>1049271</v>
      </c>
      <c r="D127" s="26" t="n">
        <f aca="false">SUMIF(case!$N:$N,$A127,case!D:D)</f>
        <v>1089418</v>
      </c>
      <c r="E127" s="26" t="n">
        <f aca="false">SUMIF(case!$N:$N,$A127,case!E:E)</f>
        <v>75220</v>
      </c>
      <c r="F127" s="26" t="n">
        <f aca="false">SUMIF(case!$N:$N,$A127,case!F:F)</f>
        <v>109507</v>
      </c>
      <c r="G127" s="26" t="n">
        <f aca="false">SUMIF(case!$N:$N,$A127,case!G:G)</f>
        <v>59575</v>
      </c>
      <c r="H127" s="26" t="n">
        <f aca="false">SUMIF(case!$N:$N,$A127,case!H:H)</f>
        <v>168492</v>
      </c>
      <c r="I127" s="26" t="n">
        <f aca="false">SUMIF(case!$N:$N,$A127,case!I:I)</f>
        <v>4340</v>
      </c>
      <c r="J127" s="26" t="n">
        <f aca="false">SUMIF(case!$N:$N,$A127,case!J:J)</f>
        <v>4135</v>
      </c>
      <c r="K127" s="26" t="n">
        <f aca="false">SUMIF(case!$N:$N,$A127,case!K:K)</f>
        <v>4620</v>
      </c>
    </row>
    <row r="128" customFormat="false" ht="15.75" hidden="false" customHeight="true" outlineLevel="0" collapsed="false">
      <c r="A128" s="39" t="s">
        <v>359</v>
      </c>
      <c r="B128" s="26" t="n">
        <f aca="false">SUMIF(case!$N:$N,$A128,case!B:B)</f>
        <v>0</v>
      </c>
      <c r="C128" s="26" t="n">
        <f aca="false">SUMIF(case!$N:$N,$A128,case!C:C)</f>
        <v>0</v>
      </c>
      <c r="D128" s="26" t="n">
        <f aca="false">SUMIF(case!$N:$N,$A128,case!D:D)</f>
        <v>0</v>
      </c>
      <c r="E128" s="26" t="n">
        <f aca="false">SUMIF(case!$N:$N,$A128,case!E:E)</f>
        <v>0</v>
      </c>
      <c r="F128" s="26" t="n">
        <f aca="false">SUMIF(case!$N:$N,$A128,case!F:F)</f>
        <v>0</v>
      </c>
      <c r="G128" s="26" t="n">
        <f aca="false">SUMIF(case!$N:$N,$A128,case!G:G)</f>
        <v>0</v>
      </c>
      <c r="H128" s="26" t="n">
        <f aca="false">SUMIF(case!$N:$N,$A128,case!H:H)</f>
        <v>0</v>
      </c>
      <c r="I128" s="26" t="n">
        <f aca="false">SUMIF(case!$N:$N,$A128,case!I:I)</f>
        <v>0</v>
      </c>
      <c r="J128" s="26" t="n">
        <f aca="false">SUMIF(case!$N:$N,$A128,case!J:J)</f>
        <v>0</v>
      </c>
      <c r="K128" s="26" t="n">
        <f aca="false">SUMIF(case!$N:$N,$A128,case!K:K)</f>
        <v>0</v>
      </c>
    </row>
    <row r="129" customFormat="false" ht="15.75" hidden="false" customHeight="true" outlineLevel="0" collapsed="false">
      <c r="A129" s="39" t="s">
        <v>287</v>
      </c>
      <c r="B129" s="26" t="n">
        <f aca="false">SUMIF(case!$N:$N,$A129,case!B:B)</f>
        <v>0</v>
      </c>
      <c r="C129" s="26" t="n">
        <f aca="false">SUMIF(case!$N:$N,$A129,case!C:C)</f>
        <v>0</v>
      </c>
      <c r="D129" s="26" t="n">
        <f aca="false">SUMIF(case!$N:$N,$A129,case!D:D)</f>
        <v>-13108</v>
      </c>
      <c r="E129" s="26" t="n">
        <f aca="false">SUMIF(case!$N:$N,$A129,case!E:E)</f>
        <v>-24929</v>
      </c>
      <c r="F129" s="26" t="n">
        <f aca="false">SUMIF(case!$N:$N,$A129,case!F:F)</f>
        <v>-47209</v>
      </c>
      <c r="G129" s="26" t="n">
        <f aca="false">SUMIF(case!$N:$N,$A129,case!G:G)</f>
        <v>-49719</v>
      </c>
      <c r="H129" s="26" t="n">
        <f aca="false">SUMIF(case!$N:$N,$A129,case!H:H)</f>
        <v>-32739</v>
      </c>
      <c r="I129" s="26" t="n">
        <f aca="false">SUMIF(case!$N:$N,$A129,case!I:I)</f>
        <v>-42010</v>
      </c>
      <c r="J129" s="26" t="n">
        <f aca="false">SUMIF(case!$N:$N,$A129,case!J:J)</f>
        <v>-97770</v>
      </c>
      <c r="K129" s="26" t="n">
        <f aca="false">SUMIF(case!$N:$N,$A129,case!K:K)</f>
        <v>-66626</v>
      </c>
    </row>
    <row r="130" customFormat="false" ht="15.75" hidden="false" customHeight="true" outlineLevel="0" collapsed="false">
      <c r="A130" s="39" t="s">
        <v>289</v>
      </c>
      <c r="B130" s="26" t="n">
        <f aca="false">SUMIF(case!$N:$N,$A130,case!B:B)</f>
        <v>-319573</v>
      </c>
      <c r="C130" s="26" t="n">
        <f aca="false">SUMIF(case!$N:$N,$A130,case!C:C)</f>
        <v>-251170</v>
      </c>
      <c r="D130" s="26" t="n">
        <f aca="false">SUMIF(case!$N:$N,$A130,case!D:D)</f>
        <v>-219422</v>
      </c>
      <c r="E130" s="26" t="n">
        <f aca="false">SUMIF(case!$N:$N,$A130,case!E:E)</f>
        <v>-197180</v>
      </c>
      <c r="F130" s="26" t="n">
        <f aca="false">SUMIF(case!$N:$N,$A130,case!F:F)</f>
        <v>-17808509</v>
      </c>
      <c r="G130" s="26" t="n">
        <f aca="false">SUMIF(case!$N:$N,$A130,case!G:G)</f>
        <v>-286978</v>
      </c>
      <c r="H130" s="26" t="n">
        <f aca="false">SUMIF(case!$N:$N,$A130,case!H:H)</f>
        <v>-108626</v>
      </c>
      <c r="I130" s="26" t="n">
        <f aca="false">SUMIF(case!$N:$N,$A130,case!I:I)</f>
        <v>-110096</v>
      </c>
      <c r="J130" s="26" t="n">
        <f aca="false">SUMIF(case!$N:$N,$A130,case!J:J)</f>
        <v>-157692</v>
      </c>
      <c r="K130" s="26" t="n">
        <f aca="false">SUMIF(case!$N:$N,$A130,case!K:K)</f>
        <v>-138967</v>
      </c>
    </row>
    <row r="131" customFormat="false" ht="15.75" hidden="false" customHeight="true" outlineLevel="0" collapsed="false">
      <c r="A131" s="38" t="s">
        <v>360</v>
      </c>
      <c r="B131" s="26" t="n">
        <f aca="false">B125+B126+B127+B130+B129+B128</f>
        <v>2250947</v>
      </c>
      <c r="C131" s="26" t="n">
        <f aca="false">C125+C126+C127+C130+C129+C128</f>
        <v>1866122</v>
      </c>
      <c r="D131" s="26" t="n">
        <f aca="false">D125+D126+D127+D130+D129+D128</f>
        <v>1034823</v>
      </c>
      <c r="E131" s="26" t="n">
        <f aca="false">E125+E126+E127+E130+E129+E128</f>
        <v>-194384</v>
      </c>
      <c r="F131" s="26" t="n">
        <f aca="false">F125+F126+F127+F130+F129+F128</f>
        <v>2930237</v>
      </c>
      <c r="G131" s="26" t="n">
        <f aca="false">G125+G126+G127+G130+G129+G128</f>
        <v>-1450973</v>
      </c>
      <c r="H131" s="26" t="n">
        <f aca="false">H125+H126+H127+H130+H129+H128</f>
        <v>846537</v>
      </c>
      <c r="I131" s="26" t="n">
        <f aca="false">I125+I126+I127+I130+I129+I128</f>
        <v>560700</v>
      </c>
      <c r="J131" s="26" t="n">
        <f aca="false">J125+J126+J127+J130+J129+J128</f>
        <v>782945</v>
      </c>
      <c r="K131" s="26" t="n">
        <f aca="false">K125+K126+K127+K130+K129+K128</f>
        <v>933365</v>
      </c>
    </row>
    <row r="132" customFormat="false" ht="15.75" hidden="false" customHeight="true" outlineLevel="0" collapsed="false">
      <c r="A132" s="39"/>
    </row>
    <row r="133" customFormat="false" ht="15.75" hidden="false" customHeight="true" outlineLevel="0" collapsed="false">
      <c r="A133" s="39" t="s">
        <v>361</v>
      </c>
      <c r="B133" s="26" t="n">
        <f aca="false">case!B201</f>
        <v>2250947</v>
      </c>
      <c r="C133" s="26" t="n">
        <f aca="false">case!C201</f>
        <v>1866122</v>
      </c>
      <c r="D133" s="26" t="n">
        <f aca="false">case!D201</f>
        <v>1034823</v>
      </c>
      <c r="E133" s="26" t="n">
        <f aca="false">case!E201</f>
        <v>-194384</v>
      </c>
      <c r="F133" s="26" t="n">
        <f aca="false">case!F201</f>
        <v>2930237</v>
      </c>
      <c r="G133" s="26" t="n">
        <f aca="false">case!G201</f>
        <v>-1450973</v>
      </c>
      <c r="H133" s="26" t="n">
        <f aca="false">case!H201</f>
        <v>846537</v>
      </c>
      <c r="I133" s="26" t="n">
        <f aca="false">case!I201</f>
        <v>560700</v>
      </c>
      <c r="J133" s="26" t="n">
        <f aca="false">case!J201</f>
        <v>782945</v>
      </c>
      <c r="K133" s="26" t="n">
        <f aca="false">case!K201</f>
        <v>933365</v>
      </c>
    </row>
    <row r="134" customFormat="false" ht="15.75" hidden="false" customHeight="true" outlineLevel="0" collapsed="false">
      <c r="A134" s="39" t="s">
        <v>362</v>
      </c>
      <c r="B134" s="26" t="n">
        <f aca="false">B131-B133</f>
        <v>0</v>
      </c>
      <c r="C134" s="26" t="n">
        <f aca="false">C131-C133</f>
        <v>0</v>
      </c>
      <c r="D134" s="26" t="n">
        <f aca="false">D131-D133</f>
        <v>0</v>
      </c>
      <c r="E134" s="26" t="n">
        <f aca="false">E131-E133</f>
        <v>0</v>
      </c>
      <c r="F134" s="26" t="n">
        <f aca="false">F131-F133</f>
        <v>0</v>
      </c>
      <c r="G134" s="26" t="n">
        <f aca="false">G131-G133</f>
        <v>0</v>
      </c>
      <c r="H134" s="26" t="n">
        <f aca="false">H131-H133</f>
        <v>0</v>
      </c>
      <c r="I134" s="26" t="n">
        <f aca="false">I131-I133</f>
        <v>0</v>
      </c>
      <c r="J134" s="26" t="n">
        <f aca="false">J131-J133</f>
        <v>0</v>
      </c>
      <c r="K134" s="26" t="n">
        <f aca="false">K131-K133</f>
        <v>0</v>
      </c>
    </row>
    <row r="135" customFormat="false" ht="15.75" hidden="false" customHeight="true" outlineLevel="0" collapsed="false">
      <c r="A135" s="39"/>
    </row>
    <row r="136" customFormat="false" ht="15.75" hidden="false" customHeight="true" outlineLevel="0" collapsed="false">
      <c r="A136" s="38" t="s">
        <v>363</v>
      </c>
    </row>
    <row r="137" customFormat="false" ht="15.75" hidden="false" customHeight="true" outlineLevel="0" collapsed="false">
      <c r="A137" s="39" t="s">
        <v>291</v>
      </c>
      <c r="B137" s="26" t="n">
        <f aca="false">SUMIF(case!$N:$N,$A137,case!B:B)</f>
        <v>5374</v>
      </c>
      <c r="C137" s="26" t="n">
        <f aca="false">SUMIF(case!$N:$N,$A137,case!C:C)</f>
        <v>2140</v>
      </c>
      <c r="D137" s="26" t="n">
        <f aca="false">SUMIF(case!$N:$N,$A137,case!D:D)</f>
        <v>15784</v>
      </c>
      <c r="E137" s="26" t="n">
        <f aca="false">SUMIF(case!$N:$N,$A137,case!E:E)</f>
        <v>12748</v>
      </c>
      <c r="F137" s="26" t="n">
        <f aca="false">SUMIF(case!$N:$N,$A137,case!F:F)</f>
        <v>3629</v>
      </c>
      <c r="G137" s="26" t="n">
        <f aca="false">SUMIF(case!$N:$N,$A137,case!G:G)</f>
        <v>60859</v>
      </c>
      <c r="H137" s="26" t="n">
        <f aca="false">SUMIF(case!$N:$N,$A137,case!H:H)</f>
        <v>95281</v>
      </c>
      <c r="I137" s="26" t="n">
        <f aca="false">SUMIF(case!$N:$N,$A137,case!I:I)</f>
        <v>78396</v>
      </c>
      <c r="J137" s="26" t="n">
        <f aca="false">SUMIF(case!$N:$N,$A137,case!J:J)</f>
        <v>75853</v>
      </c>
      <c r="K137" s="26" t="n">
        <f aca="false">SUMIF(case!$N:$N,$A137,case!K:K)</f>
        <v>131798</v>
      </c>
    </row>
    <row r="138" customFormat="false" ht="15.75" hidden="false" customHeight="true" outlineLevel="0" collapsed="false">
      <c r="A138" s="39" t="s">
        <v>292</v>
      </c>
      <c r="B138" s="26" t="n">
        <f aca="false">SUMIF(case!$N:$N,$A138,case!B:B)</f>
        <v>-1737633</v>
      </c>
      <c r="C138" s="26" t="n">
        <f aca="false">SUMIF(case!$N:$N,$A138,case!C:C)</f>
        <v>-1482342</v>
      </c>
      <c r="D138" s="26" t="n">
        <f aca="false">SUMIF(case!$N:$N,$A138,case!D:D)</f>
        <v>-790069</v>
      </c>
      <c r="E138" s="26" t="n">
        <f aca="false">SUMIF(case!$N:$N,$A138,case!E:E)</f>
        <v>-354881</v>
      </c>
      <c r="F138" s="26" t="n">
        <f aca="false">SUMIF(case!$N:$N,$A138,case!F:F)</f>
        <v>-523242</v>
      </c>
      <c r="G138" s="26" t="n">
        <f aca="false">SUMIF(case!$N:$N,$A138,case!G:G)</f>
        <v>-383676</v>
      </c>
      <c r="H138" s="26" t="n">
        <f aca="false">SUMIF(case!$N:$N,$A138,case!H:H)</f>
        <v>-317240</v>
      </c>
      <c r="I138" s="26" t="n">
        <f aca="false">SUMIF(case!$N:$N,$A138,case!I:I)</f>
        <v>-185920</v>
      </c>
      <c r="J138" s="26" t="n">
        <f aca="false">SUMIF(case!$N:$N,$A138,case!J:J)</f>
        <v>-109194</v>
      </c>
      <c r="K138" s="26" t="n">
        <f aca="false">SUMIF(case!$N:$N,$A138,case!K:K)</f>
        <v>-173205</v>
      </c>
    </row>
    <row r="139" customFormat="false" ht="15.75" hidden="false" customHeight="true" outlineLevel="0" collapsed="false">
      <c r="A139" s="39" t="s">
        <v>293</v>
      </c>
      <c r="B139" s="26" t="n">
        <f aca="false">SUMIF(case!$N:$N,$A139,case!B:B)</f>
        <v>0</v>
      </c>
      <c r="C139" s="26" t="n">
        <f aca="false">SUMIF(case!$N:$N,$A139,case!C:C)</f>
        <v>0</v>
      </c>
      <c r="D139" s="26" t="n">
        <f aca="false">SUMIF(case!$N:$N,$A139,case!D:D)</f>
        <v>0</v>
      </c>
      <c r="E139" s="26" t="n">
        <f aca="false">SUMIF(case!$N:$N,$A139,case!E:E)</f>
        <v>0</v>
      </c>
      <c r="F139" s="26" t="n">
        <f aca="false">SUMIF(case!$N:$N,$A139,case!F:F)</f>
        <v>0</v>
      </c>
      <c r="G139" s="26" t="n">
        <f aca="false">SUMIF(case!$N:$N,$A139,case!G:G)</f>
        <v>0</v>
      </c>
      <c r="H139" s="26" t="n">
        <f aca="false">SUMIF(case!$N:$N,$A139,case!H:H)</f>
        <v>0</v>
      </c>
      <c r="I139" s="26" t="n">
        <f aca="false">SUMIF(case!$N:$N,$A139,case!I:I)</f>
        <v>0</v>
      </c>
      <c r="J139" s="26" t="n">
        <f aca="false">SUMIF(case!$N:$N,$A139,case!J:J)</f>
        <v>0</v>
      </c>
      <c r="K139" s="26" t="n">
        <f aca="false">SUMIF(case!$N:$N,$A139,case!K:K)</f>
        <v>0</v>
      </c>
    </row>
    <row r="140" customFormat="false" ht="15.75" hidden="false" customHeight="true" outlineLevel="0" collapsed="false">
      <c r="A140" s="39" t="s">
        <v>364</v>
      </c>
      <c r="B140" s="26" t="n">
        <f aca="false">SUM(B137:B139)</f>
        <v>-1732259</v>
      </c>
      <c r="C140" s="26" t="n">
        <f aca="false">SUM(C137:C139)</f>
        <v>-1480202</v>
      </c>
      <c r="D140" s="26" t="n">
        <f aca="false">SUM(D137:D139)</f>
        <v>-774285</v>
      </c>
      <c r="E140" s="26" t="n">
        <f aca="false">SUM(E137:E139)</f>
        <v>-342133</v>
      </c>
      <c r="F140" s="26" t="n">
        <f aca="false">SUM(F137:F139)</f>
        <v>-519613</v>
      </c>
      <c r="G140" s="26" t="n">
        <f aca="false">SUM(G137:G139)</f>
        <v>-322817</v>
      </c>
      <c r="H140" s="26" t="n">
        <f aca="false">SUM(H137:H139)</f>
        <v>-221959</v>
      </c>
      <c r="I140" s="26" t="n">
        <f aca="false">SUM(I137:I139)</f>
        <v>-107524</v>
      </c>
      <c r="J140" s="26" t="n">
        <f aca="false">SUM(J137:J139)</f>
        <v>-33341</v>
      </c>
      <c r="K140" s="26" t="n">
        <f aca="false">SUM(K137:K139)</f>
        <v>-41407</v>
      </c>
    </row>
    <row r="141" customFormat="false" ht="15.75" hidden="false" customHeight="true" outlineLevel="0" collapsed="false">
      <c r="A141" s="38" t="s">
        <v>365</v>
      </c>
      <c r="B141" s="26" t="n">
        <f aca="false">B131+B140</f>
        <v>518688</v>
      </c>
      <c r="C141" s="26" t="n">
        <f aca="false">C131+C140</f>
        <v>385920</v>
      </c>
      <c r="D141" s="26" t="n">
        <f aca="false">D131+D140</f>
        <v>260538</v>
      </c>
      <c r="E141" s="26" t="n">
        <f aca="false">E131+E140</f>
        <v>-536517</v>
      </c>
      <c r="F141" s="26" t="n">
        <f aca="false">F131+F140</f>
        <v>2410624</v>
      </c>
      <c r="G141" s="26" t="n">
        <f aca="false">G131+G140</f>
        <v>-1773790</v>
      </c>
      <c r="H141" s="26" t="n">
        <f aca="false">H131+H140</f>
        <v>624578</v>
      </c>
      <c r="I141" s="26" t="n">
        <f aca="false">I131+I140</f>
        <v>453176</v>
      </c>
      <c r="J141" s="26" t="n">
        <f aca="false">J131+J140</f>
        <v>749604</v>
      </c>
      <c r="K141" s="26" t="n">
        <f aca="false">K131+K140</f>
        <v>891958</v>
      </c>
    </row>
    <row r="142" customFormat="false" ht="15.75" hidden="false" customHeight="true" outlineLevel="0" collapsed="false">
      <c r="A142" s="39"/>
    </row>
    <row r="143" customFormat="false" ht="15.75" hidden="false" customHeight="true" outlineLevel="0" collapsed="false">
      <c r="A143" s="38" t="s">
        <v>366</v>
      </c>
    </row>
    <row r="144" customFormat="false" ht="15.75" hidden="false" customHeight="true" outlineLevel="0" collapsed="false">
      <c r="A144" s="39" t="s">
        <v>290</v>
      </c>
      <c r="B144" s="26" t="n">
        <f aca="false">SUMIF(case!$N:$N,$A144,case!B:B)</f>
        <v>153</v>
      </c>
      <c r="C144" s="26" t="n">
        <f aca="false">SUMIF(case!$N:$N,$A144,case!C:C)</f>
        <v>103</v>
      </c>
      <c r="D144" s="26" t="n">
        <f aca="false">SUMIF(case!$N:$N,$A144,case!D:D)</f>
        <v>100</v>
      </c>
      <c r="E144" s="26" t="n">
        <f aca="false">SUMIF(case!$N:$N,$A144,case!E:E)</f>
        <v>0</v>
      </c>
      <c r="F144" s="26" t="n">
        <f aca="false">SUMIF(case!$N:$N,$A144,case!F:F)</f>
        <v>0</v>
      </c>
      <c r="G144" s="26" t="n">
        <f aca="false">SUMIF(case!$N:$N,$A144,case!G:G)</f>
        <v>45</v>
      </c>
      <c r="H144" s="26" t="n">
        <f aca="false">SUMIF(case!$N:$N,$A144,case!H:H)</f>
        <v>33</v>
      </c>
      <c r="I144" s="26" t="n">
        <f aca="false">SUMIF(case!$N:$N,$A144,case!I:I)</f>
        <v>0</v>
      </c>
      <c r="J144" s="26" t="n">
        <f aca="false">SUMIF(case!$N:$N,$A144,case!J:J)</f>
        <v>45</v>
      </c>
      <c r="K144" s="26" t="n">
        <f aca="false">SUMIF(case!$N:$N,$A144,case!K:K)</f>
        <v>45</v>
      </c>
    </row>
    <row r="145" customFormat="false" ht="15.75" hidden="false" customHeight="true" outlineLevel="0" collapsed="false">
      <c r="A145" s="39" t="s">
        <v>294</v>
      </c>
      <c r="B145" s="26" t="n">
        <f aca="false">SUMIF(case!$N:$N,$A145,case!B:B)</f>
        <v>0</v>
      </c>
      <c r="C145" s="26" t="n">
        <f aca="false">SUMIF(case!$N:$N,$A145,case!C:C)</f>
        <v>0</v>
      </c>
      <c r="D145" s="26" t="n">
        <f aca="false">SUMIF(case!$N:$N,$A145,case!D:D)</f>
        <v>0</v>
      </c>
      <c r="E145" s="26" t="n">
        <f aca="false">SUMIF(case!$N:$N,$A145,case!E:E)</f>
        <v>0</v>
      </c>
      <c r="F145" s="26" t="n">
        <f aca="false">SUMIF(case!$N:$N,$A145,case!F:F)</f>
        <v>0</v>
      </c>
      <c r="G145" s="26" t="n">
        <f aca="false">SUMIF(case!$N:$N,$A145,case!G:G)</f>
        <v>0</v>
      </c>
      <c r="H145" s="26" t="n">
        <f aca="false">SUMIF(case!$N:$N,$A145,case!H:H)</f>
        <v>0</v>
      </c>
      <c r="I145" s="26" t="n">
        <f aca="false">SUMIF(case!$N:$N,$A145,case!I:I)</f>
        <v>0</v>
      </c>
      <c r="J145" s="26" t="n">
        <f aca="false">SUMIF(case!$N:$N,$A145,case!J:J)</f>
        <v>0</v>
      </c>
      <c r="K145" s="26" t="n">
        <f aca="false">SUMIF(case!$N:$N,$A145,case!K:K)</f>
        <v>108710</v>
      </c>
    </row>
    <row r="146" customFormat="false" ht="15.75" hidden="false" customHeight="true" outlineLevel="0" collapsed="false">
      <c r="A146" s="38" t="s">
        <v>367</v>
      </c>
      <c r="B146" s="26" t="n">
        <f aca="false">SUM(B144:B145)</f>
        <v>153</v>
      </c>
      <c r="C146" s="26" t="n">
        <f aca="false">SUM(C144:C145)</f>
        <v>103</v>
      </c>
      <c r="D146" s="26" t="n">
        <f aca="false">SUM(D144:D145)</f>
        <v>100</v>
      </c>
      <c r="E146" s="26" t="n">
        <f aca="false">SUM(E144:E145)</f>
        <v>0</v>
      </c>
      <c r="F146" s="26" t="n">
        <f aca="false">SUM(F144:F145)</f>
        <v>0</v>
      </c>
      <c r="G146" s="26" t="n">
        <f aca="false">SUM(G144:G145)</f>
        <v>45</v>
      </c>
      <c r="H146" s="26" t="n">
        <f aca="false">SUM(H144:H145)</f>
        <v>33</v>
      </c>
      <c r="I146" s="26" t="n">
        <f aca="false">SUM(I144:I145)</f>
        <v>0</v>
      </c>
      <c r="J146" s="26" t="n">
        <f aca="false">SUM(J144:J145)</f>
        <v>45</v>
      </c>
      <c r="K146" s="26" t="n">
        <f aca="false">SUM(K144:K145)</f>
        <v>108755</v>
      </c>
    </row>
    <row r="147" customFormat="false" ht="15.75" hidden="false" customHeight="true" outlineLevel="0" collapsed="false">
      <c r="A147" s="39"/>
    </row>
    <row r="148" customFormat="false" ht="15.75" hidden="false" customHeight="true" outlineLevel="0" collapsed="false">
      <c r="A148" s="39" t="s">
        <v>368</v>
      </c>
      <c r="B148" s="26" t="n">
        <f aca="false">B141+B146</f>
        <v>518841</v>
      </c>
      <c r="C148" s="26" t="n">
        <f aca="false">C141+C146</f>
        <v>386023</v>
      </c>
      <c r="D148" s="26" t="n">
        <f aca="false">D141+D146</f>
        <v>260638</v>
      </c>
      <c r="E148" s="26" t="n">
        <f aca="false">E141+E146</f>
        <v>-536517</v>
      </c>
      <c r="F148" s="26" t="n">
        <f aca="false">F141+F146</f>
        <v>2410624</v>
      </c>
      <c r="G148" s="26" t="n">
        <f aca="false">G141+G146</f>
        <v>-1773745</v>
      </c>
      <c r="H148" s="26" t="n">
        <f aca="false">H141+H146</f>
        <v>624611</v>
      </c>
      <c r="I148" s="26" t="n">
        <f aca="false">I141+I146</f>
        <v>453176</v>
      </c>
      <c r="J148" s="26" t="n">
        <f aca="false">J141+J146</f>
        <v>749649</v>
      </c>
      <c r="K148" s="26" t="n">
        <f aca="false">K141+K146</f>
        <v>1000713</v>
      </c>
    </row>
    <row r="149" customFormat="false" ht="15.75" hidden="false" customHeight="true" outlineLevel="0" collapsed="false">
      <c r="A149" s="39" t="s">
        <v>295</v>
      </c>
      <c r="B149" s="26" t="n">
        <f aca="false">SUMIF(case!$N:$N,$A149,case!B:B)</f>
        <v>-153364</v>
      </c>
      <c r="C149" s="26" t="n">
        <f aca="false">SUMIF(case!$N:$N,$A149,case!C:C)</f>
        <v>-38208</v>
      </c>
      <c r="D149" s="26" t="n">
        <f aca="false">SUMIF(case!$N:$N,$A149,case!D:D)</f>
        <v>1055</v>
      </c>
      <c r="E149" s="26" t="n">
        <f aca="false">SUMIF(case!$N:$N,$A149,case!E:E)</f>
        <v>238045</v>
      </c>
      <c r="F149" s="26" t="n">
        <f aca="false">SUMIF(case!$N:$N,$A149,case!F:F)</f>
        <v>-31429</v>
      </c>
      <c r="G149" s="26" t="n">
        <f aca="false">SUMIF(case!$N:$N,$A149,case!G:G)</f>
        <v>56764</v>
      </c>
      <c r="H149" s="26" t="n">
        <f aca="false">SUMIF(case!$N:$N,$A149,case!H:H)</f>
        <v>-6277</v>
      </c>
      <c r="I149" s="26" t="n">
        <f aca="false">SUMIF(case!$N:$N,$A149,case!I:I)</f>
        <v>-107490</v>
      </c>
      <c r="J149" s="26" t="n">
        <f aca="false">SUMIF(case!$N:$N,$A149,case!J:J)</f>
        <v>-254657</v>
      </c>
      <c r="K149" s="26" t="n">
        <f aca="false">SUMIF(case!$N:$N,$A149,case!K:K)</f>
        <v>-335067</v>
      </c>
    </row>
    <row r="150" customFormat="false" ht="15.75" hidden="false" customHeight="true" outlineLevel="0" collapsed="false">
      <c r="A150" s="38" t="s">
        <v>369</v>
      </c>
      <c r="B150" s="26" t="n">
        <f aca="false">B148+B149</f>
        <v>365477</v>
      </c>
      <c r="C150" s="26" t="n">
        <f aca="false">C148+C149</f>
        <v>347815</v>
      </c>
      <c r="D150" s="26" t="n">
        <f aca="false">D148+D149</f>
        <v>261693</v>
      </c>
      <c r="E150" s="26" t="n">
        <f aca="false">E148+E149</f>
        <v>-298472</v>
      </c>
      <c r="F150" s="26" t="n">
        <f aca="false">F148+F149</f>
        <v>2379195</v>
      </c>
      <c r="G150" s="26" t="n">
        <f aca="false">G148+G149</f>
        <v>-1716981</v>
      </c>
      <c r="H150" s="26" t="n">
        <f aca="false">H148+H149</f>
        <v>618334</v>
      </c>
      <c r="I150" s="26" t="n">
        <f aca="false">I148+I149</f>
        <v>345686</v>
      </c>
      <c r="J150" s="26" t="n">
        <f aca="false">J148+J149</f>
        <v>494992</v>
      </c>
      <c r="K150" s="26" t="n">
        <f aca="false">K148+K149</f>
        <v>665646</v>
      </c>
    </row>
    <row r="151" customFormat="false" ht="15.75" hidden="false" customHeight="true" outlineLevel="0" collapsed="false">
      <c r="A151" s="39"/>
    </row>
    <row r="152" customFormat="false" ht="15.75" hidden="false" customHeight="true" outlineLevel="0" collapsed="false">
      <c r="A152" s="39" t="s">
        <v>370</v>
      </c>
      <c r="B152" s="26" t="n">
        <f aca="false">case!B249</f>
        <v>365477</v>
      </c>
      <c r="C152" s="26" t="n">
        <f aca="false">case!C249</f>
        <v>347815</v>
      </c>
      <c r="D152" s="26" t="n">
        <f aca="false">case!D249</f>
        <v>261693</v>
      </c>
      <c r="E152" s="26" t="n">
        <f aca="false">case!E249</f>
        <v>-298472</v>
      </c>
      <c r="F152" s="26" t="n">
        <f aca="false">case!F249</f>
        <v>2379195</v>
      </c>
      <c r="G152" s="26" t="n">
        <f aca="false">case!G249</f>
        <v>-1716981</v>
      </c>
      <c r="H152" s="26" t="n">
        <f aca="false">case!H249</f>
        <v>618334</v>
      </c>
      <c r="I152" s="26" t="n">
        <f aca="false">case!I249</f>
        <v>345686</v>
      </c>
      <c r="J152" s="26" t="n">
        <f aca="false">case!J249</f>
        <v>494992</v>
      </c>
      <c r="K152" s="26" t="n">
        <f aca="false">case!K249</f>
        <v>665646</v>
      </c>
    </row>
    <row r="153" customFormat="false" ht="15.75" hidden="false" customHeight="true" outlineLevel="0" collapsed="false">
      <c r="A153" s="39" t="s">
        <v>371</v>
      </c>
      <c r="B153" s="26" t="n">
        <f aca="false">B152-B150</f>
        <v>0</v>
      </c>
      <c r="C153" s="26" t="n">
        <f aca="false">C152-C150</f>
        <v>0</v>
      </c>
      <c r="D153" s="26" t="n">
        <f aca="false">D152-D150</f>
        <v>0</v>
      </c>
      <c r="E153" s="26" t="n">
        <f aca="false">E152-E150</f>
        <v>0</v>
      </c>
      <c r="F153" s="26" t="n">
        <f aca="false">F152-F150</f>
        <v>0</v>
      </c>
      <c r="G153" s="26" t="n">
        <f aca="false">G152-G150</f>
        <v>0</v>
      </c>
      <c r="H153" s="26" t="n">
        <f aca="false">H152-H150</f>
        <v>0</v>
      </c>
      <c r="I153" s="26" t="n">
        <f aca="false">I152-I150</f>
        <v>0</v>
      </c>
      <c r="J153" s="26" t="n">
        <f aca="false">J152-J150</f>
        <v>0</v>
      </c>
      <c r="K153" s="26" t="n">
        <f aca="false">K152-K150</f>
        <v>0</v>
      </c>
    </row>
    <row r="154" customFormat="false" ht="15.75" hidden="false" customHeight="true" outlineLevel="0" collapsed="false">
      <c r="A154" s="39" t="s">
        <v>372</v>
      </c>
      <c r="B154" s="26" t="n">
        <f aca="false">B150-B82</f>
        <v>0</v>
      </c>
      <c r="C154" s="26" t="n">
        <f aca="false">C150-C82</f>
        <v>0</v>
      </c>
      <c r="D154" s="26" t="n">
        <f aca="false">D150-D82</f>
        <v>0</v>
      </c>
      <c r="E154" s="26" t="n">
        <f aca="false">E150-E82</f>
        <v>0</v>
      </c>
      <c r="F154" s="26" t="n">
        <f aca="false">F150-F82</f>
        <v>0</v>
      </c>
      <c r="G154" s="26" t="n">
        <f aca="false">G150-G82</f>
        <v>0</v>
      </c>
      <c r="H154" s="26" t="n">
        <f aca="false">H150-H82</f>
        <v>0</v>
      </c>
      <c r="I154" s="26" t="n">
        <f aca="false">I150-I82</f>
        <v>0</v>
      </c>
      <c r="J154" s="26" t="n">
        <f aca="false">J150-J82</f>
        <v>0</v>
      </c>
      <c r="K154" s="26" t="n">
        <f aca="false">K150-K82</f>
        <v>0</v>
      </c>
    </row>
    <row r="155" customFormat="false" ht="15.75" hidden="false" customHeight="true" outlineLevel="0" collapsed="false">
      <c r="A155" s="42"/>
    </row>
    <row r="156" customFormat="false" ht="15.75" hidden="false" customHeight="true" outlineLevel="0" collapsed="false">
      <c r="A156" s="39" t="s">
        <v>373</v>
      </c>
      <c r="B156" s="43" t="n">
        <f aca="false">B149/B148</f>
        <v>-0.295589592958151</v>
      </c>
      <c r="C156" s="43" t="n">
        <f aca="false">C149/C148</f>
        <v>-0.0989785582724345</v>
      </c>
      <c r="D156" s="43" t="n">
        <f aca="false">D149/D148</f>
        <v>0.00404775972805193</v>
      </c>
      <c r="E156" s="43" t="n">
        <f aca="false">E149/E148</f>
        <v>-0.443685847792335</v>
      </c>
      <c r="F156" s="43" t="n">
        <f aca="false">F149/F148</f>
        <v>-0.0130377031009398</v>
      </c>
      <c r="G156" s="43" t="n">
        <f aca="false">G149/G148</f>
        <v>-0.0320023453202123</v>
      </c>
      <c r="H156" s="43" t="n">
        <f aca="false">H149/H148</f>
        <v>-0.0100494547806555</v>
      </c>
      <c r="I156" s="43" t="n">
        <f aca="false">I149/I148</f>
        <v>-0.23719261390718</v>
      </c>
      <c r="J156" s="43" t="n">
        <f aca="false">J149/J148</f>
        <v>-0.33970164703748</v>
      </c>
      <c r="K156" s="43" t="n">
        <f aca="false">K149/K148</f>
        <v>-0.334828267445311</v>
      </c>
    </row>
    <row r="157" customFormat="false" ht="15.75" hidden="false" customHeight="true" outlineLevel="0" collapsed="false">
      <c r="A157" s="39" t="s">
        <v>374</v>
      </c>
      <c r="B157" s="26" t="n">
        <f aca="false">B156*B140</f>
        <v>512037.732708094</v>
      </c>
      <c r="C157" s="26" t="n">
        <f aca="false">C156*C140</f>
        <v>146508.259911974</v>
      </c>
      <c r="D157" s="26" t="n">
        <f aca="false">D156*D140</f>
        <v>-3134.11964103469</v>
      </c>
      <c r="E157" s="26" t="n">
        <f aca="false">E156*E140</f>
        <v>151799.570162735</v>
      </c>
      <c r="F157" s="26" t="n">
        <f aca="false">F156*F140</f>
        <v>6774.56002138865</v>
      </c>
      <c r="G157" s="26" t="n">
        <f aca="false">G156*G140</f>
        <v>10330.901109235</v>
      </c>
      <c r="H157" s="26" t="n">
        <f aca="false">H156*H140</f>
        <v>2230.56693365951</v>
      </c>
      <c r="I157" s="26" t="n">
        <f aca="false">I156*I140</f>
        <v>25503.8986177556</v>
      </c>
      <c r="J157" s="26" t="n">
        <f aca="false">J156*J140</f>
        <v>11325.9926138766</v>
      </c>
      <c r="K157" s="26" t="n">
        <f aca="false">K156*K140</f>
        <v>13864.234070108</v>
      </c>
    </row>
    <row r="162" customFormat="false" ht="15.75" hidden="false" customHeight="true" outlineLevel="0" collapsed="false">
      <c r="A162" s="3" t="s">
        <v>375</v>
      </c>
      <c r="B162" s="26" t="n">
        <f aca="false">B102+(B21-B62)</f>
        <v>34230706</v>
      </c>
      <c r="C162" s="26" t="n">
        <f aca="false">C102+(C21-C62)</f>
        <v>34238068</v>
      </c>
      <c r="D162" s="26" t="n">
        <f aca="false">D102+(D21-D62)</f>
        <v>33931167</v>
      </c>
      <c r="E162" s="26" t="n">
        <f aca="false">E102+(E21-E62)</f>
        <v>27129807</v>
      </c>
      <c r="F162" s="26" t="n">
        <f aca="false">F102+(F21-F62)</f>
        <v>6926639</v>
      </c>
      <c r="G162" s="26" t="n">
        <f aca="false">G102+(G21-G62)</f>
        <v>26713670</v>
      </c>
      <c r="H162" s="26" t="n">
        <f aca="false">H102+(H21-H62)</f>
        <v>24126795</v>
      </c>
      <c r="I162" s="26" t="n">
        <f aca="false">I102+(I21-I62)</f>
        <v>17198787</v>
      </c>
      <c r="J162" s="26" t="n">
        <f aca="false">J102+(J21-J62)</f>
        <v>9489875</v>
      </c>
      <c r="K162" s="26" t="n">
        <f aca="false">K102+(K21-K62)</f>
        <v>5378503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77"/>
  <sheetViews>
    <sheetView showFormulas="false" showGridLines="true" showRowColHeaders="true" showZeros="true" rightToLeft="false" tabSelected="true" showOutlineSymbols="true" defaultGridColor="true" view="normal" topLeftCell="A35" colorId="64" zoomScale="100" zoomScaleNormal="100" zoomScalePageLayoutView="100" workbookViewId="0">
      <selection pane="topLeft" activeCell="B66" activeCellId="0" sqref="B66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44" width="2.16"/>
    <col collapsed="false" customWidth="true" hidden="false" outlineLevel="0" max="2" min="2" style="44" width="68"/>
    <col collapsed="false" customWidth="true" hidden="false" outlineLevel="0" max="12" min="3" style="0" width="16.67"/>
  </cols>
  <sheetData>
    <row r="1" customFormat="false" ht="15.75" hidden="false" customHeight="true" outlineLevel="0" collapsed="false">
      <c r="A1" s="45"/>
      <c r="B1" s="46" t="s">
        <v>376</v>
      </c>
      <c r="C1" s="35" t="n">
        <f aca="false">case!B1</f>
        <v>2024</v>
      </c>
      <c r="D1" s="35" t="n">
        <f aca="false">case!C1</f>
        <v>2023</v>
      </c>
      <c r="E1" s="35" t="n">
        <f aca="false">case!D1</f>
        <v>2022</v>
      </c>
      <c r="F1" s="35" t="n">
        <f aca="false">case!E1</f>
        <v>2021</v>
      </c>
      <c r="G1" s="35" t="n">
        <f aca="false">case!F1</f>
        <v>2020</v>
      </c>
      <c r="H1" s="35" t="n">
        <f aca="false">case!G1</f>
        <v>2019</v>
      </c>
      <c r="I1" s="35" t="n">
        <f aca="false">case!H1</f>
        <v>2018</v>
      </c>
      <c r="J1" s="35" t="n">
        <f aca="false">case!I1</f>
        <v>2017</v>
      </c>
      <c r="K1" s="35" t="n">
        <f aca="false">case!J1</f>
        <v>2016</v>
      </c>
      <c r="L1" s="35" t="n">
        <f aca="false">case!K1</f>
        <v>2015</v>
      </c>
    </row>
    <row r="2" customFormat="false" ht="15.75" hidden="false" customHeight="true" outlineLevel="0" collapsed="false">
      <c r="A2" s="47"/>
      <c r="B2" s="48" t="s">
        <v>377</v>
      </c>
    </row>
    <row r="3" customFormat="false" ht="15.75" hidden="false" customHeight="true" outlineLevel="0" collapsed="false">
      <c r="A3" s="49"/>
      <c r="B3" s="50" t="s">
        <v>378</v>
      </c>
    </row>
    <row r="4" customFormat="false" ht="15.75" hidden="false" customHeight="true" outlineLevel="0" collapsed="false">
      <c r="A4" s="49" t="s">
        <v>379</v>
      </c>
      <c r="B4" s="50" t="s">
        <v>380</v>
      </c>
      <c r="C4" s="51" t="n">
        <f aca="false">RC!B131</f>
        <v>2250947</v>
      </c>
      <c r="D4" s="51" t="n">
        <f aca="false">RC!C131</f>
        <v>1866122</v>
      </c>
      <c r="E4" s="51" t="n">
        <f aca="false">RC!D131</f>
        <v>1034823</v>
      </c>
      <c r="F4" s="51" t="n">
        <f aca="false">RC!E131</f>
        <v>-194384</v>
      </c>
      <c r="G4" s="51" t="n">
        <f aca="false">RC!F131</f>
        <v>2930237</v>
      </c>
      <c r="H4" s="51" t="n">
        <f aca="false">RC!G131</f>
        <v>-1450973</v>
      </c>
      <c r="I4" s="51" t="n">
        <f aca="false">RC!H131</f>
        <v>846537</v>
      </c>
      <c r="J4" s="51" t="n">
        <f aca="false">RC!I131</f>
        <v>560700</v>
      </c>
      <c r="K4" s="51" t="n">
        <f aca="false">RC!J131</f>
        <v>782945</v>
      </c>
      <c r="L4" s="51" t="n">
        <f aca="false">RC!K131</f>
        <v>933365</v>
      </c>
    </row>
    <row r="5" customFormat="false" ht="15.75" hidden="false" customHeight="true" outlineLevel="0" collapsed="false">
      <c r="A5" s="49" t="s">
        <v>381</v>
      </c>
      <c r="B5" s="50" t="s">
        <v>382</v>
      </c>
      <c r="C5" s="51" t="n">
        <f aca="false">RC!B146</f>
        <v>153</v>
      </c>
      <c r="D5" s="51" t="n">
        <f aca="false">RC!C146</f>
        <v>103</v>
      </c>
      <c r="E5" s="51" t="n">
        <f aca="false">RC!D146</f>
        <v>100</v>
      </c>
      <c r="F5" s="51" t="n">
        <f aca="false">RC!E146</f>
        <v>0</v>
      </c>
      <c r="G5" s="51" t="n">
        <f aca="false">RC!F146</f>
        <v>0</v>
      </c>
      <c r="H5" s="51" t="n">
        <f aca="false">RC!G146</f>
        <v>45</v>
      </c>
      <c r="I5" s="51" t="n">
        <f aca="false">RC!H146</f>
        <v>33</v>
      </c>
      <c r="J5" s="51" t="n">
        <f aca="false">RC!I146</f>
        <v>0</v>
      </c>
      <c r="K5" s="51" t="n">
        <f aca="false">RC!J146</f>
        <v>45</v>
      </c>
      <c r="L5" s="51" t="n">
        <f aca="false">RC!K146</f>
        <v>108755</v>
      </c>
    </row>
    <row r="6" customFormat="false" ht="15.75" hidden="false" customHeight="true" outlineLevel="0" collapsed="false">
      <c r="A6" s="49" t="s">
        <v>379</v>
      </c>
      <c r="B6" s="50" t="s">
        <v>383</v>
      </c>
      <c r="C6" s="51" t="n">
        <f aca="false">-RC!B124</f>
        <v>2248638</v>
      </c>
      <c r="D6" s="51" t="n">
        <f aca="false">-RC!C124</f>
        <v>1814814</v>
      </c>
      <c r="E6" s="51" t="n">
        <f aca="false">-RC!D124</f>
        <v>1191708</v>
      </c>
      <c r="F6" s="51" t="n">
        <f aca="false">-RC!E124</f>
        <v>-0</v>
      </c>
      <c r="G6" s="51" t="n">
        <f aca="false">-RC!F124</f>
        <v>415221</v>
      </c>
      <c r="H6" s="51" t="n">
        <f aca="false">-RC!G124</f>
        <v>1322599</v>
      </c>
      <c r="I6" s="51" t="n">
        <f aca="false">-RC!H124</f>
        <v>832224</v>
      </c>
      <c r="J6" s="51" t="n">
        <f aca="false">-RC!I124</f>
        <v>461070</v>
      </c>
      <c r="K6" s="51" t="n">
        <f aca="false">-RC!J124</f>
        <v>348320</v>
      </c>
      <c r="L6" s="51" t="n">
        <f aca="false">-RC!K124</f>
        <v>233484</v>
      </c>
    </row>
    <row r="7" customFormat="false" ht="15.75" hidden="false" customHeight="true" outlineLevel="0" collapsed="false">
      <c r="A7" s="49" t="s">
        <v>384</v>
      </c>
      <c r="B7" s="50" t="s">
        <v>385</v>
      </c>
      <c r="C7" s="51" t="n">
        <f aca="false">-(RC!B149+RC!B157)</f>
        <v>-358673.732708094</v>
      </c>
      <c r="D7" s="51" t="n">
        <f aca="false">-(RC!C149+RC!C157)</f>
        <v>-108300.259911974</v>
      </c>
      <c r="E7" s="51" t="n">
        <f aca="false">-(RC!D149+RC!D157)</f>
        <v>2079.11964103469</v>
      </c>
      <c r="F7" s="51" t="n">
        <f aca="false">-(RC!E149+RC!E157)</f>
        <v>-389844.570162735</v>
      </c>
      <c r="G7" s="51" t="n">
        <f aca="false">-(RC!F149+RC!F157)</f>
        <v>24654.4399786113</v>
      </c>
      <c r="H7" s="51" t="n">
        <f aca="false">-(RC!G149+RC!G157)</f>
        <v>-67094.901109235</v>
      </c>
      <c r="I7" s="51" t="n">
        <f aca="false">-(RC!H149+RC!H157)</f>
        <v>4046.43306634049</v>
      </c>
      <c r="J7" s="51" t="n">
        <f aca="false">-(RC!I149+RC!I157)</f>
        <v>81986.1013822444</v>
      </c>
      <c r="K7" s="51" t="n">
        <f aca="false">-(RC!J149+RC!J157)</f>
        <v>243331.007386123</v>
      </c>
      <c r="L7" s="51" t="n">
        <f aca="false">-(RC!K149+RC!K157)</f>
        <v>321202.765929892</v>
      </c>
    </row>
    <row r="8" customFormat="false" ht="15.75" hidden="false" customHeight="true" outlineLevel="0" collapsed="false">
      <c r="A8" s="52" t="s">
        <v>386</v>
      </c>
      <c r="B8" s="53" t="s">
        <v>387</v>
      </c>
      <c r="C8" s="54" t="n">
        <f aca="false">C4+C5+C6-C7</f>
        <v>4858411.73270809</v>
      </c>
      <c r="D8" s="54" t="n">
        <f aca="false">D4+D5+D6-D7</f>
        <v>3789339.25991197</v>
      </c>
      <c r="E8" s="54" t="n">
        <f aca="false">E4+E5+E6-E7</f>
        <v>2224551.88035897</v>
      </c>
      <c r="F8" s="54" t="n">
        <f aca="false">F4+F5+F6-F7</f>
        <v>195460.570162735</v>
      </c>
      <c r="G8" s="54" t="n">
        <f aca="false">G4+G5+G6-G7</f>
        <v>3320803.56002139</v>
      </c>
      <c r="H8" s="54" t="n">
        <f aca="false">H4+H5+H6-H7</f>
        <v>-61234.098890765</v>
      </c>
      <c r="I8" s="54" t="n">
        <f aca="false">I4+I5+I6-I7</f>
        <v>1674747.56693366</v>
      </c>
      <c r="J8" s="54" t="n">
        <f aca="false">J4+J5+J6-J7</f>
        <v>939783.898617756</v>
      </c>
      <c r="K8" s="54" t="n">
        <f aca="false">K4+K5+K6-K7</f>
        <v>887978.992613877</v>
      </c>
      <c r="L8" s="54" t="n">
        <f aca="false">L4+L5+L6-L7</f>
        <v>954401.234070108</v>
      </c>
    </row>
    <row r="9" customFormat="false" ht="15.75" hidden="false" customHeight="true" outlineLevel="0" collapsed="false">
      <c r="A9" s="49"/>
      <c r="B9" s="50" t="s">
        <v>388</v>
      </c>
    </row>
    <row r="10" customFormat="false" ht="15.75" hidden="false" customHeight="true" outlineLevel="0" collapsed="false">
      <c r="A10" s="49"/>
      <c r="B10" s="50" t="s">
        <v>389</v>
      </c>
    </row>
    <row r="11" customFormat="false" ht="15.75" hidden="false" customHeight="true" outlineLevel="0" collapsed="false">
      <c r="A11" s="49" t="s">
        <v>384</v>
      </c>
      <c r="B11" s="50" t="s">
        <v>390</v>
      </c>
      <c r="C11" s="51" t="n">
        <f aca="false">-1*(RC!B5-RC!C5)</f>
        <v>-415926</v>
      </c>
      <c r="D11" s="51" t="n">
        <f aca="false">-1*(RC!C5-RC!D5)</f>
        <v>-764691</v>
      </c>
      <c r="E11" s="51" t="n">
        <f aca="false">-1*(RC!D5-RC!E5)</f>
        <v>-1085037</v>
      </c>
      <c r="F11" s="51" t="n">
        <f aca="false">-1*(RC!E5-RC!F5)</f>
        <v>-586284</v>
      </c>
      <c r="G11" s="51" t="n">
        <f aca="false">-1*(RC!F5-RC!G5)</f>
        <v>2844359</v>
      </c>
      <c r="H11" s="51" t="n">
        <f aca="false">-1*(RC!G5-RC!H5)</f>
        <v>-638873</v>
      </c>
      <c r="I11" s="51" t="n">
        <f aca="false">-1*(RC!H5-RC!I5)</f>
        <v>-444939</v>
      </c>
      <c r="J11" s="51" t="n">
        <f aca="false">-1*(RC!I5-RC!J5)</f>
        <v>-54386</v>
      </c>
      <c r="K11" s="51" t="n">
        <f aca="false">-1*(RC!J5-RC!K5)</f>
        <v>-230112</v>
      </c>
      <c r="L11" s="51" t="n">
        <f aca="false">-1*(RC!K5-RC!L5)</f>
        <v>-3696647</v>
      </c>
    </row>
    <row r="12" customFormat="false" ht="15.75" hidden="false" customHeight="true" outlineLevel="0" collapsed="false">
      <c r="A12" s="49" t="s">
        <v>384</v>
      </c>
      <c r="B12" s="50" t="s">
        <v>391</v>
      </c>
      <c r="C12" s="51" t="n">
        <f aca="false">-1*(RC!B6-RC!C6)</f>
        <v>-798549</v>
      </c>
      <c r="D12" s="51" t="n">
        <f aca="false">-1*(RC!C6-RC!D6)</f>
        <v>-2430048</v>
      </c>
      <c r="E12" s="51" t="n">
        <f aca="false">-1*(RC!D6-RC!E6)</f>
        <v>-4839919</v>
      </c>
      <c r="F12" s="51" t="n">
        <f aca="false">-1*(RC!E6-RC!F6)</f>
        <v>66579</v>
      </c>
      <c r="G12" s="51" t="n">
        <f aca="false">-1*(RC!F6-RC!G6)</f>
        <v>5624995</v>
      </c>
      <c r="H12" s="51" t="n">
        <f aca="false">-1*(RC!G6-RC!H6)</f>
        <v>-1837886</v>
      </c>
      <c r="I12" s="51" t="n">
        <f aca="false">-1*(RC!H6-RC!I6)</f>
        <v>-1696911</v>
      </c>
      <c r="J12" s="51" t="n">
        <f aca="false">-1*(RC!I6-RC!J6)</f>
        <v>-803553</v>
      </c>
      <c r="K12" s="51" t="n">
        <f aca="false">-1*(RC!J6-RC!K6)</f>
        <v>-111457</v>
      </c>
      <c r="L12" s="51" t="n">
        <f aca="false">-1*(RC!K6-RC!L6)</f>
        <v>-2186681</v>
      </c>
    </row>
    <row r="13" customFormat="false" ht="15.75" hidden="false" customHeight="true" outlineLevel="0" collapsed="false">
      <c r="A13" s="49" t="s">
        <v>384</v>
      </c>
      <c r="B13" s="50" t="s">
        <v>392</v>
      </c>
      <c r="C13" s="51" t="n">
        <f aca="false">-1*(RC!B7-RC!C7)</f>
        <v>-5437132</v>
      </c>
      <c r="D13" s="51" t="n">
        <f aca="false">-1*(RC!C7-RC!D7)</f>
        <v>-537756</v>
      </c>
      <c r="E13" s="51" t="n">
        <f aca="false">-1*(RC!D7-RC!E7)</f>
        <v>38172</v>
      </c>
      <c r="F13" s="51" t="n">
        <f aca="false">-1*(RC!E7-RC!F7)</f>
        <v>1761047</v>
      </c>
      <c r="G13" s="51" t="n">
        <f aca="false">-1*(RC!F7-RC!G7)</f>
        <v>-1553885</v>
      </c>
      <c r="H13" s="51" t="n">
        <f aca="false">-1*(RC!G7-RC!H7)</f>
        <v>192790</v>
      </c>
      <c r="I13" s="51" t="n">
        <f aca="false">-1*(RC!H7-RC!I7)</f>
        <v>159484</v>
      </c>
      <c r="J13" s="51" t="n">
        <f aca="false">-1*(RC!I7-RC!J7)</f>
        <v>-720011</v>
      </c>
      <c r="K13" s="51" t="n">
        <f aca="false">-1*(RC!J7-RC!K7)</f>
        <v>703394</v>
      </c>
      <c r="L13" s="51" t="n">
        <f aca="false">-1*(RC!K7-RC!L7)</f>
        <v>-1042643</v>
      </c>
    </row>
    <row r="14" customFormat="false" ht="15.75" hidden="false" customHeight="true" outlineLevel="0" collapsed="false">
      <c r="A14" s="49" t="s">
        <v>379</v>
      </c>
      <c r="B14" s="50" t="s">
        <v>393</v>
      </c>
      <c r="C14" s="51" t="n">
        <f aca="false">RC!B48-RC!C48</f>
        <v>-3207594</v>
      </c>
      <c r="D14" s="51" t="n">
        <f aca="false">RC!C48-RC!D48</f>
        <v>525761</v>
      </c>
      <c r="E14" s="51" t="n">
        <f aca="false">RC!D48-RC!E48</f>
        <v>-1850344</v>
      </c>
      <c r="F14" s="51" t="n">
        <f aca="false">RC!E48-RC!F48</f>
        <v>5721697</v>
      </c>
      <c r="G14" s="51" t="n">
        <f aca="false">RC!F48-RC!G48</f>
        <v>2948706</v>
      </c>
      <c r="H14" s="51" t="n">
        <f aca="false">RC!G48-RC!H48</f>
        <v>441517</v>
      </c>
      <c r="I14" s="51" t="n">
        <f aca="false">RC!H48-RC!I48</f>
        <v>-686074</v>
      </c>
      <c r="J14" s="51" t="n">
        <f aca="false">RC!I48-RC!J48</f>
        <v>2209847</v>
      </c>
      <c r="K14" s="51" t="n">
        <f aca="false">RC!J48-RC!K48</f>
        <v>-142373</v>
      </c>
      <c r="L14" s="51" t="n">
        <f aca="false">RC!K48-RC!L48</f>
        <v>1782237</v>
      </c>
    </row>
    <row r="15" customFormat="false" ht="15.75" hidden="false" customHeight="true" outlineLevel="0" collapsed="false">
      <c r="A15" s="49" t="s">
        <v>379</v>
      </c>
      <c r="B15" s="50" t="s">
        <v>394</v>
      </c>
      <c r="C15" s="51" t="n">
        <f aca="false">RC!B50-RC!C50</f>
        <v>6147812</v>
      </c>
      <c r="D15" s="51" t="n">
        <f aca="false">RC!C50-RC!D50</f>
        <v>2130334</v>
      </c>
      <c r="E15" s="51" t="n">
        <f aca="false">RC!D50-RC!E50</f>
        <v>3874249</v>
      </c>
      <c r="F15" s="51" t="n">
        <f aca="false">RC!E50-RC!F50</f>
        <v>3017586</v>
      </c>
      <c r="G15" s="51" t="n">
        <f aca="false">RC!F50-RC!G50</f>
        <v>1573321</v>
      </c>
      <c r="H15" s="51" t="n">
        <f aca="false">RC!G50-RC!H50</f>
        <v>-59780</v>
      </c>
      <c r="I15" s="51" t="n">
        <f aca="false">RC!H50-RC!I50</f>
        <v>182805</v>
      </c>
      <c r="J15" s="51" t="n">
        <f aca="false">RC!I50-RC!J50</f>
        <v>137594</v>
      </c>
      <c r="K15" s="51" t="n">
        <f aca="false">RC!J50-RC!K50</f>
        <v>-17869</v>
      </c>
      <c r="L15" s="51" t="n">
        <f aca="false">RC!K50-RC!L50</f>
        <v>750417</v>
      </c>
    </row>
    <row r="16" customFormat="false" ht="15.75" hidden="false" customHeight="true" outlineLevel="0" collapsed="false">
      <c r="A16" s="49" t="s">
        <v>384</v>
      </c>
      <c r="B16" s="50" t="s">
        <v>395</v>
      </c>
      <c r="C16" s="51" t="n">
        <f aca="false">-1*(RC!B21-RC!C21)</f>
        <v>2580604</v>
      </c>
      <c r="D16" s="51" t="n">
        <f aca="false">-1*(RC!C21-RC!D21)</f>
        <v>1361687</v>
      </c>
      <c r="E16" s="51" t="n">
        <f aca="false">-1*(RC!D21-RC!E21)</f>
        <v>724618</v>
      </c>
      <c r="F16" s="51" t="n">
        <f aca="false">-1*(RC!E21-RC!F21)</f>
        <v>-5228836</v>
      </c>
      <c r="G16" s="51" t="n">
        <f aca="false">-1*(RC!F21-RC!G21)</f>
        <v>-701830</v>
      </c>
      <c r="H16" s="51" t="n">
        <f aca="false">-1*(RC!G21-RC!H21)</f>
        <v>154552</v>
      </c>
      <c r="I16" s="51" t="n">
        <f aca="false">-1*(RC!H21-RC!I21)</f>
        <v>659008</v>
      </c>
      <c r="J16" s="51" t="n">
        <f aca="false">-1*(RC!I21-RC!J21)</f>
        <v>-786425</v>
      </c>
      <c r="K16" s="51" t="n">
        <f aca="false">-1*(RC!J21-RC!K21)</f>
        <v>-159557</v>
      </c>
      <c r="L16" s="51" t="n">
        <f aca="false">-1*(RC!K21-RC!L21)</f>
        <v>-23489</v>
      </c>
    </row>
    <row r="17" customFormat="false" ht="15.75" hidden="false" customHeight="true" outlineLevel="0" collapsed="false">
      <c r="A17" s="49" t="s">
        <v>379</v>
      </c>
      <c r="B17" s="50" t="s">
        <v>396</v>
      </c>
      <c r="C17" s="51" t="n">
        <f aca="false">RC!B62-RC!C62</f>
        <v>-42687</v>
      </c>
      <c r="D17" s="51" t="n">
        <f aca="false">RC!C62-RC!D62</f>
        <v>108426</v>
      </c>
      <c r="E17" s="51" t="n">
        <f aca="false">RC!D62-RC!E62</f>
        <v>76822</v>
      </c>
      <c r="F17" s="51" t="n">
        <f aca="false">RC!E62-RC!F62</f>
        <v>-235015</v>
      </c>
      <c r="G17" s="51" t="n">
        <f aca="false">RC!F62-RC!G62</f>
        <v>104812</v>
      </c>
      <c r="H17" s="51" t="n">
        <f aca="false">RC!G62-RC!H62</f>
        <v>69515</v>
      </c>
      <c r="I17" s="51" t="n">
        <f aca="false">RC!H62-RC!I62</f>
        <v>83685</v>
      </c>
      <c r="J17" s="51" t="n">
        <f aca="false">RC!I62-RC!J62</f>
        <v>18701</v>
      </c>
      <c r="K17" s="51" t="n">
        <f aca="false">RC!J62-RC!K62</f>
        <v>-114743</v>
      </c>
      <c r="L17" s="51" t="n">
        <f aca="false">RC!K62-RC!L62</f>
        <v>269398</v>
      </c>
    </row>
    <row r="18" s="57" customFormat="true" ht="15.75" hidden="false" customHeight="true" outlineLevel="0" collapsed="false">
      <c r="A18" s="55" t="s">
        <v>386</v>
      </c>
      <c r="B18" s="56" t="s">
        <v>397</v>
      </c>
      <c r="C18" s="54" t="n">
        <f aca="false">SUM(C11:C17)</f>
        <v>-1173472</v>
      </c>
      <c r="D18" s="54" t="n">
        <f aca="false">SUM(D11:D17)</f>
        <v>393713</v>
      </c>
      <c r="E18" s="54" t="n">
        <f aca="false">SUM(E11:E17)</f>
        <v>-3061439</v>
      </c>
      <c r="F18" s="54" t="n">
        <f aca="false">SUM(F11:F17)</f>
        <v>4516774</v>
      </c>
      <c r="G18" s="54" t="n">
        <f aca="false">SUM(G11:G17)</f>
        <v>10840478</v>
      </c>
      <c r="H18" s="54" t="n">
        <f aca="false">SUM(H11:H17)</f>
        <v>-1678165</v>
      </c>
      <c r="I18" s="54" t="n">
        <f aca="false">SUM(I11:I17)</f>
        <v>-1742942</v>
      </c>
      <c r="J18" s="54" t="n">
        <f aca="false">SUM(J11:J17)</f>
        <v>1767</v>
      </c>
      <c r="K18" s="54" t="n">
        <f aca="false">SUM(K11:K17)</f>
        <v>-72717</v>
      </c>
      <c r="L18" s="54" t="n">
        <f aca="false">SUM(L11:L17)</f>
        <v>-4147408</v>
      </c>
    </row>
    <row r="19" customFormat="false" ht="15.75" hidden="false" customHeight="true" outlineLevel="0" collapsed="false">
      <c r="A19" s="49" t="s">
        <v>379</v>
      </c>
      <c r="B19" s="50" t="s">
        <v>398</v>
      </c>
      <c r="C19" s="51" t="n">
        <f aca="false">RC!B53-RC!C53</f>
        <v>59641</v>
      </c>
      <c r="D19" s="51" t="n">
        <f aca="false">RC!C53-RC!D53</f>
        <v>14276</v>
      </c>
      <c r="E19" s="51" t="n">
        <f aca="false">RC!D53-RC!E53</f>
        <v>-80280</v>
      </c>
      <c r="F19" s="51" t="n">
        <f aca="false">RC!E53-RC!F53</f>
        <v>-13809</v>
      </c>
      <c r="G19" s="51" t="n">
        <f aca="false">RC!F53-RC!G53</f>
        <v>-18906</v>
      </c>
      <c r="H19" s="51" t="n">
        <f aca="false">RC!G53-RC!H53</f>
        <v>84688</v>
      </c>
      <c r="I19" s="51" t="n">
        <f aca="false">RC!H53-RC!I53</f>
        <v>43028</v>
      </c>
      <c r="J19" s="51" t="n">
        <f aca="false">RC!I53-RC!J53</f>
        <v>3469</v>
      </c>
      <c r="K19" s="51" t="n">
        <f aca="false">RC!J53-RC!K53</f>
        <v>17898</v>
      </c>
      <c r="L19" s="51" t="n">
        <f aca="false">RC!K53-RC!L53</f>
        <v>220527</v>
      </c>
    </row>
    <row r="20" customFormat="false" ht="15.75" hidden="false" customHeight="true" outlineLevel="0" collapsed="false">
      <c r="A20" s="49" t="s">
        <v>384</v>
      </c>
      <c r="B20" s="50" t="s">
        <v>399</v>
      </c>
      <c r="C20" s="51" t="n">
        <f aca="false">-1*(RC!B15-RC!C15)</f>
        <v>-25</v>
      </c>
      <c r="D20" s="51" t="n">
        <f aca="false">-1*(RC!C15-RC!D15)</f>
        <v>-332</v>
      </c>
      <c r="E20" s="51" t="n">
        <f aca="false">-1*(RC!D15-RC!E15)</f>
        <v>9</v>
      </c>
      <c r="F20" s="51" t="n">
        <f aca="false">-1*(RC!E15-RC!F15)</f>
        <v>1998</v>
      </c>
      <c r="G20" s="51" t="n">
        <f aca="false">-1*(RC!F15-RC!G15)</f>
        <v>-13</v>
      </c>
      <c r="H20" s="51" t="n">
        <f aca="false">-1*(RC!G15-RC!H15)</f>
        <v>80</v>
      </c>
      <c r="I20" s="51" t="n">
        <f aca="false">-1*(RC!H15-RC!I15)</f>
        <v>-2337</v>
      </c>
      <c r="J20" s="51" t="n">
        <f aca="false">-1*(RC!I15-RC!J15)</f>
        <v>-25</v>
      </c>
      <c r="K20" s="51" t="n">
        <f aca="false">-1*(RC!J15-RC!K15)</f>
        <v>4</v>
      </c>
      <c r="L20" s="51" t="n">
        <f aca="false">-1*(RC!K15-RC!L15)</f>
        <v>-885</v>
      </c>
    </row>
    <row r="21" customFormat="false" ht="15.75" hidden="false" customHeight="true" outlineLevel="0" collapsed="false">
      <c r="A21" s="58" t="s">
        <v>379</v>
      </c>
      <c r="B21" s="59" t="s">
        <v>400</v>
      </c>
      <c r="C21" s="51" t="n">
        <f aca="false">RC!B54-RC!C54</f>
        <v>0</v>
      </c>
      <c r="D21" s="51" t="n">
        <f aca="false">RC!C54-RC!D54</f>
        <v>0</v>
      </c>
      <c r="E21" s="51" t="n">
        <f aca="false">RC!D54-RC!E54</f>
        <v>-15000</v>
      </c>
      <c r="F21" s="51" t="n">
        <f aca="false">RC!E54-RC!F54</f>
        <v>15000</v>
      </c>
      <c r="G21" s="51" t="n">
        <f aca="false">RC!F54-RC!G54</f>
        <v>0</v>
      </c>
      <c r="H21" s="51" t="n">
        <f aca="false">RC!G54-RC!H54</f>
        <v>0</v>
      </c>
      <c r="I21" s="51" t="n">
        <f aca="false">RC!H54-RC!I54</f>
        <v>-13200</v>
      </c>
      <c r="J21" s="51" t="n">
        <f aca="false">RC!I54-RC!J54</f>
        <v>0</v>
      </c>
      <c r="K21" s="51" t="n">
        <f aca="false">RC!J54-RC!K54</f>
        <v>0</v>
      </c>
      <c r="L21" s="51" t="n">
        <f aca="false">RC!K54-RC!L54</f>
        <v>13200</v>
      </c>
    </row>
    <row r="22" customFormat="false" ht="15.75" hidden="false" customHeight="true" outlineLevel="0" collapsed="false">
      <c r="A22" s="60" t="s">
        <v>386</v>
      </c>
      <c r="B22" s="61" t="s">
        <v>401</v>
      </c>
      <c r="C22" s="51" t="n">
        <f aca="false">SUM(C18:C21)</f>
        <v>-1113856</v>
      </c>
      <c r="D22" s="51" t="n">
        <f aca="false">SUM(D18:D21)</f>
        <v>407657</v>
      </c>
      <c r="E22" s="51" t="n">
        <f aca="false">SUM(E18:E21)</f>
        <v>-3156710</v>
      </c>
      <c r="F22" s="51" t="n">
        <f aca="false">SUM(F18:F21)</f>
        <v>4519963</v>
      </c>
      <c r="G22" s="51" t="n">
        <f aca="false">SUM(G18:G21)</f>
        <v>10821559</v>
      </c>
      <c r="H22" s="51" t="n">
        <f aca="false">SUM(H18:H21)</f>
        <v>-1593397</v>
      </c>
      <c r="I22" s="51" t="n">
        <f aca="false">SUM(I18:I21)</f>
        <v>-1715451</v>
      </c>
      <c r="J22" s="51" t="n">
        <f aca="false">SUM(J18:J21)</f>
        <v>5211</v>
      </c>
      <c r="K22" s="51" t="n">
        <f aca="false">SUM(K18:K21)</f>
        <v>-54815</v>
      </c>
      <c r="L22" s="51" t="n">
        <f aca="false">SUM(L18:L21)</f>
        <v>-3914566</v>
      </c>
    </row>
    <row r="23" s="57" customFormat="true" ht="15.75" hidden="false" customHeight="true" outlineLevel="0" collapsed="false">
      <c r="A23" s="62" t="s">
        <v>386</v>
      </c>
      <c r="B23" s="63" t="s">
        <v>402</v>
      </c>
      <c r="C23" s="54" t="n">
        <f aca="false">C8+C22</f>
        <v>3744555.73270809</v>
      </c>
      <c r="D23" s="54" t="n">
        <f aca="false">D8+D22</f>
        <v>4196996.25991197</v>
      </c>
      <c r="E23" s="54" t="n">
        <f aca="false">E8+E22</f>
        <v>-932158.119641035</v>
      </c>
      <c r="F23" s="54" t="n">
        <f aca="false">F8+F22</f>
        <v>4715423.57016274</v>
      </c>
      <c r="G23" s="54" t="n">
        <f aca="false">G8+G22</f>
        <v>14142362.5600214</v>
      </c>
      <c r="H23" s="54" t="n">
        <f aca="false">H8+H22</f>
        <v>-1654631.09889077</v>
      </c>
      <c r="I23" s="54" t="n">
        <f aca="false">I8+I22</f>
        <v>-40703.4330663404</v>
      </c>
      <c r="J23" s="54" t="n">
        <f aca="false">J8+J22</f>
        <v>944994.898617756</v>
      </c>
      <c r="K23" s="54" t="n">
        <f aca="false">K8+K22</f>
        <v>833163.992613877</v>
      </c>
      <c r="L23" s="54" t="n">
        <f aca="false">L8+L22</f>
        <v>-2960164.76592989</v>
      </c>
    </row>
    <row r="24" customFormat="false" ht="15.75" hidden="false" customHeight="true" outlineLevel="0" collapsed="false">
      <c r="A24" s="49"/>
      <c r="B24" s="50" t="s">
        <v>403</v>
      </c>
    </row>
    <row r="25" customFormat="false" ht="15.75" hidden="false" customHeight="true" outlineLevel="0" collapsed="false">
      <c r="A25" s="49" t="s">
        <v>384</v>
      </c>
      <c r="B25" s="50" t="s">
        <v>404</v>
      </c>
      <c r="C25" s="51" t="n">
        <f aca="false">-1*(RC!B12-RC!C12)</f>
        <v>1121218</v>
      </c>
      <c r="D25" s="51" t="n">
        <f aca="false">-1*(RC!C12-RC!D12)</f>
        <v>-714558</v>
      </c>
      <c r="E25" s="51" t="n">
        <f aca="false">-1*(RC!D12-RC!E12)</f>
        <v>-3644650</v>
      </c>
      <c r="F25" s="51" t="n">
        <f aca="false">-1*(RC!E12-RC!F12)</f>
        <v>-24723131</v>
      </c>
      <c r="G25" s="51" t="n">
        <f aca="false">-1*(RC!F12-RC!G12)</f>
        <v>8965472</v>
      </c>
      <c r="H25" s="51" t="n">
        <f aca="false">-1*(RC!G12-RC!H12)</f>
        <v>-993478</v>
      </c>
      <c r="I25" s="51" t="n">
        <f aca="false">-1*(RC!H12-RC!I12)</f>
        <v>-5212557</v>
      </c>
      <c r="J25" s="51" t="n">
        <f aca="false">-1*(RC!I12-RC!J12)</f>
        <v>-7714123</v>
      </c>
      <c r="K25" s="51" t="n">
        <f aca="false">-1*(RC!J12-RC!K12)</f>
        <v>-4056557</v>
      </c>
      <c r="L25" s="51" t="n">
        <f aca="false">-1*(RC!K12-RC!L12)</f>
        <v>-1463937</v>
      </c>
    </row>
    <row r="26" customFormat="false" ht="15.75" hidden="false" customHeight="true" outlineLevel="0" collapsed="false">
      <c r="A26" s="49" t="s">
        <v>384</v>
      </c>
      <c r="B26" s="50" t="s">
        <v>405</v>
      </c>
      <c r="C26" s="51" t="n">
        <f aca="false">-1*(RC!B27-RC!C27)</f>
        <v>-0</v>
      </c>
      <c r="D26" s="51" t="n">
        <f aca="false">-1*(RC!C27-RC!D27)</f>
        <v>-0</v>
      </c>
      <c r="E26" s="51" t="n">
        <f aca="false">-1*(RC!D27-RC!E27)</f>
        <v>-0</v>
      </c>
      <c r="F26" s="51" t="n">
        <f aca="false">-1*(RC!E27-RC!F27)</f>
        <v>-0</v>
      </c>
      <c r="G26" s="51" t="n">
        <f aca="false">-1*(RC!F27-RC!G27)</f>
        <v>-0</v>
      </c>
      <c r="H26" s="51" t="n">
        <f aca="false">-1*(RC!G27-RC!H27)</f>
        <v>-0</v>
      </c>
      <c r="I26" s="51" t="n">
        <f aca="false">-1*(RC!H27-RC!I27)</f>
        <v>-0</v>
      </c>
      <c r="J26" s="51" t="n">
        <f aca="false">-1*(RC!I27-RC!J27)</f>
        <v>-0</v>
      </c>
      <c r="K26" s="51" t="n">
        <f aca="false">-1*(RC!J27-RC!K27)</f>
        <v>-307</v>
      </c>
      <c r="L26" s="51" t="n">
        <f aca="false">-1*(RC!K27-RC!L27)</f>
        <v>-2831</v>
      </c>
    </row>
    <row r="27" customFormat="false" ht="15.75" hidden="false" customHeight="true" outlineLevel="0" collapsed="false">
      <c r="A27" s="49" t="s">
        <v>379</v>
      </c>
      <c r="B27" s="50" t="s">
        <v>406</v>
      </c>
      <c r="C27" s="51" t="n">
        <f aca="false">RC!B66-RC!C66</f>
        <v>0</v>
      </c>
      <c r="D27" s="51" t="n">
        <f aca="false">RC!C66-RC!D66</f>
        <v>0</v>
      </c>
      <c r="E27" s="51" t="n">
        <f aca="false">RC!D66-RC!E66</f>
        <v>0</v>
      </c>
      <c r="F27" s="51" t="n">
        <f aca="false">RC!E66-RC!F66</f>
        <v>0</v>
      </c>
      <c r="G27" s="51" t="n">
        <f aca="false">RC!F66-RC!G66</f>
        <v>0</v>
      </c>
      <c r="H27" s="51" t="n">
        <f aca="false">RC!G66-RC!H66</f>
        <v>0</v>
      </c>
      <c r="I27" s="51" t="n">
        <f aca="false">RC!H66-RC!I66</f>
        <v>0</v>
      </c>
      <c r="J27" s="51" t="n">
        <f aca="false">RC!I66-RC!J66</f>
        <v>0</v>
      </c>
      <c r="K27" s="51" t="n">
        <f aca="false">RC!J66-RC!K66</f>
        <v>0</v>
      </c>
      <c r="L27" s="51" t="n">
        <f aca="false">RC!K66-RC!L66</f>
        <v>0</v>
      </c>
    </row>
    <row r="28" customFormat="false" ht="15.75" hidden="false" customHeight="true" outlineLevel="0" collapsed="false">
      <c r="A28" s="49" t="s">
        <v>384</v>
      </c>
      <c r="B28" s="50" t="s">
        <v>407</v>
      </c>
      <c r="C28" s="51" t="n">
        <f aca="false">RC!B124</f>
        <v>-2248638</v>
      </c>
      <c r="D28" s="51" t="n">
        <f aca="false">RC!C124</f>
        <v>-1814814</v>
      </c>
      <c r="E28" s="51" t="n">
        <f aca="false">RC!D124</f>
        <v>-1191708</v>
      </c>
      <c r="F28" s="51" t="n">
        <f aca="false">RC!E124</f>
        <v>0</v>
      </c>
      <c r="G28" s="51" t="n">
        <f aca="false">RC!F124</f>
        <v>-415221</v>
      </c>
      <c r="H28" s="51" t="n">
        <f aca="false">RC!G124</f>
        <v>-1322599</v>
      </c>
      <c r="I28" s="51" t="n">
        <f aca="false">RC!H124</f>
        <v>-832224</v>
      </c>
      <c r="J28" s="51" t="n">
        <f aca="false">RC!I124</f>
        <v>-461070</v>
      </c>
      <c r="K28" s="51" t="n">
        <f aca="false">RC!J124</f>
        <v>-348320</v>
      </c>
      <c r="L28" s="51" t="n">
        <f aca="false">RC!K124</f>
        <v>-233484</v>
      </c>
    </row>
    <row r="29" customFormat="false" ht="15.75" hidden="false" customHeight="true" outlineLevel="0" collapsed="false">
      <c r="A29" s="49" t="s">
        <v>379</v>
      </c>
      <c r="B29" s="50" t="s">
        <v>408</v>
      </c>
      <c r="C29" s="51" t="n">
        <f aca="false">RC!B80-RC!C80</f>
        <v>0</v>
      </c>
      <c r="D29" s="51" t="n">
        <f aca="false">RC!C80-RC!D80</f>
        <v>0</v>
      </c>
      <c r="E29" s="51" t="n">
        <f aca="false">RC!D80-RC!E80</f>
        <v>0</v>
      </c>
      <c r="F29" s="51" t="n">
        <f aca="false">RC!E80-RC!F80</f>
        <v>0</v>
      </c>
      <c r="G29" s="51" t="n">
        <f aca="false">RC!F80-RC!G80</f>
        <v>0</v>
      </c>
      <c r="H29" s="51" t="n">
        <f aca="false">RC!G80-RC!H80</f>
        <v>0</v>
      </c>
      <c r="I29" s="51" t="n">
        <f aca="false">RC!H80-RC!I80</f>
        <v>0</v>
      </c>
      <c r="J29" s="51" t="n">
        <f aca="false">RC!I80-RC!J80</f>
        <v>0</v>
      </c>
      <c r="K29" s="51" t="n">
        <f aca="false">RC!J80-RC!K80</f>
        <v>0</v>
      </c>
      <c r="L29" s="51" t="n">
        <f aca="false">RC!K80-RC!L80</f>
        <v>0</v>
      </c>
    </row>
    <row r="30" s="57" customFormat="true" ht="15.75" hidden="false" customHeight="true" outlineLevel="0" collapsed="false">
      <c r="A30" s="55" t="s">
        <v>386</v>
      </c>
      <c r="B30" s="56" t="s">
        <v>409</v>
      </c>
      <c r="C30" s="54" t="n">
        <f aca="false">SUM(C25:C29)</f>
        <v>-1127420</v>
      </c>
      <c r="D30" s="54" t="n">
        <f aca="false">SUM(D25:D29)</f>
        <v>-2529372</v>
      </c>
      <c r="E30" s="54" t="n">
        <f aca="false">SUM(E25:E29)</f>
        <v>-4836358</v>
      </c>
      <c r="F30" s="54" t="n">
        <f aca="false">SUM(F25:F29)</f>
        <v>-24723131</v>
      </c>
      <c r="G30" s="54" t="n">
        <f aca="false">SUM(G25:G29)</f>
        <v>8550251</v>
      </c>
      <c r="H30" s="54" t="n">
        <f aca="false">SUM(H25:H29)</f>
        <v>-2316077</v>
      </c>
      <c r="I30" s="54" t="n">
        <f aca="false">SUM(I25:I29)</f>
        <v>-6044781</v>
      </c>
      <c r="J30" s="54" t="n">
        <f aca="false">SUM(J25:J29)</f>
        <v>-8175193</v>
      </c>
      <c r="K30" s="54" t="n">
        <f aca="false">SUM(K25:K29)</f>
        <v>-4405184</v>
      </c>
      <c r="L30" s="54" t="n">
        <f aca="false">SUM(L25:L29)</f>
        <v>-1700252</v>
      </c>
    </row>
    <row r="31" s="57" customFormat="true" ht="15.75" hidden="false" customHeight="true" outlineLevel="0" collapsed="false">
      <c r="A31" s="62" t="s">
        <v>386</v>
      </c>
      <c r="B31" s="63" t="s">
        <v>410</v>
      </c>
      <c r="C31" s="54" t="n">
        <f aca="false">C23+C30</f>
        <v>2617135.73270809</v>
      </c>
      <c r="D31" s="54" t="n">
        <f aca="false">D23+D30</f>
        <v>1667624.25991197</v>
      </c>
      <c r="E31" s="54" t="n">
        <f aca="false">E23+E30</f>
        <v>-5768516.11964104</v>
      </c>
      <c r="F31" s="54" t="n">
        <f aca="false">F23+F30</f>
        <v>-20007707.4298373</v>
      </c>
      <c r="G31" s="54" t="n">
        <f aca="false">G23+G30</f>
        <v>22692613.5600214</v>
      </c>
      <c r="H31" s="54" t="n">
        <f aca="false">H23+H30</f>
        <v>-3970708.09889077</v>
      </c>
      <c r="I31" s="54" t="n">
        <f aca="false">I23+I30</f>
        <v>-6085484.43306634</v>
      </c>
      <c r="J31" s="54" t="n">
        <f aca="false">J23+J30</f>
        <v>-7230198.10138224</v>
      </c>
      <c r="K31" s="54" t="n">
        <f aca="false">K23+K30</f>
        <v>-3572020.00738612</v>
      </c>
      <c r="L31" s="54" t="n">
        <f aca="false">L23+L30</f>
        <v>-4660416.76592989</v>
      </c>
    </row>
    <row r="32" customFormat="false" ht="15.75" hidden="false" customHeight="true" outlineLevel="0" collapsed="false">
      <c r="A32" s="49"/>
      <c r="B32" s="50" t="s">
        <v>411</v>
      </c>
    </row>
    <row r="33" customFormat="false" ht="15.75" hidden="false" customHeight="true" outlineLevel="0" collapsed="false">
      <c r="A33" s="49"/>
      <c r="B33" s="50" t="s">
        <v>412</v>
      </c>
    </row>
    <row r="34" customFormat="false" ht="15.75" hidden="false" customHeight="true" outlineLevel="0" collapsed="false">
      <c r="A34" s="49" t="s">
        <v>384</v>
      </c>
      <c r="B34" s="50" t="s">
        <v>413</v>
      </c>
      <c r="C34" s="51" t="n">
        <f aca="false">RC!B140</f>
        <v>-1732259</v>
      </c>
      <c r="D34" s="51" t="n">
        <f aca="false">RC!C140</f>
        <v>-1480202</v>
      </c>
      <c r="E34" s="51" t="n">
        <f aca="false">RC!D140</f>
        <v>-774285</v>
      </c>
      <c r="F34" s="51" t="n">
        <f aca="false">RC!E140</f>
        <v>-342133</v>
      </c>
      <c r="G34" s="51" t="n">
        <f aca="false">RC!F140</f>
        <v>-519613</v>
      </c>
      <c r="H34" s="51" t="n">
        <f aca="false">RC!G140</f>
        <v>-322817</v>
      </c>
      <c r="I34" s="51" t="n">
        <f aca="false">RC!H140</f>
        <v>-221959</v>
      </c>
      <c r="J34" s="51" t="n">
        <f aca="false">RC!I140</f>
        <v>-107524</v>
      </c>
      <c r="K34" s="51" t="n">
        <f aca="false">RC!J140</f>
        <v>-33341</v>
      </c>
      <c r="L34" s="51" t="n">
        <f aca="false">RC!K140</f>
        <v>-41407</v>
      </c>
    </row>
    <row r="35" customFormat="false" ht="15.75" hidden="false" customHeight="true" outlineLevel="0" collapsed="false">
      <c r="A35" s="49" t="s">
        <v>379</v>
      </c>
      <c r="B35" s="50" t="s">
        <v>414</v>
      </c>
      <c r="C35" s="51" t="n">
        <f aca="false">-RC!B157</f>
        <v>-512037.732708094</v>
      </c>
      <c r="D35" s="51" t="n">
        <f aca="false">-RC!C157</f>
        <v>-146508.259911974</v>
      </c>
      <c r="E35" s="51" t="n">
        <f aca="false">-RC!D157</f>
        <v>3134.11964103469</v>
      </c>
      <c r="F35" s="51" t="n">
        <f aca="false">-RC!E157</f>
        <v>-151799.570162735</v>
      </c>
      <c r="G35" s="51" t="n">
        <f aca="false">-RC!F157</f>
        <v>-6774.56002138865</v>
      </c>
      <c r="H35" s="51" t="n">
        <f aca="false">-RC!G157</f>
        <v>-10330.901109235</v>
      </c>
      <c r="I35" s="51" t="n">
        <f aca="false">-RC!H157</f>
        <v>-2230.56693365951</v>
      </c>
      <c r="J35" s="51" t="n">
        <f aca="false">-RC!I157</f>
        <v>-25503.8986177556</v>
      </c>
      <c r="K35" s="51" t="n">
        <f aca="false">-RC!J157</f>
        <v>-11325.9926138766</v>
      </c>
      <c r="L35" s="51" t="n">
        <f aca="false">-RC!K157</f>
        <v>-13864.234070108</v>
      </c>
    </row>
    <row r="36" customFormat="false" ht="15.75" hidden="false" customHeight="true" outlineLevel="0" collapsed="false">
      <c r="A36" s="49" t="s">
        <v>379</v>
      </c>
      <c r="B36" s="50" t="s">
        <v>415</v>
      </c>
      <c r="C36" s="51" t="n">
        <f aca="false">-(RC!B32-RC!C32)+(RC!B72-RC!C72)</f>
        <v>0</v>
      </c>
      <c r="D36" s="51" t="n">
        <f aca="false">-(RC!C32-RC!D32)+(RC!C72-RC!D72)</f>
        <v>0</v>
      </c>
      <c r="E36" s="51" t="n">
        <f aca="false">-(RC!D32-RC!E32)+(RC!D72-RC!E72)</f>
        <v>0</v>
      </c>
      <c r="F36" s="51" t="n">
        <f aca="false">-(RC!E32-RC!F32)+(RC!E72-RC!F72)</f>
        <v>0</v>
      </c>
      <c r="G36" s="51" t="n">
        <f aca="false">-(RC!F32-RC!G32)+(RC!F72-RC!G72)</f>
        <v>0</v>
      </c>
      <c r="H36" s="51" t="n">
        <f aca="false">-(RC!G32-RC!H32)+(RC!G72-RC!H72)</f>
        <v>0</v>
      </c>
      <c r="I36" s="51" t="n">
        <f aca="false">-(RC!H32-RC!I32)+(RC!H72-RC!I72)</f>
        <v>0</v>
      </c>
      <c r="J36" s="51" t="n">
        <f aca="false">-(RC!I32-RC!J32)+(RC!I72-RC!J72)</f>
        <v>0</v>
      </c>
      <c r="K36" s="51" t="n">
        <f aca="false">-(RC!J32-RC!K32)+(RC!J72-RC!K72)</f>
        <v>0</v>
      </c>
      <c r="L36" s="51" t="n">
        <f aca="false">-(RC!K32-RC!L32)+(RC!K72-RC!L72)</f>
        <v>0</v>
      </c>
    </row>
    <row r="37" customFormat="false" ht="15.75" hidden="false" customHeight="true" outlineLevel="0" collapsed="false">
      <c r="A37" s="49" t="s">
        <v>379</v>
      </c>
      <c r="B37" s="50" t="s">
        <v>416</v>
      </c>
      <c r="C37" s="51" t="n">
        <f aca="false">RC!B69-RC!C69</f>
        <v>-1039148</v>
      </c>
      <c r="D37" s="51" t="n">
        <f aca="false">RC!C69-RC!D69</f>
        <v>-369232</v>
      </c>
      <c r="E37" s="51" t="n">
        <f aca="false">RC!D69-RC!E69</f>
        <v>3883616</v>
      </c>
      <c r="F37" s="51" t="n">
        <f aca="false">RC!E69-RC!F69</f>
        <v>14804229</v>
      </c>
      <c r="G37" s="51" t="n">
        <f aca="false">RC!F69-RC!G69</f>
        <v>-8381091</v>
      </c>
      <c r="H37" s="51" t="n">
        <f aca="false">RC!G69-RC!H69</f>
        <v>874309</v>
      </c>
      <c r="I37" s="51" t="n">
        <f aca="false">RC!H69-RC!I69</f>
        <v>4478885</v>
      </c>
      <c r="J37" s="51" t="n">
        <f aca="false">RC!I69-RC!J69</f>
        <v>5293907</v>
      </c>
      <c r="K37" s="51" t="n">
        <f aca="false">RC!J69-RC!K69</f>
        <v>335582</v>
      </c>
      <c r="L37" s="51" t="n">
        <f aca="false">RC!K69-RC!L69</f>
        <v>671866</v>
      </c>
    </row>
    <row r="38" customFormat="false" ht="15.75" hidden="false" customHeight="true" outlineLevel="0" collapsed="false">
      <c r="A38" s="49" t="s">
        <v>379</v>
      </c>
      <c r="B38" s="50" t="s">
        <v>417</v>
      </c>
      <c r="C38" s="51" t="n">
        <f aca="false">RC!B70-RC!C70</f>
        <v>79125</v>
      </c>
      <c r="D38" s="51" t="n">
        <f aca="false">RC!C70-RC!D70</f>
        <v>262662</v>
      </c>
      <c r="E38" s="51" t="n">
        <f aca="false">RC!D70-RC!E70</f>
        <v>1752351</v>
      </c>
      <c r="F38" s="51" t="n">
        <f aca="false">RC!E70-RC!F70</f>
        <v>-2659051</v>
      </c>
      <c r="G38" s="51" t="n">
        <f aca="false">RC!F70-RC!G70</f>
        <v>-5302737</v>
      </c>
      <c r="H38" s="51" t="n">
        <f aca="false">RC!G70-RC!H70</f>
        <v>3618150</v>
      </c>
      <c r="I38" s="51" t="n">
        <f aca="false">RC!H70-RC!I70</f>
        <v>1929416</v>
      </c>
      <c r="J38" s="51" t="n">
        <f aca="false">RC!I70-RC!J70</f>
        <v>2173543</v>
      </c>
      <c r="K38" s="51" t="n">
        <f aca="false">RC!J70-RC!K70</f>
        <v>1409442</v>
      </c>
      <c r="L38" s="51" t="n">
        <f aca="false">RC!K70-RC!L70</f>
        <v>2924238</v>
      </c>
    </row>
    <row r="39" customFormat="false" ht="15.75" hidden="false" customHeight="true" outlineLevel="0" collapsed="false">
      <c r="A39" s="49" t="s">
        <v>384</v>
      </c>
      <c r="B39" s="50" t="s">
        <v>418</v>
      </c>
      <c r="C39" s="51" t="n">
        <f aca="false">-(RC!B30-RC!C30)</f>
        <v>-0</v>
      </c>
      <c r="D39" s="51" t="n">
        <f aca="false">-(RC!C30-RC!D30)</f>
        <v>-0</v>
      </c>
      <c r="E39" s="51" t="n">
        <f aca="false">-(RC!D30-RC!E30)</f>
        <v>-0</v>
      </c>
      <c r="F39" s="51" t="n">
        <f aca="false">-(RC!E30-RC!F30)</f>
        <v>-0</v>
      </c>
      <c r="G39" s="51" t="n">
        <f aca="false">-(RC!F30-RC!G30)</f>
        <v>-0</v>
      </c>
      <c r="H39" s="51" t="n">
        <f aca="false">-(RC!G30-RC!H30)</f>
        <v>-0</v>
      </c>
      <c r="I39" s="51" t="n">
        <f aca="false">-(RC!H30-RC!I30)</f>
        <v>-0</v>
      </c>
      <c r="J39" s="51" t="n">
        <f aca="false">-(RC!I30-RC!J30)</f>
        <v>-0</v>
      </c>
      <c r="K39" s="51" t="n">
        <f aca="false">-(RC!J30-RC!K30)</f>
        <v>-0</v>
      </c>
      <c r="L39" s="51" t="n">
        <f aca="false">-(RC!K30-RC!L30)</f>
        <v>-0</v>
      </c>
    </row>
    <row r="40" s="57" customFormat="true" ht="15.75" hidden="false" customHeight="true" outlineLevel="0" collapsed="false">
      <c r="A40" s="55" t="s">
        <v>386</v>
      </c>
      <c r="B40" s="56" t="s">
        <v>419</v>
      </c>
      <c r="C40" s="54" t="n">
        <f aca="false">SUM(C34:C39)</f>
        <v>-3204319.73270809</v>
      </c>
      <c r="D40" s="54" t="n">
        <f aca="false">SUM(D34:D39)</f>
        <v>-1733280.25991197</v>
      </c>
      <c r="E40" s="54" t="n">
        <f aca="false">SUM(E34:E39)</f>
        <v>4864816.11964104</v>
      </c>
      <c r="F40" s="54" t="n">
        <f aca="false">SUM(F34:F39)</f>
        <v>11651245.4298373</v>
      </c>
      <c r="G40" s="54" t="n">
        <f aca="false">SUM(G34:G39)</f>
        <v>-14210215.5600214</v>
      </c>
      <c r="H40" s="54" t="n">
        <f aca="false">SUM(H34:H39)</f>
        <v>4159311.09889077</v>
      </c>
      <c r="I40" s="54" t="n">
        <f aca="false">SUM(I34:I39)</f>
        <v>6184111.43306634</v>
      </c>
      <c r="J40" s="54" t="n">
        <f aca="false">SUM(J34:J39)</f>
        <v>7334422.10138224</v>
      </c>
      <c r="K40" s="54" t="n">
        <f aca="false">SUM(K34:K39)</f>
        <v>1700357.00738612</v>
      </c>
      <c r="L40" s="54" t="n">
        <f aca="false">SUM(L34:L39)</f>
        <v>3540832.76592989</v>
      </c>
    </row>
    <row r="41" s="57" customFormat="true" ht="15.75" hidden="false" customHeight="true" outlineLevel="0" collapsed="false">
      <c r="A41" s="62" t="s">
        <v>386</v>
      </c>
      <c r="B41" s="63" t="s">
        <v>420</v>
      </c>
      <c r="C41" s="54" t="n">
        <f aca="false">C31+C40</f>
        <v>-587184</v>
      </c>
      <c r="D41" s="54" t="n">
        <f aca="false">D31+D40</f>
        <v>-65656.0000000002</v>
      </c>
      <c r="E41" s="54" t="n">
        <f aca="false">E31+E40</f>
        <v>-903700</v>
      </c>
      <c r="F41" s="54" t="n">
        <f aca="false">F31+F40</f>
        <v>-8356462</v>
      </c>
      <c r="G41" s="54" t="n">
        <f aca="false">G31+G40</f>
        <v>8482398</v>
      </c>
      <c r="H41" s="54" t="n">
        <f aca="false">H31+H40</f>
        <v>188603</v>
      </c>
      <c r="I41" s="54" t="n">
        <f aca="false">I31+I40</f>
        <v>98627</v>
      </c>
      <c r="J41" s="54" t="n">
        <f aca="false">J31+J40</f>
        <v>104224</v>
      </c>
      <c r="K41" s="54" t="n">
        <f aca="false">K31+K40</f>
        <v>-1871663</v>
      </c>
      <c r="L41" s="54" t="n">
        <f aca="false">L31+L40</f>
        <v>-1119584</v>
      </c>
    </row>
    <row r="42" customFormat="false" ht="15.75" hidden="false" customHeight="true" outlineLevel="0" collapsed="false">
      <c r="A42" s="49"/>
      <c r="B42" s="50" t="s">
        <v>421</v>
      </c>
    </row>
    <row r="43" customFormat="false" ht="15.75" hidden="false" customHeight="true" outlineLevel="0" collapsed="false">
      <c r="A43" s="49" t="s">
        <v>384</v>
      </c>
      <c r="B43" s="50" t="s">
        <v>422</v>
      </c>
      <c r="C43" s="51" t="n">
        <f aca="false">RC!B79</f>
        <v>4114474</v>
      </c>
      <c r="D43" s="51" t="n">
        <f aca="false">RC!C79</f>
        <v>3766659</v>
      </c>
      <c r="E43" s="51" t="n">
        <f aca="false">RC!D79</f>
        <v>3504967</v>
      </c>
      <c r="F43" s="51" t="n">
        <f aca="false">RC!E79</f>
        <v>3803440</v>
      </c>
      <c r="G43" s="51" t="n">
        <f aca="false">RC!F79</f>
        <v>1424247</v>
      </c>
      <c r="H43" s="51" t="n">
        <f aca="false">RC!G79</f>
        <v>3141228</v>
      </c>
      <c r="I43" s="51" t="n">
        <f aca="false">RC!H79</f>
        <v>2522896</v>
      </c>
      <c r="J43" s="51" t="n">
        <f aca="false">RC!I79</f>
        <v>2177204</v>
      </c>
      <c r="K43" s="51" t="n">
        <f aca="false">RC!J79</f>
        <v>1682213</v>
      </c>
      <c r="L43" s="51" t="n">
        <f aca="false">RC!K79</f>
        <v>1016567</v>
      </c>
    </row>
    <row r="44" customFormat="false" ht="15.75" hidden="false" customHeight="true" outlineLevel="0" collapsed="false">
      <c r="A44" s="49" t="s">
        <v>384</v>
      </c>
      <c r="B44" s="50" t="s">
        <v>423</v>
      </c>
      <c r="C44" s="51" t="n">
        <f aca="false">-(RC!B81-RC!C81)</f>
        <v>-0</v>
      </c>
      <c r="D44" s="51" t="n">
        <f aca="false">-(RC!C81-RC!D81)</f>
        <v>-0</v>
      </c>
      <c r="E44" s="51" t="n">
        <f aca="false">-(RC!D81-RC!E81)</f>
        <v>-0</v>
      </c>
      <c r="F44" s="51" t="n">
        <f aca="false">-(RC!E81-RC!F81)</f>
        <v>-0</v>
      </c>
      <c r="G44" s="51" t="n">
        <f aca="false">-(RC!F81-RC!G81)</f>
        <v>-0</v>
      </c>
      <c r="H44" s="51" t="n">
        <f aca="false">-(RC!G81-RC!H81)</f>
        <v>-0</v>
      </c>
      <c r="I44" s="51" t="n">
        <f aca="false">-(RC!H81-RC!I81)</f>
        <v>-0</v>
      </c>
      <c r="J44" s="51" t="n">
        <f aca="false">-(RC!I81-RC!J81)</f>
        <v>-0</v>
      </c>
      <c r="K44" s="51" t="n">
        <f aca="false">-(RC!J81-RC!K81)</f>
        <v>-0</v>
      </c>
      <c r="L44" s="51" t="n">
        <f aca="false">-(RC!K81-RC!L81)</f>
        <v>-0</v>
      </c>
    </row>
    <row r="45" customFormat="false" ht="15.75" hidden="false" customHeight="true" outlineLevel="0" collapsed="false">
      <c r="A45" s="49" t="s">
        <v>379</v>
      </c>
      <c r="B45" s="50" t="s">
        <v>424</v>
      </c>
      <c r="C45" s="51" t="n">
        <f aca="false">RC!B76-RC!C76</f>
        <v>-847500</v>
      </c>
      <c r="D45" s="51" t="n">
        <f aca="false">RC!C76-RC!D76</f>
        <v>0</v>
      </c>
      <c r="E45" s="51" t="n">
        <f aca="false">RC!D76-RC!E76</f>
        <v>57500</v>
      </c>
      <c r="F45" s="51" t="n">
        <f aca="false">RC!E76-RC!F76</f>
        <v>350000</v>
      </c>
      <c r="G45" s="51" t="n">
        <f aca="false">RC!F76-RC!G76</f>
        <v>87200</v>
      </c>
      <c r="H45" s="51" t="n">
        <f aca="false">RC!G76-RC!H76</f>
        <v>-43000</v>
      </c>
      <c r="I45" s="51" t="n">
        <f aca="false">RC!H76-RC!I76</f>
        <v>4000</v>
      </c>
      <c r="J45" s="51" t="n">
        <f aca="false">RC!I76-RC!J76</f>
        <v>-37288</v>
      </c>
      <c r="K45" s="51" t="n">
        <f aca="false">RC!J76-RC!K76</f>
        <v>1909576</v>
      </c>
      <c r="L45" s="51" t="n">
        <f aca="false">RC!K76-RC!L76</f>
        <v>45000</v>
      </c>
    </row>
    <row r="46" customFormat="false" ht="15.75" hidden="false" customHeight="true" outlineLevel="0" collapsed="false">
      <c r="A46" s="49" t="s">
        <v>379</v>
      </c>
      <c r="B46" s="50" t="s">
        <v>425</v>
      </c>
      <c r="C46" s="51" t="n">
        <f aca="false">RC!B78-RC!C78</f>
        <v>1400000</v>
      </c>
      <c r="D46" s="51" t="n">
        <f aca="false">RC!C78-RC!D78</f>
        <v>0</v>
      </c>
      <c r="E46" s="51" t="n">
        <f aca="false">RC!D78-RC!E78</f>
        <v>0</v>
      </c>
      <c r="F46" s="51" t="n">
        <f aca="false">RC!E78-RC!F78</f>
        <v>0</v>
      </c>
      <c r="G46" s="51" t="n">
        <f aca="false">RC!F78-RC!G78</f>
        <v>0</v>
      </c>
      <c r="H46" s="51" t="n">
        <f aca="false">RC!G78-RC!H78</f>
        <v>0</v>
      </c>
      <c r="I46" s="51" t="n">
        <f aca="false">RC!H78-RC!I78</f>
        <v>0</v>
      </c>
      <c r="J46" s="51" t="n">
        <f aca="false">RC!I78-RC!J78</f>
        <v>0</v>
      </c>
      <c r="K46" s="51" t="n">
        <f aca="false">RC!J78-RC!K78</f>
        <v>0</v>
      </c>
      <c r="L46" s="51" t="n">
        <f aca="false">RC!K78-RC!L78</f>
        <v>100000</v>
      </c>
    </row>
    <row r="47" customFormat="false" ht="15.75" hidden="false" customHeight="true" outlineLevel="0" collapsed="false">
      <c r="A47" s="49" t="s">
        <v>379</v>
      </c>
      <c r="B47" s="50" t="s">
        <v>426</v>
      </c>
      <c r="C47" s="51" t="n">
        <f aca="false">RC!B83-RC!C83</f>
        <v>0</v>
      </c>
      <c r="D47" s="51" t="n">
        <f aca="false">RC!C83-RC!D83</f>
        <v>0</v>
      </c>
      <c r="E47" s="51" t="n">
        <f aca="false">RC!D83-RC!E83</f>
        <v>0</v>
      </c>
      <c r="F47" s="51" t="n">
        <f aca="false">RC!E83-RC!F83</f>
        <v>0</v>
      </c>
      <c r="G47" s="51" t="n">
        <f aca="false">RC!F83-RC!G83</f>
        <v>0</v>
      </c>
      <c r="H47" s="51" t="n">
        <f aca="false">RC!G83-RC!H83</f>
        <v>0</v>
      </c>
      <c r="I47" s="51" t="n">
        <f aca="false">RC!H83-RC!I83</f>
        <v>0</v>
      </c>
      <c r="J47" s="51" t="n">
        <f aca="false">RC!I83-RC!J83</f>
        <v>0</v>
      </c>
      <c r="K47" s="51" t="n">
        <f aca="false">RC!J83-RC!K83</f>
        <v>0</v>
      </c>
      <c r="L47" s="51" t="n">
        <f aca="false">RC!K83-RC!L83</f>
        <v>0</v>
      </c>
    </row>
    <row r="48" s="57" customFormat="true" ht="15.75" hidden="false" customHeight="true" outlineLevel="0" collapsed="false">
      <c r="A48" s="47" t="s">
        <v>386</v>
      </c>
      <c r="B48" s="48" t="s">
        <v>427</v>
      </c>
      <c r="C48" s="54" t="n">
        <f aca="false">SUM(C43:C47)</f>
        <v>4666974</v>
      </c>
      <c r="D48" s="54" t="n">
        <f aca="false">SUM(D43:D47)</f>
        <v>3766659</v>
      </c>
      <c r="E48" s="54" t="n">
        <f aca="false">SUM(E43:E47)</f>
        <v>3562467</v>
      </c>
      <c r="F48" s="54" t="n">
        <f aca="false">SUM(F43:F47)</f>
        <v>4153440</v>
      </c>
      <c r="G48" s="54" t="n">
        <f aca="false">SUM(G43:G47)</f>
        <v>1511447</v>
      </c>
      <c r="H48" s="54" t="n">
        <f aca="false">SUM(H43:H47)</f>
        <v>3098228</v>
      </c>
      <c r="I48" s="54" t="n">
        <f aca="false">SUM(I43:I47)</f>
        <v>2526896</v>
      </c>
      <c r="J48" s="54" t="n">
        <f aca="false">SUM(J43:J47)</f>
        <v>2139916</v>
      </c>
      <c r="K48" s="54" t="n">
        <f aca="false">SUM(K43:K47)</f>
        <v>3591789</v>
      </c>
      <c r="L48" s="54" t="n">
        <f aca="false">SUM(L43:L47)</f>
        <v>1161567</v>
      </c>
    </row>
    <row r="49" s="57" customFormat="true" ht="15.75" hidden="false" customHeight="true" outlineLevel="0" collapsed="false">
      <c r="A49" s="52" t="s">
        <v>386</v>
      </c>
      <c r="B49" s="53" t="s">
        <v>428</v>
      </c>
      <c r="C49" s="54" t="n">
        <f aca="false">C41+C48</f>
        <v>4079790</v>
      </c>
      <c r="D49" s="54" t="n">
        <f aca="false">D41+D48</f>
        <v>3701003</v>
      </c>
      <c r="E49" s="54" t="n">
        <f aca="false">E41+E48</f>
        <v>2658767</v>
      </c>
      <c r="F49" s="54" t="n">
        <f aca="false">F41+F48</f>
        <v>-4203022</v>
      </c>
      <c r="G49" s="54" t="n">
        <f aca="false">G41+G48</f>
        <v>9993845</v>
      </c>
      <c r="H49" s="54" t="n">
        <f aca="false">H41+H48</f>
        <v>3286831</v>
      </c>
      <c r="I49" s="54" t="n">
        <f aca="false">I41+I48</f>
        <v>2625523</v>
      </c>
      <c r="J49" s="54" t="n">
        <f aca="false">J41+J48</f>
        <v>2244140</v>
      </c>
      <c r="K49" s="54" t="n">
        <f aca="false">K41+K48</f>
        <v>1720126</v>
      </c>
      <c r="L49" s="54" t="n">
        <f aca="false">L41+L48</f>
        <v>41983.0000000005</v>
      </c>
    </row>
    <row r="51" s="57" customFormat="true" ht="15.75" hidden="false" customHeight="true" outlineLevel="0" collapsed="false">
      <c r="A51" s="64"/>
      <c r="B51" s="48" t="s">
        <v>429</v>
      </c>
    </row>
    <row r="52" customFormat="false" ht="15.75" hidden="false" customHeight="true" outlineLevel="0" collapsed="false">
      <c r="A52" s="65" t="s">
        <v>379</v>
      </c>
      <c r="B52" s="66" t="s">
        <v>430</v>
      </c>
      <c r="C52" s="51" t="n">
        <f aca="false">RC!B31-RC!C31</f>
        <v>-34684</v>
      </c>
      <c r="D52" s="51" t="n">
        <f aca="false">RC!C31-RC!D31</f>
        <v>-65657</v>
      </c>
      <c r="E52" s="51" t="n">
        <f aca="false">RC!D31-RC!E31</f>
        <v>-846201</v>
      </c>
      <c r="F52" s="51" t="n">
        <f aca="false">RC!E31-RC!F31</f>
        <v>-8006464</v>
      </c>
      <c r="G52" s="51" t="n">
        <f aca="false">RC!F31-RC!G31</f>
        <v>8569598</v>
      </c>
      <c r="H52" s="51" t="n">
        <f aca="false">RC!G31-RC!H31</f>
        <v>145601</v>
      </c>
      <c r="I52" s="51" t="n">
        <f aca="false">RC!H31-RC!I31</f>
        <v>102633</v>
      </c>
      <c r="J52" s="51" t="n">
        <f aca="false">RC!I31-RC!J31</f>
        <v>66935</v>
      </c>
      <c r="K52" s="51" t="n">
        <f aca="false">RC!J31-RC!K31</f>
        <v>19960</v>
      </c>
      <c r="L52" s="51" t="n">
        <f aca="false">RC!K31-RC!L31</f>
        <v>59936</v>
      </c>
    </row>
    <row r="53" customFormat="false" ht="15.75" hidden="false" customHeight="true" outlineLevel="0" collapsed="false">
      <c r="A53" s="65" t="s">
        <v>384</v>
      </c>
      <c r="B53" s="67" t="s">
        <v>431</v>
      </c>
      <c r="C53" s="51" t="n">
        <f aca="false">-(RC!B71-RC!C71)</f>
        <v>-0</v>
      </c>
      <c r="D53" s="51" t="n">
        <f aca="false">-(RC!C71-RC!D71)</f>
        <v>-0</v>
      </c>
      <c r="E53" s="51" t="n">
        <f aca="false">-(RC!D71-RC!E71)</f>
        <v>-0</v>
      </c>
      <c r="F53" s="51" t="n">
        <f aca="false">-(RC!E71-RC!F71)</f>
        <v>-0</v>
      </c>
      <c r="G53" s="51" t="n">
        <f aca="false">-(RC!F71-RC!G71)</f>
        <v>-0</v>
      </c>
      <c r="H53" s="51" t="n">
        <f aca="false">-(RC!G71-RC!H71)</f>
        <v>-0</v>
      </c>
      <c r="I53" s="51" t="n">
        <f aca="false">-(RC!H71-RC!I71)</f>
        <v>-0</v>
      </c>
      <c r="J53" s="51" t="n">
        <f aca="false">-(RC!I71-RC!J71)</f>
        <v>-0</v>
      </c>
      <c r="K53" s="51" t="n">
        <f aca="false">-(RC!J71-RC!K71)</f>
        <v>-0</v>
      </c>
      <c r="L53" s="51" t="n">
        <f aca="false">-(RC!K71-RC!L71)</f>
        <v>-0</v>
      </c>
    </row>
    <row r="54" customFormat="false" ht="15.75" hidden="false" customHeight="true" outlineLevel="0" collapsed="false">
      <c r="A54" s="65" t="s">
        <v>386</v>
      </c>
      <c r="B54" s="67" t="s">
        <v>432</v>
      </c>
      <c r="C54" s="51" t="n">
        <f aca="false">C52+C53</f>
        <v>-34684</v>
      </c>
      <c r="D54" s="51" t="n">
        <f aca="false">D52+D53</f>
        <v>-65657</v>
      </c>
      <c r="E54" s="51" t="n">
        <f aca="false">E52+E53</f>
        <v>-846201</v>
      </c>
      <c r="F54" s="51" t="n">
        <f aca="false">F52+F53</f>
        <v>-8006464</v>
      </c>
      <c r="G54" s="51" t="n">
        <f aca="false">G52+G53</f>
        <v>8569598</v>
      </c>
      <c r="H54" s="51" t="n">
        <f aca="false">H52+H53</f>
        <v>145601</v>
      </c>
      <c r="I54" s="51" t="n">
        <f aca="false">I52+I53</f>
        <v>102633</v>
      </c>
      <c r="J54" s="51" t="n">
        <f aca="false">J52+J53</f>
        <v>66935</v>
      </c>
      <c r="K54" s="51" t="n">
        <f aca="false">K52+K53</f>
        <v>19960</v>
      </c>
      <c r="L54" s="51" t="n">
        <f aca="false">L52+L53</f>
        <v>59936</v>
      </c>
    </row>
    <row r="55" s="57" customFormat="true" ht="15.75" hidden="false" customHeight="true" outlineLevel="0" collapsed="false">
      <c r="A55" s="64" t="s">
        <v>386</v>
      </c>
      <c r="B55" s="68" t="s">
        <v>433</v>
      </c>
      <c r="C55" s="54" t="n">
        <f aca="false">C49</f>
        <v>4079790</v>
      </c>
      <c r="D55" s="54" t="n">
        <f aca="false">D49</f>
        <v>3701003</v>
      </c>
      <c r="E55" s="54" t="n">
        <f aca="false">E49</f>
        <v>2658767</v>
      </c>
      <c r="F55" s="54" t="n">
        <f aca="false">F49</f>
        <v>-4203022</v>
      </c>
      <c r="G55" s="54" t="n">
        <f aca="false">G49</f>
        <v>9993845</v>
      </c>
      <c r="H55" s="54" t="n">
        <f aca="false">H49</f>
        <v>3286831</v>
      </c>
      <c r="I55" s="54" t="n">
        <f aca="false">I49</f>
        <v>2625523</v>
      </c>
      <c r="J55" s="54" t="n">
        <f aca="false">J49</f>
        <v>2244140</v>
      </c>
      <c r="K55" s="54" t="n">
        <f aca="false">K49</f>
        <v>1720126</v>
      </c>
      <c r="L55" s="54" t="n">
        <f aca="false">L49</f>
        <v>41983.0000000005</v>
      </c>
    </row>
    <row r="56" s="57" customFormat="true" ht="15.75" hidden="false" customHeight="true" outlineLevel="0" collapsed="false">
      <c r="A56" s="64"/>
      <c r="B56" s="68" t="s">
        <v>434</v>
      </c>
      <c r="C56" s="54" t="n">
        <f aca="false">C54-C55</f>
        <v>-4114474</v>
      </c>
      <c r="D56" s="54" t="n">
        <f aca="false">D54-D55</f>
        <v>-3766660</v>
      </c>
      <c r="E56" s="54" t="n">
        <f aca="false">E54-E55</f>
        <v>-3504968</v>
      </c>
      <c r="F56" s="54" t="n">
        <f aca="false">F54-F55</f>
        <v>-3803442</v>
      </c>
      <c r="G56" s="54" t="n">
        <f aca="false">G54-G55</f>
        <v>-1424247</v>
      </c>
      <c r="H56" s="54" t="n">
        <f aca="false">H54-H55</f>
        <v>-3141230</v>
      </c>
      <c r="I56" s="54" t="n">
        <f aca="false">I54-I55</f>
        <v>-2522890</v>
      </c>
      <c r="J56" s="54" t="n">
        <f aca="false">J54-J55</f>
        <v>-2177205</v>
      </c>
      <c r="K56" s="54" t="n">
        <f aca="false">K54-K55</f>
        <v>-1700166</v>
      </c>
      <c r="L56" s="54" t="n">
        <f aca="false">L54-L55</f>
        <v>17952.9999999995</v>
      </c>
    </row>
    <row r="57" customFormat="false" ht="15.75" hidden="false" customHeight="true" outlineLevel="0" collapsed="false">
      <c r="A57" s="64"/>
      <c r="B57" s="68" t="s">
        <v>435</v>
      </c>
    </row>
    <row r="58" customFormat="false" ht="15.75" hidden="false" customHeight="true" outlineLevel="0" collapsed="false">
      <c r="A58" s="65" t="s">
        <v>379</v>
      </c>
      <c r="B58" s="67" t="s">
        <v>436</v>
      </c>
      <c r="C58" s="51" t="n">
        <f aca="false">C8</f>
        <v>4858411.73270809</v>
      </c>
      <c r="D58" s="51" t="n">
        <f aca="false">D8</f>
        <v>3789339.25991197</v>
      </c>
      <c r="E58" s="51" t="n">
        <f aca="false">E8</f>
        <v>2224551.88035897</v>
      </c>
      <c r="F58" s="51" t="n">
        <f aca="false">F8</f>
        <v>195460.570162735</v>
      </c>
      <c r="G58" s="51" t="n">
        <f aca="false">G8</f>
        <v>3320803.56002139</v>
      </c>
      <c r="H58" s="51" t="n">
        <f aca="false">H8</f>
        <v>-61234.098890765</v>
      </c>
      <c r="I58" s="51" t="n">
        <f aca="false">I8</f>
        <v>1674747.56693366</v>
      </c>
      <c r="J58" s="51" t="n">
        <f aca="false">J8</f>
        <v>939783.898617756</v>
      </c>
      <c r="K58" s="51" t="n">
        <f aca="false">K8</f>
        <v>887978.992613877</v>
      </c>
      <c r="L58" s="51" t="n">
        <f aca="false">L8</f>
        <v>954401.234070108</v>
      </c>
    </row>
    <row r="59" customFormat="false" ht="15.75" hidden="false" customHeight="true" outlineLevel="0" collapsed="false">
      <c r="A59" s="65" t="s">
        <v>384</v>
      </c>
      <c r="B59" s="67" t="s">
        <v>437</v>
      </c>
      <c r="C59" s="51" t="n">
        <f aca="false">-C6</f>
        <v>-2248638</v>
      </c>
      <c r="D59" s="51" t="n">
        <f aca="false">-D6</f>
        <v>-1814814</v>
      </c>
      <c r="E59" s="51" t="n">
        <f aca="false">-E6</f>
        <v>-1191708</v>
      </c>
      <c r="F59" s="51" t="n">
        <f aca="false">-F6</f>
        <v>0</v>
      </c>
      <c r="G59" s="51" t="n">
        <f aca="false">-G6</f>
        <v>-415221</v>
      </c>
      <c r="H59" s="51" t="n">
        <f aca="false">-H6</f>
        <v>-1322599</v>
      </c>
      <c r="I59" s="51" t="n">
        <f aca="false">-I6</f>
        <v>-832224</v>
      </c>
      <c r="J59" s="51" t="n">
        <f aca="false">-J6</f>
        <v>-461070</v>
      </c>
      <c r="K59" s="51" t="n">
        <f aca="false">-K6</f>
        <v>-348320</v>
      </c>
      <c r="L59" s="51" t="n">
        <f aca="false">-L6</f>
        <v>-233484</v>
      </c>
    </row>
    <row r="60" customFormat="false" ht="15.75" hidden="false" customHeight="true" outlineLevel="0" collapsed="false">
      <c r="A60" s="65" t="s">
        <v>384</v>
      </c>
      <c r="B60" s="67" t="s">
        <v>438</v>
      </c>
      <c r="C60" s="51" t="n">
        <f aca="false">(RC!B162-RC!C162)*-1</f>
        <v>7362</v>
      </c>
      <c r="D60" s="51" t="n">
        <f aca="false">(RC!C162-RC!D162)*-1</f>
        <v>-306901</v>
      </c>
      <c r="E60" s="51" t="n">
        <f aca="false">(RC!D162-RC!E162)*-1</f>
        <v>-6801360</v>
      </c>
      <c r="F60" s="51" t="n">
        <f aca="false">(RC!E162-RC!F162)*-1</f>
        <v>-20203168</v>
      </c>
      <c r="G60" s="51" t="n">
        <f aca="false">(RC!F162-RC!G162)*-1</f>
        <v>19787031</v>
      </c>
      <c r="H60" s="51" t="n">
        <f aca="false">(RC!G162-RC!H162)*-1</f>
        <v>-2586875</v>
      </c>
      <c r="I60" s="51" t="n">
        <f aca="false">(RC!H162-RC!I162)*-1</f>
        <v>-6928008</v>
      </c>
      <c r="J60" s="51" t="n">
        <f aca="false">(RC!I162-RC!J162)*-1</f>
        <v>-7708912</v>
      </c>
      <c r="K60" s="51" t="n">
        <f aca="false">(RC!J162-RC!K162)*-1</f>
        <v>-4111372</v>
      </c>
      <c r="L60" s="51" t="n">
        <f aca="false">(RC!K162-RC!L162)*-1</f>
        <v>-5378503</v>
      </c>
    </row>
    <row r="61" customFormat="false" ht="15.75" hidden="false" customHeight="true" outlineLevel="0" collapsed="false">
      <c r="A61" s="65" t="s">
        <v>384</v>
      </c>
      <c r="B61" s="67" t="s">
        <v>439</v>
      </c>
      <c r="C61" s="51" t="n">
        <f aca="false">(RC!B27-RC!C27)*-1</f>
        <v>-0</v>
      </c>
      <c r="D61" s="51" t="n">
        <f aca="false">(RC!C27-RC!D27)*-1</f>
        <v>-0</v>
      </c>
      <c r="E61" s="51" t="n">
        <f aca="false">(RC!D27-RC!E27)*-1</f>
        <v>-0</v>
      </c>
      <c r="F61" s="51" t="n">
        <f aca="false">(RC!E27-RC!F27)*-1</f>
        <v>-0</v>
      </c>
      <c r="G61" s="51" t="n">
        <f aca="false">(RC!F27-RC!G27)*-1</f>
        <v>-0</v>
      </c>
      <c r="H61" s="51" t="n">
        <f aca="false">(RC!G27-RC!H27)*-1</f>
        <v>-0</v>
      </c>
      <c r="I61" s="51" t="n">
        <f aca="false">(RC!H27-RC!I27)*-1</f>
        <v>-0</v>
      </c>
      <c r="J61" s="51" t="n">
        <f aca="false">(RC!I27-RC!J27)*-1</f>
        <v>-0</v>
      </c>
      <c r="K61" s="51" t="n">
        <f aca="false">(RC!J27-RC!K27)*-1</f>
        <v>-307</v>
      </c>
      <c r="L61" s="51" t="n">
        <f aca="false">(RC!K27-RC!L27)*-1</f>
        <v>-2831</v>
      </c>
    </row>
    <row r="62" customFormat="false" ht="15.75" hidden="false" customHeight="true" outlineLevel="0" collapsed="false">
      <c r="A62" s="65" t="s">
        <v>379</v>
      </c>
      <c r="B62" s="67" t="s">
        <v>440</v>
      </c>
      <c r="C62" s="51" t="n">
        <f aca="false">RC!B66-RC!C66</f>
        <v>0</v>
      </c>
      <c r="D62" s="51" t="n">
        <f aca="false">RC!C66-RC!D66</f>
        <v>0</v>
      </c>
      <c r="E62" s="51" t="n">
        <f aca="false">RC!D66-RC!E66</f>
        <v>0</v>
      </c>
      <c r="F62" s="51" t="n">
        <f aca="false">RC!E66-RC!F66</f>
        <v>0</v>
      </c>
      <c r="G62" s="51" t="n">
        <f aca="false">RC!F66-RC!G66</f>
        <v>0</v>
      </c>
      <c r="H62" s="51" t="n">
        <f aca="false">RC!G66-RC!H66</f>
        <v>0</v>
      </c>
      <c r="I62" s="51" t="n">
        <f aca="false">RC!H66-RC!I66</f>
        <v>0</v>
      </c>
      <c r="J62" s="51" t="n">
        <f aca="false">RC!I66-RC!J66</f>
        <v>0</v>
      </c>
      <c r="K62" s="51" t="n">
        <f aca="false">RC!J66-RC!K66</f>
        <v>0</v>
      </c>
      <c r="L62" s="51" t="n">
        <f aca="false">RC!K66-RC!L66</f>
        <v>0</v>
      </c>
    </row>
    <row r="63" customFormat="false" ht="15.75" hidden="false" customHeight="true" outlineLevel="0" collapsed="false">
      <c r="A63" s="65" t="s">
        <v>379</v>
      </c>
      <c r="B63" s="69" t="s">
        <v>441</v>
      </c>
      <c r="C63" s="51" t="n">
        <f aca="false">RC!B80-RC!C80</f>
        <v>0</v>
      </c>
      <c r="D63" s="51" t="n">
        <f aca="false">RC!C80-RC!D80</f>
        <v>0</v>
      </c>
      <c r="E63" s="51" t="n">
        <f aca="false">RC!D80-RC!E80</f>
        <v>0</v>
      </c>
      <c r="F63" s="51" t="n">
        <f aca="false">RC!E80-RC!F80</f>
        <v>0</v>
      </c>
      <c r="G63" s="51" t="n">
        <f aca="false">RC!F80-RC!G80</f>
        <v>0</v>
      </c>
      <c r="H63" s="51" t="n">
        <f aca="false">RC!G80-RC!H80</f>
        <v>0</v>
      </c>
      <c r="I63" s="51" t="n">
        <f aca="false">RC!H80-RC!I80</f>
        <v>0</v>
      </c>
      <c r="J63" s="51" t="n">
        <f aca="false">RC!I80-RC!J80</f>
        <v>0</v>
      </c>
      <c r="K63" s="51" t="n">
        <f aca="false">RC!J80-RC!K80</f>
        <v>0</v>
      </c>
      <c r="L63" s="51" t="n">
        <f aca="false">RC!K80-RC!L80</f>
        <v>0</v>
      </c>
    </row>
    <row r="64" customFormat="false" ht="15.75" hidden="false" customHeight="true" outlineLevel="0" collapsed="false">
      <c r="A64" s="65" t="s">
        <v>386</v>
      </c>
      <c r="B64" s="67" t="s">
        <v>442</v>
      </c>
      <c r="C64" s="51" t="n">
        <f aca="false">SUM(C58:C63)</f>
        <v>2617135.73270809</v>
      </c>
      <c r="D64" s="51" t="n">
        <f aca="false">SUM(D58:D63)</f>
        <v>1667624.25991197</v>
      </c>
      <c r="E64" s="51" t="n">
        <f aca="false">SUM(E58:E63)</f>
        <v>-5768516.11964104</v>
      </c>
      <c r="F64" s="51" t="n">
        <f aca="false">SUM(F58:F63)</f>
        <v>-20007707.4298373</v>
      </c>
      <c r="G64" s="51" t="n">
        <f aca="false">SUM(G58:G63)</f>
        <v>22692613.5600214</v>
      </c>
      <c r="H64" s="51" t="n">
        <f aca="false">SUM(H58:H63)</f>
        <v>-3970708.09889077</v>
      </c>
      <c r="I64" s="51" t="n">
        <f aca="false">SUM(I58:I63)</f>
        <v>-6085484.43306634</v>
      </c>
      <c r="J64" s="51" t="n">
        <f aca="false">SUM(J58:J63)</f>
        <v>-7230198.10138224</v>
      </c>
      <c r="K64" s="51" t="n">
        <f aca="false">SUM(K58:K63)</f>
        <v>-3572020.00738612</v>
      </c>
      <c r="L64" s="51" t="n">
        <f aca="false">SUM(L58:L63)</f>
        <v>-4660416.76592989</v>
      </c>
    </row>
    <row r="65" s="57" customFormat="true" ht="15.75" hidden="false" customHeight="true" outlineLevel="0" collapsed="false">
      <c r="A65" s="64" t="s">
        <v>386</v>
      </c>
      <c r="B65" s="68" t="s">
        <v>443</v>
      </c>
      <c r="C65" s="54" t="n">
        <f aca="false">C31</f>
        <v>2617135.73270809</v>
      </c>
      <c r="D65" s="54" t="n">
        <f aca="false">D31</f>
        <v>1667624.25991197</v>
      </c>
      <c r="E65" s="54" t="n">
        <f aca="false">E31</f>
        <v>-5768516.11964104</v>
      </c>
      <c r="F65" s="54" t="n">
        <f aca="false">F31</f>
        <v>-20007707.4298373</v>
      </c>
      <c r="G65" s="54" t="n">
        <f aca="false">G31</f>
        <v>22692613.5600214</v>
      </c>
      <c r="H65" s="54" t="n">
        <f aca="false">H31</f>
        <v>-3970708.09889077</v>
      </c>
      <c r="I65" s="54" t="n">
        <f aca="false">I31</f>
        <v>-6085484.43306634</v>
      </c>
      <c r="J65" s="54" t="n">
        <f aca="false">J31</f>
        <v>-7230198.10138224</v>
      </c>
      <c r="K65" s="54" t="n">
        <f aca="false">K31</f>
        <v>-3572020.00738612</v>
      </c>
      <c r="L65" s="54" t="n">
        <f aca="false">L31</f>
        <v>-4660416.76592989</v>
      </c>
    </row>
    <row r="66" s="57" customFormat="true" ht="15.75" hidden="false" customHeight="true" outlineLevel="0" collapsed="false">
      <c r="A66" s="64"/>
      <c r="B66" s="68" t="s">
        <v>444</v>
      </c>
      <c r="C66" s="54" t="n">
        <f aca="false">C64-C65</f>
        <v>0</v>
      </c>
      <c r="D66" s="54" t="n">
        <f aca="false">D64-D65</f>
        <v>0</v>
      </c>
      <c r="E66" s="54" t="n">
        <f aca="false">E64-E65</f>
        <v>0</v>
      </c>
      <c r="F66" s="54" t="n">
        <f aca="false">F64-F65</f>
        <v>0</v>
      </c>
      <c r="G66" s="54" t="n">
        <f aca="false">G64-G65</f>
        <v>0</v>
      </c>
      <c r="H66" s="54" t="n">
        <f aca="false">H64-H65</f>
        <v>0</v>
      </c>
      <c r="I66" s="54" t="n">
        <f aca="false">I64-I65</f>
        <v>0</v>
      </c>
      <c r="J66" s="54" t="n">
        <f aca="false">J64-J65</f>
        <v>0</v>
      </c>
      <c r="K66" s="54" t="n">
        <f aca="false">K64-K65</f>
        <v>0</v>
      </c>
      <c r="L66" s="54" t="n">
        <f aca="false">L64-L65</f>
        <v>0</v>
      </c>
    </row>
    <row r="67" customFormat="false" ht="15.75" hidden="false" customHeight="true" outlineLevel="0" collapsed="false">
      <c r="A67" s="64"/>
      <c r="B67" s="68" t="s">
        <v>445</v>
      </c>
    </row>
    <row r="68" customFormat="false" ht="15.75" hidden="false" customHeight="true" outlineLevel="0" collapsed="false">
      <c r="A68" s="65" t="s">
        <v>379</v>
      </c>
      <c r="B68" s="67" t="s">
        <v>446</v>
      </c>
      <c r="C68" s="51" t="n">
        <f aca="false">RC!B150</f>
        <v>365477</v>
      </c>
      <c r="D68" s="51" t="n">
        <f aca="false">RC!C150</f>
        <v>347815</v>
      </c>
      <c r="E68" s="51" t="n">
        <f aca="false">RC!D150</f>
        <v>261693</v>
      </c>
      <c r="F68" s="51" t="n">
        <f aca="false">RC!E150</f>
        <v>-298472</v>
      </c>
      <c r="G68" s="51" t="n">
        <f aca="false">RC!F150</f>
        <v>2379195</v>
      </c>
      <c r="H68" s="51" t="n">
        <f aca="false">RC!G150</f>
        <v>-1716981</v>
      </c>
      <c r="I68" s="51" t="n">
        <f aca="false">RC!H150</f>
        <v>618334</v>
      </c>
      <c r="J68" s="51" t="n">
        <f aca="false">RC!I150</f>
        <v>345686</v>
      </c>
      <c r="K68" s="51" t="n">
        <f aca="false">RC!J150</f>
        <v>494992</v>
      </c>
      <c r="L68" s="51" t="n">
        <f aca="false">RC!K150</f>
        <v>665646</v>
      </c>
    </row>
    <row r="69" customFormat="false" ht="15.75" hidden="false" customHeight="true" outlineLevel="0" collapsed="false">
      <c r="A69" s="65" t="s">
        <v>384</v>
      </c>
      <c r="B69" s="67" t="s">
        <v>447</v>
      </c>
      <c r="C69" s="51" t="n">
        <f aca="false">SUM(C60:C63)</f>
        <v>7362</v>
      </c>
      <c r="D69" s="51" t="n">
        <f aca="false">SUM(D60:D63)</f>
        <v>-306901</v>
      </c>
      <c r="E69" s="51" t="n">
        <f aca="false">SUM(E60:E63)</f>
        <v>-6801360</v>
      </c>
      <c r="F69" s="51" t="n">
        <f aca="false">SUM(F60:F63)</f>
        <v>-20203168</v>
      </c>
      <c r="G69" s="51" t="n">
        <f aca="false">SUM(G60:G63)</f>
        <v>19787031</v>
      </c>
      <c r="H69" s="51" t="n">
        <f aca="false">SUM(H60:H63)</f>
        <v>-2586875</v>
      </c>
      <c r="I69" s="51" t="n">
        <f aca="false">SUM(I60:I63)</f>
        <v>-6928008</v>
      </c>
      <c r="J69" s="51" t="n">
        <f aca="false">SUM(J60:J63)</f>
        <v>-7708912</v>
      </c>
      <c r="K69" s="51" t="n">
        <f aca="false">SUM(K60:K63)</f>
        <v>-4111679</v>
      </c>
      <c r="L69" s="51" t="n">
        <f aca="false">SUM(L60:L63)</f>
        <v>-5381334</v>
      </c>
    </row>
    <row r="70" customFormat="false" ht="15.75" hidden="false" customHeight="true" outlineLevel="0" collapsed="false">
      <c r="A70" s="65"/>
      <c r="B70" s="67" t="s">
        <v>448</v>
      </c>
      <c r="C70" s="51" t="n">
        <f aca="false">SUM(C71:C74)</f>
        <v>-960023</v>
      </c>
      <c r="D70" s="51" t="n">
        <f aca="false">SUM(D71:D74)</f>
        <v>-106570</v>
      </c>
      <c r="E70" s="51" t="n">
        <f aca="false">SUM(E71:E74)</f>
        <v>5635967</v>
      </c>
      <c r="F70" s="51" t="n">
        <f aca="false">SUM(F71:F74)</f>
        <v>12145178</v>
      </c>
      <c r="G70" s="51" t="n">
        <f aca="false">SUM(G71:G74)</f>
        <v>-13683828</v>
      </c>
      <c r="H70" s="51" t="n">
        <f aca="false">SUM(H71:H74)</f>
        <v>4492459</v>
      </c>
      <c r="I70" s="51" t="n">
        <f aca="false">SUM(I71:I74)</f>
        <v>6408301</v>
      </c>
      <c r="J70" s="51" t="n">
        <f aca="false">SUM(J71:J74)</f>
        <v>7467450</v>
      </c>
      <c r="K70" s="51" t="n">
        <f aca="false">SUM(K71:K74)</f>
        <v>1745024</v>
      </c>
      <c r="L70" s="51" t="n">
        <f aca="false">SUM(L71:L74)</f>
        <v>3596104</v>
      </c>
    </row>
    <row r="71" customFormat="false" ht="15.75" hidden="false" customHeight="true" outlineLevel="0" collapsed="false">
      <c r="A71" s="65"/>
      <c r="B71" s="67" t="s">
        <v>449</v>
      </c>
      <c r="C71" s="51" t="n">
        <f aca="false">RC!B69+RC!B70-RC!C69-RC!C70</f>
        <v>-960023</v>
      </c>
      <c r="D71" s="51" t="n">
        <f aca="false">RC!C69+RC!C70-RC!D69-RC!D70</f>
        <v>-106570</v>
      </c>
      <c r="E71" s="51" t="n">
        <f aca="false">RC!D69+RC!D70-RC!E69-RC!E70</f>
        <v>5635967</v>
      </c>
      <c r="F71" s="51" t="n">
        <f aca="false">RC!E69+RC!E70-RC!F69-RC!F70</f>
        <v>12145178</v>
      </c>
      <c r="G71" s="51" t="n">
        <f aca="false">RC!F69+RC!F70-RC!G69-RC!G70</f>
        <v>-13683828</v>
      </c>
      <c r="H71" s="51" t="n">
        <f aca="false">RC!G69+RC!G70-RC!H69-RC!H70</f>
        <v>4492459</v>
      </c>
      <c r="I71" s="51" t="n">
        <f aca="false">RC!H69+RC!H70-RC!I69-RC!I70</f>
        <v>6408301</v>
      </c>
      <c r="J71" s="51" t="n">
        <f aca="false">RC!I69+RC!I70-RC!J69-RC!J70</f>
        <v>7467450</v>
      </c>
      <c r="K71" s="51" t="n">
        <f aca="false">RC!J69+RC!J70-RC!K69-RC!K70</f>
        <v>1745024</v>
      </c>
      <c r="L71" s="51" t="n">
        <f aca="false">RC!K69+RC!K70-RC!L69-RC!L70</f>
        <v>3596104</v>
      </c>
    </row>
    <row r="72" customFormat="false" ht="15.75" hidden="false" customHeight="true" outlineLevel="0" collapsed="false">
      <c r="A72" s="65"/>
      <c r="B72" s="67" t="s">
        <v>450</v>
      </c>
      <c r="C72" s="51" t="n">
        <f aca="false">RC!B72-RC!C72</f>
        <v>0</v>
      </c>
      <c r="D72" s="51" t="n">
        <f aca="false">RC!C72-RC!D72</f>
        <v>0</v>
      </c>
      <c r="E72" s="51" t="n">
        <f aca="false">RC!D72-RC!E72</f>
        <v>0</v>
      </c>
      <c r="F72" s="51" t="n">
        <f aca="false">RC!E72-RC!F72</f>
        <v>0</v>
      </c>
      <c r="G72" s="51" t="n">
        <f aca="false">RC!F72-RC!G72</f>
        <v>0</v>
      </c>
      <c r="H72" s="51" t="n">
        <f aca="false">RC!G72-RC!H72</f>
        <v>0</v>
      </c>
      <c r="I72" s="51" t="n">
        <f aca="false">RC!H72-RC!I72</f>
        <v>0</v>
      </c>
      <c r="J72" s="51" t="n">
        <f aca="false">RC!I72-RC!J72</f>
        <v>0</v>
      </c>
      <c r="K72" s="51" t="n">
        <f aca="false">RC!J72-RC!K72</f>
        <v>0</v>
      </c>
      <c r="L72" s="51" t="n">
        <f aca="false">RC!K72-RC!L72</f>
        <v>0</v>
      </c>
    </row>
    <row r="73" customFormat="false" ht="15.75" hidden="false" customHeight="true" outlineLevel="0" collapsed="false">
      <c r="A73" s="65"/>
      <c r="B73" s="67" t="s">
        <v>451</v>
      </c>
      <c r="C73" s="51" t="n">
        <f aca="false">-(RC!B32-RC!C32)</f>
        <v>-0</v>
      </c>
      <c r="D73" s="51" t="n">
        <f aca="false">-(RC!C32-RC!D32)</f>
        <v>-0</v>
      </c>
      <c r="E73" s="51" t="n">
        <f aca="false">-(RC!D32-RC!E32)</f>
        <v>-0</v>
      </c>
      <c r="F73" s="51" t="n">
        <f aca="false">-(RC!E32-RC!F32)</f>
        <v>-0</v>
      </c>
      <c r="G73" s="51" t="n">
        <f aca="false">-(RC!F32-RC!G32)</f>
        <v>-0</v>
      </c>
      <c r="H73" s="51" t="n">
        <f aca="false">-(RC!G32-RC!H32)</f>
        <v>-0</v>
      </c>
      <c r="I73" s="51" t="n">
        <f aca="false">-(RC!H32-RC!I32)</f>
        <v>-0</v>
      </c>
      <c r="J73" s="51" t="n">
        <f aca="false">-(RC!I32-RC!J32)</f>
        <v>-0</v>
      </c>
      <c r="K73" s="51" t="n">
        <f aca="false">-(RC!J32-RC!K32)</f>
        <v>-0</v>
      </c>
      <c r="L73" s="51" t="n">
        <f aca="false">-(RC!K32-RC!L32)</f>
        <v>-0</v>
      </c>
    </row>
    <row r="74" customFormat="false" ht="15.75" hidden="false" customHeight="true" outlineLevel="0" collapsed="false">
      <c r="A74" s="65" t="s">
        <v>379</v>
      </c>
      <c r="B74" s="67" t="s">
        <v>438</v>
      </c>
      <c r="C74" s="51"/>
      <c r="D74" s="51"/>
      <c r="E74" s="51"/>
      <c r="F74" s="51"/>
      <c r="G74" s="51"/>
      <c r="H74" s="51"/>
      <c r="I74" s="51"/>
      <c r="J74" s="51"/>
      <c r="K74" s="51"/>
      <c r="L74" s="51"/>
    </row>
    <row r="75" customFormat="false" ht="15.75" hidden="false" customHeight="true" outlineLevel="0" collapsed="false">
      <c r="A75" s="65"/>
      <c r="B75" s="67" t="s">
        <v>442</v>
      </c>
      <c r="C75" s="51" t="n">
        <f aca="false">SUM(C68:C70)</f>
        <v>-587184</v>
      </c>
      <c r="D75" s="51" t="n">
        <f aca="false">SUM(D68:D70)</f>
        <v>-65656</v>
      </c>
      <c r="E75" s="51" t="n">
        <f aca="false">SUM(E68:E70)</f>
        <v>-903700</v>
      </c>
      <c r="F75" s="51" t="n">
        <f aca="false">SUM(F68:F70)</f>
        <v>-8356462</v>
      </c>
      <c r="G75" s="51" t="n">
        <f aca="false">SUM(G68:G70)</f>
        <v>8482398</v>
      </c>
      <c r="H75" s="51" t="n">
        <f aca="false">SUM(H68:H70)</f>
        <v>188603</v>
      </c>
      <c r="I75" s="51" t="n">
        <f aca="false">SUM(I68:I70)</f>
        <v>98627</v>
      </c>
      <c r="J75" s="51" t="n">
        <f aca="false">SUM(J68:J70)</f>
        <v>104224</v>
      </c>
      <c r="K75" s="51" t="n">
        <f aca="false">SUM(K68:K70)</f>
        <v>-1871663</v>
      </c>
      <c r="L75" s="51" t="n">
        <f aca="false">SUM(L68:L70)</f>
        <v>-1119584</v>
      </c>
    </row>
    <row r="76" s="57" customFormat="true" ht="15.75" hidden="false" customHeight="true" outlineLevel="0" collapsed="false">
      <c r="A76" s="64" t="s">
        <v>386</v>
      </c>
      <c r="B76" s="68" t="s">
        <v>452</v>
      </c>
      <c r="C76" s="54" t="n">
        <f aca="false">C41</f>
        <v>-587184</v>
      </c>
      <c r="D76" s="54" t="n">
        <f aca="false">D41</f>
        <v>-65656.0000000002</v>
      </c>
      <c r="E76" s="54" t="n">
        <f aca="false">E41</f>
        <v>-903700</v>
      </c>
      <c r="F76" s="54" t="n">
        <f aca="false">F41</f>
        <v>-8356462</v>
      </c>
      <c r="G76" s="54" t="n">
        <f aca="false">G41</f>
        <v>8482398</v>
      </c>
      <c r="H76" s="54" t="n">
        <f aca="false">H41</f>
        <v>188603</v>
      </c>
      <c r="I76" s="54" t="n">
        <f aca="false">I41</f>
        <v>98627</v>
      </c>
      <c r="J76" s="54" t="n">
        <f aca="false">J41</f>
        <v>104224</v>
      </c>
      <c r="K76" s="54" t="n">
        <f aca="false">K41</f>
        <v>-1871663</v>
      </c>
      <c r="L76" s="54" t="n">
        <f aca="false">L41</f>
        <v>-1119584</v>
      </c>
    </row>
    <row r="77" s="57" customFormat="true" ht="15.75" hidden="false" customHeight="true" outlineLevel="0" collapsed="false">
      <c r="A77" s="64"/>
      <c r="B77" s="68" t="s">
        <v>453</v>
      </c>
      <c r="C77" s="54" t="n">
        <f aca="false">C75-C76</f>
        <v>0</v>
      </c>
      <c r="D77" s="54" t="n">
        <f aca="false">D75-D76</f>
        <v>0</v>
      </c>
      <c r="E77" s="54" t="n">
        <f aca="false">E75-E76</f>
        <v>0</v>
      </c>
      <c r="F77" s="54" t="n">
        <f aca="false">F75-F76</f>
        <v>0</v>
      </c>
      <c r="G77" s="54" t="n">
        <f aca="false">G75-G76</f>
        <v>0</v>
      </c>
      <c r="H77" s="54" t="n">
        <f aca="false">H75-H76</f>
        <v>0</v>
      </c>
      <c r="I77" s="54" t="n">
        <f aca="false">I75-I76</f>
        <v>0</v>
      </c>
      <c r="J77" s="54" t="n">
        <f aca="false">J75-J76</f>
        <v>0</v>
      </c>
      <c r="K77" s="54" t="n">
        <f aca="false">K75-K76</f>
        <v>0</v>
      </c>
      <c r="L77" s="54" t="n">
        <f aca="false">L75-L76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223"/>
  <sheetViews>
    <sheetView showFormulas="false" showGridLines="true" showRowColHeaders="true" showZeros="true" rightToLeft="false" tabSelected="false" showOutlineSymbols="true" defaultGridColor="true" view="normal" topLeftCell="A1" colorId="64" zoomScale="109" zoomScaleNormal="109" zoomScalePageLayoutView="100" workbookViewId="0">
      <selection pane="topLeft" activeCell="A216" activeCellId="0" sqref="A216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44" width="46.33"/>
    <col collapsed="false" customWidth="true" hidden="false" outlineLevel="0" max="2" min="2" style="44" width="13.5"/>
    <col collapsed="false" customWidth="false" hidden="false" outlineLevel="0" max="16384" min="3" style="44" width="12.67"/>
  </cols>
  <sheetData>
    <row r="1" s="70" customFormat="true" ht="18" hidden="false" customHeight="true" outlineLevel="0" collapsed="false">
      <c r="A1" s="70" t="s">
        <v>454</v>
      </c>
      <c r="B1" s="70" t="n">
        <f aca="false">RF!C1</f>
        <v>2024</v>
      </c>
      <c r="C1" s="70" t="n">
        <f aca="false">RF!D1</f>
        <v>2023</v>
      </c>
      <c r="D1" s="70" t="n">
        <f aca="false">RF!E1</f>
        <v>2022</v>
      </c>
      <c r="E1" s="70" t="n">
        <f aca="false">RF!F1</f>
        <v>2021</v>
      </c>
      <c r="F1" s="70" t="n">
        <f aca="false">RF!G1</f>
        <v>2020</v>
      </c>
      <c r="G1" s="70" t="n">
        <f aca="false">RF!H1</f>
        <v>2019</v>
      </c>
      <c r="H1" s="70" t="n">
        <f aca="false">RF!I1</f>
        <v>2018</v>
      </c>
      <c r="I1" s="70" t="n">
        <f aca="false">RF!J1</f>
        <v>2017</v>
      </c>
      <c r="J1" s="70" t="n">
        <f aca="false">RF!K1</f>
        <v>2016</v>
      </c>
      <c r="K1" s="70" t="n">
        <f aca="false">RF!L1</f>
        <v>2015</v>
      </c>
    </row>
    <row r="2" customFormat="false" ht="15.75" hidden="false" customHeight="true" outlineLevel="0" collapsed="false">
      <c r="A2" s="44" t="s">
        <v>455</v>
      </c>
    </row>
    <row r="3" customFormat="false" ht="15.75" hidden="false" customHeight="true" outlineLevel="0" collapsed="false">
      <c r="A3" s="44" t="s">
        <v>456</v>
      </c>
      <c r="B3" s="71" t="n">
        <f aca="false">RC!B131+RC!B140+RC!B144</f>
        <v>518841</v>
      </c>
      <c r="C3" s="71" t="n">
        <f aca="false">RC!C131+RC!C140+RC!C144</f>
        <v>386023</v>
      </c>
      <c r="D3" s="71" t="n">
        <f aca="false">RC!D131+RC!D140+RC!D144</f>
        <v>260638</v>
      </c>
      <c r="E3" s="71" t="n">
        <f aca="false">RC!E131+RC!E140+RC!E144</f>
        <v>-536517</v>
      </c>
      <c r="F3" s="71" t="n">
        <f aca="false">RC!F131+RC!F140+RC!F144</f>
        <v>2410624</v>
      </c>
      <c r="G3" s="71" t="n">
        <f aca="false">RC!G131+RC!G140+RC!G144</f>
        <v>-1773745</v>
      </c>
      <c r="H3" s="71" t="n">
        <f aca="false">RC!H131+RC!H140+RC!H144</f>
        <v>624611</v>
      </c>
      <c r="I3" s="71" t="n">
        <f aca="false">RC!I131+RC!I140+RC!I144</f>
        <v>453176</v>
      </c>
      <c r="J3" s="71" t="n">
        <f aca="false">RC!J131+RC!J140+RC!J144</f>
        <v>749649</v>
      </c>
      <c r="K3" s="71" t="n">
        <f aca="false">RC!K131+RC!K140+RC!K144</f>
        <v>892003</v>
      </c>
    </row>
    <row r="4" customFormat="false" ht="15.75" hidden="false" customHeight="true" outlineLevel="0" collapsed="false">
      <c r="A4" s="44" t="s">
        <v>457</v>
      </c>
      <c r="B4" s="71" t="n">
        <f aca="false">RC!B131</f>
        <v>2250947</v>
      </c>
      <c r="C4" s="71" t="n">
        <f aca="false">RC!C131</f>
        <v>1866122</v>
      </c>
      <c r="D4" s="71" t="n">
        <f aca="false">RC!D131</f>
        <v>1034823</v>
      </c>
      <c r="E4" s="71" t="n">
        <f aca="false">RC!E131</f>
        <v>-194384</v>
      </c>
      <c r="F4" s="71" t="n">
        <f aca="false">RC!F131</f>
        <v>2930237</v>
      </c>
      <c r="G4" s="71" t="n">
        <f aca="false">RC!G131</f>
        <v>-1450973</v>
      </c>
      <c r="H4" s="71" t="n">
        <f aca="false">RC!H131</f>
        <v>846537</v>
      </c>
      <c r="I4" s="71" t="n">
        <f aca="false">RC!I131</f>
        <v>560700</v>
      </c>
      <c r="J4" s="71" t="n">
        <f aca="false">RC!J131</f>
        <v>782945</v>
      </c>
      <c r="K4" s="71" t="n">
        <f aca="false">RC!K131</f>
        <v>933365</v>
      </c>
    </row>
    <row r="5" customFormat="false" ht="15.75" hidden="false" customHeight="true" outlineLevel="0" collapsed="false">
      <c r="A5" s="44" t="s">
        <v>458</v>
      </c>
      <c r="B5" s="71" t="n">
        <f aca="false">RC!B123</f>
        <v>3135807</v>
      </c>
      <c r="C5" s="71" t="n">
        <f aca="false">RC!C123</f>
        <v>2882835</v>
      </c>
      <c r="D5" s="71" t="n">
        <f aca="false">RC!D123</f>
        <v>1369643</v>
      </c>
      <c r="E5" s="71" t="n">
        <f aca="false">RC!E123</f>
        <v>-47495</v>
      </c>
      <c r="F5" s="71" t="n">
        <f aca="false">RC!F123</f>
        <v>21091669</v>
      </c>
      <c r="G5" s="71" t="n">
        <f aca="false">RC!G123</f>
        <v>148748</v>
      </c>
      <c r="H5" s="71" t="n">
        <f aca="false">RC!H123</f>
        <v>1651634</v>
      </c>
      <c r="I5" s="71" t="n">
        <f aca="false">RC!I123</f>
        <v>1169536</v>
      </c>
      <c r="J5" s="71" t="n">
        <f aca="false">RC!J123</f>
        <v>1382592</v>
      </c>
      <c r="K5" s="71" t="n">
        <f aca="false">RC!K123</f>
        <v>1367822</v>
      </c>
    </row>
    <row r="6" customFormat="false" ht="15.75" hidden="false" customHeight="true" outlineLevel="0" collapsed="false">
      <c r="A6" s="44" t="s">
        <v>459</v>
      </c>
      <c r="B6" s="71" t="n">
        <f aca="false">RC!B150</f>
        <v>365477</v>
      </c>
      <c r="C6" s="71" t="n">
        <f aca="false">RC!C150</f>
        <v>347815</v>
      </c>
      <c r="D6" s="71" t="n">
        <f aca="false">RC!D150</f>
        <v>261693</v>
      </c>
      <c r="E6" s="71" t="n">
        <f aca="false">RC!E150</f>
        <v>-298472</v>
      </c>
      <c r="F6" s="71" t="n">
        <f aca="false">RC!F150</f>
        <v>2379195</v>
      </c>
      <c r="G6" s="71" t="n">
        <f aca="false">RC!G150</f>
        <v>-1716981</v>
      </c>
      <c r="H6" s="71" t="n">
        <f aca="false">RC!H150</f>
        <v>618334</v>
      </c>
      <c r="I6" s="71" t="n">
        <f aca="false">RC!I150</f>
        <v>345686</v>
      </c>
      <c r="J6" s="71" t="n">
        <f aca="false">RC!J150</f>
        <v>494992</v>
      </c>
      <c r="K6" s="71" t="n">
        <f aca="false">RC!K150</f>
        <v>665646</v>
      </c>
    </row>
    <row r="7" customFormat="false" ht="15.75" hidden="false" customHeight="true" outlineLevel="0" collapsed="false">
      <c r="A7" s="44" t="s">
        <v>460</v>
      </c>
      <c r="B7" s="71" t="n">
        <f aca="false">RC!B111</f>
        <v>32682165</v>
      </c>
      <c r="C7" s="71" t="n">
        <f aca="false">RC!C111</f>
        <v>26863768</v>
      </c>
      <c r="D7" s="71" t="n">
        <f aca="false">RC!D111</f>
        <v>18270743</v>
      </c>
      <c r="E7" s="71" t="n">
        <f aca="false">RC!E111</f>
        <v>15960871</v>
      </c>
      <c r="F7" s="71" t="n">
        <f aca="false">RC!F111</f>
        <v>45566501</v>
      </c>
      <c r="G7" s="71" t="n">
        <f aca="false">RC!G111</f>
        <v>23432087</v>
      </c>
      <c r="H7" s="71" t="n">
        <f aca="false">RC!H111</f>
        <v>20383024</v>
      </c>
      <c r="I7" s="71" t="n">
        <f aca="false">RC!I111</f>
        <v>17823677</v>
      </c>
      <c r="J7" s="71" t="n">
        <f aca="false">RC!J111</f>
        <v>17354714</v>
      </c>
      <c r="K7" s="71" t="n">
        <f aca="false">RC!K111</f>
        <v>16814530</v>
      </c>
    </row>
    <row r="8" customFormat="false" ht="15.75" hidden="false" customHeight="true" outlineLevel="0" collapsed="false">
      <c r="A8" s="44" t="s">
        <v>461</v>
      </c>
      <c r="B8" s="71" t="n">
        <f aca="false">RC!C111</f>
        <v>26863768</v>
      </c>
      <c r="C8" s="71" t="n">
        <f aca="false">RC!D111</f>
        <v>18270743</v>
      </c>
      <c r="D8" s="71" t="n">
        <f aca="false">RC!E111</f>
        <v>15960871</v>
      </c>
      <c r="E8" s="71" t="n">
        <f aca="false">RC!F111</f>
        <v>45566501</v>
      </c>
      <c r="F8" s="71" t="n">
        <f aca="false">RC!G111</f>
        <v>23432087</v>
      </c>
      <c r="G8" s="71" t="n">
        <f aca="false">RC!H111</f>
        <v>20383024</v>
      </c>
      <c r="H8" s="71" t="n">
        <f aca="false">RC!I111</f>
        <v>17823677</v>
      </c>
      <c r="I8" s="71" t="n">
        <f aca="false">RC!J111</f>
        <v>17354714</v>
      </c>
      <c r="J8" s="71" t="n">
        <f aca="false">RC!K111</f>
        <v>16814530</v>
      </c>
      <c r="K8" s="71" t="n">
        <f aca="false">RC!L111</f>
        <v>0</v>
      </c>
    </row>
    <row r="9" customFormat="false" ht="15.75" hidden="false" customHeight="true" outlineLevel="0" collapsed="false">
      <c r="A9" s="44" t="s">
        <v>462</v>
      </c>
      <c r="B9" s="71" t="n">
        <f aca="false">B7*1.22/365</f>
        <v>109239.017260274</v>
      </c>
      <c r="C9" s="71" t="n">
        <f aca="false">C7*1.22/365</f>
        <v>89791.2245479452</v>
      </c>
      <c r="D9" s="71" t="n">
        <f aca="false">D7*1.22/365</f>
        <v>61069.3327671233</v>
      </c>
      <c r="E9" s="71" t="n">
        <f aca="false">E7*1.22/365</f>
        <v>53348.6647123288</v>
      </c>
      <c r="F9" s="71" t="n">
        <f aca="false">F7*1.22/365</f>
        <v>152304.46909589</v>
      </c>
      <c r="G9" s="71" t="n">
        <f aca="false">G7*1.22/365</f>
        <v>78320.9483287671</v>
      </c>
      <c r="H9" s="71" t="n">
        <f aca="false">H7*1.22/365</f>
        <v>68129.5596712329</v>
      </c>
      <c r="I9" s="71" t="n">
        <f aca="false">I7*1.22/365</f>
        <v>59575.0299726027</v>
      </c>
      <c r="J9" s="71" t="n">
        <f aca="false">J7*1.22/365</f>
        <v>58007.5372054795</v>
      </c>
      <c r="K9" s="71" t="n">
        <f aca="false">K7*1.22/365</f>
        <v>56201.9906849315</v>
      </c>
    </row>
    <row r="10" customFormat="false" ht="15.75" hidden="false" customHeight="true" outlineLevel="0" collapsed="false">
      <c r="A10" s="44" t="s">
        <v>463</v>
      </c>
      <c r="B10" s="71" t="n">
        <f aca="false">RC!B116</f>
        <v>-27662982</v>
      </c>
      <c r="C10" s="71" t="n">
        <f aca="false">RC!C116</f>
        <v>-24279405</v>
      </c>
      <c r="D10" s="71" t="n">
        <f aca="false">RC!D116</f>
        <v>-19789779</v>
      </c>
      <c r="E10" s="71" t="n">
        <f aca="false">RC!E116</f>
        <v>-14698142</v>
      </c>
      <c r="F10" s="71" t="n">
        <f aca="false">RC!F116</f>
        <v>-16929962</v>
      </c>
      <c r="G10" s="71" t="n">
        <f aca="false">RC!G116</f>
        <v>-21900855</v>
      </c>
      <c r="H10" s="71" t="n">
        <f aca="false">RC!H116</f>
        <v>-17869068</v>
      </c>
      <c r="I10" s="71" t="n">
        <f aca="false">RC!I116</f>
        <v>-15464170</v>
      </c>
      <c r="J10" s="71" t="n">
        <f aca="false">RC!J116</f>
        <v>-14422471</v>
      </c>
      <c r="K10" s="71" t="n">
        <f aca="false">RC!K116</f>
        <v>-13379820</v>
      </c>
    </row>
    <row r="11" customFormat="false" ht="15.75" hidden="false" customHeight="true" outlineLevel="0" collapsed="false">
      <c r="A11" s="44" t="s">
        <v>464</v>
      </c>
      <c r="B11" s="71" t="n">
        <f aca="false">RC!B116*1.22/365</f>
        <v>-92462.5699726027</v>
      </c>
      <c r="C11" s="71" t="n">
        <f aca="false">RC!C116*1.22/365</f>
        <v>-81153.0797260274</v>
      </c>
      <c r="D11" s="71" t="n">
        <f aca="false">RC!D116*1.22/365</f>
        <v>-66146.6585753425</v>
      </c>
      <c r="E11" s="71" t="n">
        <f aca="false">RC!E116*1.22/365</f>
        <v>-49128.0362739726</v>
      </c>
      <c r="F11" s="71" t="n">
        <f aca="false">RC!F116*1.22/365</f>
        <v>-56587.8181917808</v>
      </c>
      <c r="G11" s="71" t="n">
        <f aca="false">RC!G116*1.22/365</f>
        <v>-73202.8578082192</v>
      </c>
      <c r="H11" s="71" t="n">
        <f aca="false">RC!H116*1.22/365</f>
        <v>-59726.7478356164</v>
      </c>
      <c r="I11" s="71" t="n">
        <f aca="false">RC!I116*1.22/365</f>
        <v>-51688.458630137</v>
      </c>
      <c r="J11" s="71" t="n">
        <f aca="false">RC!J116*1.22/365</f>
        <v>-48206.6153972603</v>
      </c>
      <c r="K11" s="71" t="n">
        <f aca="false">RC!K116*1.22/365</f>
        <v>-44721.5901369863</v>
      </c>
    </row>
    <row r="12" customFormat="false" ht="15.75" hidden="false" customHeight="true" outlineLevel="0" collapsed="false">
      <c r="A12" s="44" t="s">
        <v>465</v>
      </c>
      <c r="B12" s="71" t="n">
        <f aca="false">AVERAGE(RC!B120:C120)/365</f>
        <v>-66731.2178082192</v>
      </c>
      <c r="C12" s="71" t="n">
        <f aca="false">AVERAGE(RC!C120:D120)/365</f>
        <v>-50409.8835616438</v>
      </c>
      <c r="D12" s="71" t="n">
        <f aca="false">AVERAGE(RC!D120:E120)/365</f>
        <v>-40704.9068493151</v>
      </c>
      <c r="E12" s="71" t="n">
        <f aca="false">AVERAGE(RC!E120:F120)/365</f>
        <v>-51122.8479452055</v>
      </c>
      <c r="F12" s="71" t="n">
        <f aca="false">AVERAGE(RC!F120:G120)/365</f>
        <v>-58380.7191780822</v>
      </c>
      <c r="G12" s="71" t="n">
        <f aca="false">AVERAGE(RC!G120:H120)/365</f>
        <v>-49637.1589041096</v>
      </c>
      <c r="H12" s="71" t="n">
        <f aca="false">AVERAGE(RC!H120:I120)/365</f>
        <v>-42236.6753424658</v>
      </c>
      <c r="I12" s="71" t="n">
        <f aca="false">AVERAGE(RC!I120:J120)/365</f>
        <v>-39687.1657534247</v>
      </c>
      <c r="J12" s="71" t="n">
        <f aca="false">AVERAGE(RC!J120:K120)/365</f>
        <v>-38640.6397260274</v>
      </c>
      <c r="K12" s="71" t="n">
        <f aca="false">AVERAGE(RC!K120:L120)/365</f>
        <v>-38073.0191780822</v>
      </c>
    </row>
    <row r="13" customFormat="false" ht="15.75" hidden="false" customHeight="true" outlineLevel="0" collapsed="false">
      <c r="A13" s="44" t="s">
        <v>466</v>
      </c>
      <c r="B13" s="71" t="n">
        <f aca="false">AVERAGE(RC!B122:C122)/365</f>
        <v>-6593.83835616438</v>
      </c>
      <c r="C13" s="71" t="n">
        <f aca="false">AVERAGE(RC!C122:D122)/365</f>
        <v>-5592.90136986301</v>
      </c>
      <c r="D13" s="71" t="n">
        <f aca="false">AVERAGE(RC!D122:E122)/365</f>
        <v>-4376.55342465753</v>
      </c>
      <c r="E13" s="71" t="n">
        <f aca="false">AVERAGE(RC!E122:F122)/365</f>
        <v>-4333.58767123288</v>
      </c>
      <c r="F13" s="71" t="n">
        <f aca="false">AVERAGE(RC!F122:G122)/365</f>
        <v>-7041.43287671233</v>
      </c>
      <c r="G13" s="71" t="n">
        <f aca="false">AVERAGE(RC!G122:H122)/365</f>
        <v>-7917.26438356164</v>
      </c>
      <c r="H13" s="71" t="n">
        <f aca="false">AVERAGE(RC!H122:I122)/365</f>
        <v>-6236.65479452055</v>
      </c>
      <c r="I13" s="71" t="n">
        <f aca="false">AVERAGE(RC!I122:J122)/365</f>
        <v>-5006.34520547945</v>
      </c>
      <c r="J13" s="71" t="n">
        <f aca="false">AVERAGE(RC!J122:K122)/365</f>
        <v>-4398.85342465754</v>
      </c>
      <c r="K13" s="71" t="n">
        <f aca="false">AVERAGE(RC!K122:L122)/365</f>
        <v>-4246.72876712329</v>
      </c>
    </row>
    <row r="14" customFormat="false" ht="15.75" hidden="false" customHeight="true" outlineLevel="0" collapsed="false">
      <c r="A14" s="44" t="s">
        <v>467</v>
      </c>
      <c r="B14" s="71" t="n">
        <f aca="false">AVERAGE(RC!B93,RC!C93)</f>
        <v>34234387</v>
      </c>
      <c r="C14" s="71" t="n">
        <f aca="false">AVERAGE(RC!C93,RC!D93)</f>
        <v>34084617.5</v>
      </c>
      <c r="D14" s="71" t="n">
        <f aca="false">AVERAGE(RC!D93,RC!E93)</f>
        <v>30530487</v>
      </c>
      <c r="E14" s="71" t="n">
        <f aca="false">AVERAGE(RC!E93,RC!F93)</f>
        <v>17028223</v>
      </c>
      <c r="F14" s="71" t="n">
        <f aca="false">AVERAGE(RC!F93,RC!G93)</f>
        <v>16820154.5</v>
      </c>
      <c r="G14" s="71" t="n">
        <f aca="false">AVERAGE(RC!G93,RC!H93)</f>
        <v>25420232.5</v>
      </c>
      <c r="H14" s="71" t="n">
        <f aca="false">AVERAGE(RC!H93,RC!I93)</f>
        <v>20662791</v>
      </c>
      <c r="I14" s="71" t="n">
        <f aca="false">AVERAGE(RC!I93,RC!J93)</f>
        <v>13344331</v>
      </c>
      <c r="J14" s="71" t="n">
        <f aca="false">AVERAGE(RC!J93,RC!K93)</f>
        <v>7434189</v>
      </c>
      <c r="K14" s="71" t="n">
        <f aca="false">AVERAGE(RC!K93,RC!L93)</f>
        <v>5378503</v>
      </c>
    </row>
    <row r="15" customFormat="false" ht="15.75" hidden="false" customHeight="true" outlineLevel="0" collapsed="false">
      <c r="A15" s="44" t="s">
        <v>468</v>
      </c>
      <c r="B15" s="71" t="n">
        <f aca="false">RC!C93</f>
        <v>34238068</v>
      </c>
      <c r="C15" s="71" t="n">
        <f aca="false">RC!D93</f>
        <v>33931167</v>
      </c>
      <c r="D15" s="71" t="n">
        <f aca="false">RC!E93</f>
        <v>27129807</v>
      </c>
      <c r="E15" s="71" t="n">
        <f aca="false">RC!F93</f>
        <v>6926639</v>
      </c>
      <c r="F15" s="71" t="n">
        <f aca="false">RC!G93</f>
        <v>26713670</v>
      </c>
      <c r="G15" s="71" t="n">
        <f aca="false">RC!H93</f>
        <v>24126795</v>
      </c>
      <c r="H15" s="71" t="n">
        <f aca="false">RC!I93</f>
        <v>17198787</v>
      </c>
      <c r="I15" s="71" t="n">
        <f aca="false">RC!J93</f>
        <v>9489875</v>
      </c>
      <c r="J15" s="71" t="n">
        <f aca="false">RC!K93</f>
        <v>5378503</v>
      </c>
      <c r="K15" s="71" t="n">
        <f aca="false">RC!L93</f>
        <v>0</v>
      </c>
    </row>
    <row r="16" customFormat="false" ht="15.75" hidden="false" customHeight="true" outlineLevel="0" collapsed="false">
      <c r="A16" s="44" t="s">
        <v>469</v>
      </c>
      <c r="B16" s="71" t="n">
        <f aca="false">RC!B93</f>
        <v>34230706</v>
      </c>
      <c r="C16" s="71" t="n">
        <f aca="false">RC!C93</f>
        <v>34238068</v>
      </c>
      <c r="D16" s="71" t="n">
        <f aca="false">RC!D93</f>
        <v>33931167</v>
      </c>
      <c r="E16" s="71" t="n">
        <f aca="false">RC!E93</f>
        <v>27129807</v>
      </c>
      <c r="F16" s="71" t="n">
        <f aca="false">RC!F93</f>
        <v>6926639</v>
      </c>
      <c r="G16" s="71" t="n">
        <f aca="false">RC!G93</f>
        <v>26713670</v>
      </c>
      <c r="H16" s="71" t="n">
        <f aca="false">RC!H93</f>
        <v>24126795</v>
      </c>
      <c r="I16" s="71" t="n">
        <f aca="false">RC!I93</f>
        <v>17198787</v>
      </c>
      <c r="J16" s="71" t="n">
        <f aca="false">RC!J93</f>
        <v>9489875</v>
      </c>
      <c r="K16" s="71" t="n">
        <f aca="false">RC!K93</f>
        <v>5378503</v>
      </c>
    </row>
    <row r="17" customFormat="false" ht="15.75" hidden="false" customHeight="true" outlineLevel="0" collapsed="false">
      <c r="A17" s="44" t="s">
        <v>470</v>
      </c>
      <c r="B17" s="71" t="n">
        <f aca="false">RC!B144</f>
        <v>153</v>
      </c>
      <c r="C17" s="71" t="n">
        <f aca="false">RC!C144</f>
        <v>103</v>
      </c>
      <c r="D17" s="71" t="n">
        <f aca="false">RC!D144</f>
        <v>100</v>
      </c>
      <c r="E17" s="71" t="n">
        <f aca="false">RC!E144</f>
        <v>0</v>
      </c>
      <c r="F17" s="71" t="n">
        <f aca="false">RC!F144</f>
        <v>0</v>
      </c>
      <c r="G17" s="71" t="n">
        <f aca="false">RC!G144</f>
        <v>45</v>
      </c>
      <c r="H17" s="71" t="n">
        <f aca="false">RC!H144</f>
        <v>33</v>
      </c>
      <c r="I17" s="71" t="n">
        <f aca="false">RC!I144</f>
        <v>0</v>
      </c>
      <c r="J17" s="71" t="n">
        <f aca="false">RC!J144</f>
        <v>45</v>
      </c>
      <c r="K17" s="71" t="n">
        <f aca="false">RC!K144</f>
        <v>45</v>
      </c>
    </row>
    <row r="18" customFormat="false" ht="15.75" hidden="false" customHeight="true" outlineLevel="0" collapsed="false">
      <c r="A18" s="44" t="s">
        <v>471</v>
      </c>
      <c r="B18" s="71" t="n">
        <f aca="false">AVERAGE(RC!B94,RC!C94)</f>
        <v>3138</v>
      </c>
      <c r="C18" s="71" t="n">
        <f aca="false">AVERAGE(RC!C94,RC!D94)</f>
        <v>3138</v>
      </c>
      <c r="D18" s="71" t="n">
        <f aca="false">AVERAGE(RC!D94,RC!E94)</f>
        <v>3138</v>
      </c>
      <c r="E18" s="71" t="n">
        <f aca="false">AVERAGE(RC!E94,RC!F94)</f>
        <v>3138</v>
      </c>
      <c r="F18" s="71" t="n">
        <f aca="false">AVERAGE(RC!F94,RC!G94)</f>
        <v>3138</v>
      </c>
      <c r="G18" s="71" t="n">
        <f aca="false">AVERAGE(RC!G94,RC!H94)</f>
        <v>3138</v>
      </c>
      <c r="H18" s="71" t="n">
        <f aca="false">AVERAGE(RC!H94,RC!I94)</f>
        <v>3138</v>
      </c>
      <c r="I18" s="71" t="n">
        <f aca="false">AVERAGE(RC!I94,RC!J94)</f>
        <v>3138</v>
      </c>
      <c r="J18" s="71" t="n">
        <f aca="false">AVERAGE(RC!J94,RC!K94)</f>
        <v>2984.5</v>
      </c>
      <c r="K18" s="71" t="n">
        <f aca="false">AVERAGE(RC!K94,RC!L94)</f>
        <v>2831</v>
      </c>
    </row>
    <row r="19" customFormat="false" ht="15.75" hidden="false" customHeight="true" outlineLevel="0" collapsed="false">
      <c r="A19" s="44" t="s">
        <v>472</v>
      </c>
      <c r="B19" s="71" t="n">
        <f aca="false">AVERAGE(RC!B27,RC!C27)</f>
        <v>3138</v>
      </c>
      <c r="C19" s="71" t="n">
        <f aca="false">AVERAGE(RC!C27,RC!D27)</f>
        <v>3138</v>
      </c>
      <c r="D19" s="71" t="n">
        <f aca="false">AVERAGE(RC!D27,RC!E27)</f>
        <v>3138</v>
      </c>
      <c r="E19" s="71" t="n">
        <f aca="false">AVERAGE(RC!E27,RC!F27)</f>
        <v>3138</v>
      </c>
      <c r="F19" s="71" t="n">
        <f aca="false">AVERAGE(RC!F27,RC!G27)</f>
        <v>3138</v>
      </c>
      <c r="G19" s="71" t="n">
        <f aca="false">AVERAGE(RC!G27,RC!H27)</f>
        <v>3138</v>
      </c>
      <c r="H19" s="71" t="n">
        <f aca="false">AVERAGE(RC!H27,RC!I27)</f>
        <v>3138</v>
      </c>
      <c r="I19" s="71" t="n">
        <f aca="false">AVERAGE(RC!I27,RC!J27)</f>
        <v>3138</v>
      </c>
      <c r="J19" s="71" t="n">
        <f aca="false">AVERAGE(RC!J27,RC!K27)</f>
        <v>2984.5</v>
      </c>
      <c r="K19" s="71" t="n">
        <f aca="false">AVERAGE(RC!K27,RC!L27)</f>
        <v>2831</v>
      </c>
    </row>
    <row r="20" customFormat="false" ht="15.75" hidden="false" customHeight="true" outlineLevel="0" collapsed="false">
      <c r="A20" s="44" t="s">
        <v>473</v>
      </c>
      <c r="B20" s="71" t="n">
        <f aca="false">RC!B27</f>
        <v>3138</v>
      </c>
      <c r="C20" s="71" t="n">
        <f aca="false">RC!C27</f>
        <v>3138</v>
      </c>
      <c r="D20" s="71" t="n">
        <f aca="false">RC!D27</f>
        <v>3138</v>
      </c>
      <c r="E20" s="71" t="n">
        <f aca="false">RC!E27</f>
        <v>3138</v>
      </c>
      <c r="F20" s="71" t="n">
        <f aca="false">RC!F27</f>
        <v>3138</v>
      </c>
      <c r="G20" s="71" t="n">
        <f aca="false">RC!G27</f>
        <v>3138</v>
      </c>
      <c r="H20" s="71" t="n">
        <f aca="false">RC!H27</f>
        <v>3138</v>
      </c>
      <c r="I20" s="71" t="n">
        <f aca="false">RC!I27</f>
        <v>3138</v>
      </c>
      <c r="J20" s="71" t="n">
        <f aca="false">RC!J27</f>
        <v>3138</v>
      </c>
      <c r="K20" s="71" t="n">
        <f aca="false">RC!K27</f>
        <v>2831</v>
      </c>
    </row>
    <row r="21" customFormat="false" ht="15.75" hidden="false" customHeight="true" outlineLevel="0" collapsed="false">
      <c r="A21" s="44" t="s">
        <v>474</v>
      </c>
      <c r="B21" s="71" t="n">
        <f aca="false">AVERAGE(RC!B66,RC!C66)</f>
        <v>0</v>
      </c>
      <c r="C21" s="71" t="n">
        <f aca="false">AVERAGE(RC!C66,RC!D66)</f>
        <v>0</v>
      </c>
      <c r="D21" s="71" t="n">
        <f aca="false">AVERAGE(RC!D66,RC!E66)</f>
        <v>0</v>
      </c>
      <c r="E21" s="71" t="n">
        <f aca="false">AVERAGE(RC!E66,RC!F66)</f>
        <v>0</v>
      </c>
      <c r="F21" s="71" t="n">
        <f aca="false">AVERAGE(RC!F66,RC!G66)</f>
        <v>0</v>
      </c>
      <c r="G21" s="71" t="n">
        <f aca="false">AVERAGE(RC!G66,RC!H66)</f>
        <v>0</v>
      </c>
      <c r="H21" s="71" t="n">
        <f aca="false">AVERAGE(RC!H66,RC!I66)</f>
        <v>0</v>
      </c>
      <c r="I21" s="71" t="n">
        <f aca="false">AVERAGE(RC!I66,RC!J66)</f>
        <v>0</v>
      </c>
      <c r="J21" s="71" t="n">
        <f aca="false">AVERAGE(RC!J66,RC!K66)</f>
        <v>0</v>
      </c>
      <c r="K21" s="71" t="n">
        <f aca="false">AVERAGE(RC!K66,RC!L66)</f>
        <v>0</v>
      </c>
    </row>
    <row r="22" customFormat="false" ht="15.75" hidden="false" customHeight="true" outlineLevel="0" collapsed="false">
      <c r="A22" s="44" t="s">
        <v>475</v>
      </c>
      <c r="B22" s="71" t="n">
        <f aca="false">RC!B66</f>
        <v>0</v>
      </c>
      <c r="C22" s="71" t="n">
        <f aca="false">RC!C66</f>
        <v>0</v>
      </c>
      <c r="D22" s="71" t="n">
        <f aca="false">RC!D66</f>
        <v>0</v>
      </c>
      <c r="E22" s="71" t="n">
        <f aca="false">RC!E66</f>
        <v>0</v>
      </c>
      <c r="F22" s="71" t="n">
        <f aca="false">RC!F66</f>
        <v>0</v>
      </c>
      <c r="G22" s="71" t="n">
        <f aca="false">RC!G66</f>
        <v>0</v>
      </c>
      <c r="H22" s="71" t="n">
        <f aca="false">RC!H66</f>
        <v>0</v>
      </c>
      <c r="I22" s="71" t="n">
        <f aca="false">RC!I66</f>
        <v>0</v>
      </c>
      <c r="J22" s="71" t="n">
        <f aca="false">RC!J66</f>
        <v>0</v>
      </c>
      <c r="K22" s="71" t="n">
        <f aca="false">RC!K66</f>
        <v>0</v>
      </c>
    </row>
    <row r="23" customFormat="false" ht="15.75" hidden="false" customHeight="true" outlineLevel="0" collapsed="false">
      <c r="A23" s="44" t="s">
        <v>476</v>
      </c>
      <c r="B23" s="71" t="n">
        <f aca="false">RC!B145</f>
        <v>0</v>
      </c>
      <c r="C23" s="71" t="n">
        <f aca="false">RC!C145</f>
        <v>0</v>
      </c>
      <c r="D23" s="71" t="n">
        <f aca="false">RC!D145</f>
        <v>0</v>
      </c>
      <c r="E23" s="71" t="n">
        <f aca="false">RC!E145</f>
        <v>0</v>
      </c>
      <c r="F23" s="71" t="n">
        <f aca="false">RC!F145</f>
        <v>0</v>
      </c>
      <c r="G23" s="71" t="n">
        <f aca="false">RC!G145</f>
        <v>0</v>
      </c>
      <c r="H23" s="71" t="n">
        <f aca="false">RC!H145</f>
        <v>0</v>
      </c>
      <c r="I23" s="71" t="n">
        <f aca="false">RC!I145</f>
        <v>0</v>
      </c>
      <c r="J23" s="71" t="n">
        <f aca="false">RC!J145</f>
        <v>0</v>
      </c>
      <c r="K23" s="71" t="n">
        <f aca="false">RC!K145</f>
        <v>108710</v>
      </c>
    </row>
    <row r="24" customFormat="false" ht="15.75" hidden="false" customHeight="true" outlineLevel="0" collapsed="false">
      <c r="A24" s="44" t="s">
        <v>477</v>
      </c>
      <c r="B24" s="71" t="n">
        <f aca="false">B30-B31</f>
        <v>27191074.5</v>
      </c>
      <c r="C24" s="71" t="n">
        <f aca="false">C30-C31</f>
        <v>27674200.5</v>
      </c>
      <c r="D24" s="71" t="n">
        <f aca="false">D30-D31</f>
        <v>24453573</v>
      </c>
      <c r="E24" s="71" t="n">
        <f aca="false">E30-E31</f>
        <v>11136668</v>
      </c>
      <c r="F24" s="71" t="n">
        <f aca="false">F30-F31</f>
        <v>12187560</v>
      </c>
      <c r="G24" s="71" t="n">
        <f aca="false">G30-G31</f>
        <v>21140844</v>
      </c>
      <c r="H24" s="71" t="n">
        <f aca="false">H30-H31</f>
        <v>15814581</v>
      </c>
      <c r="I24" s="71" t="n">
        <f aca="false">I30-I31</f>
        <v>8961489.5</v>
      </c>
      <c r="J24" s="71" t="n">
        <f aca="false">J30-J31</f>
        <v>4398700</v>
      </c>
      <c r="K24" s="71" t="n">
        <f aca="false">K30-K31</f>
        <v>3536168</v>
      </c>
    </row>
    <row r="25" customFormat="false" ht="15.75" hidden="false" customHeight="true" outlineLevel="0" collapsed="false">
      <c r="A25" s="44" t="s">
        <v>478</v>
      </c>
      <c r="B25" s="71" t="n">
        <f aca="false">IF(B24&gt;0, B24, 0)</f>
        <v>27191074.5</v>
      </c>
      <c r="C25" s="71" t="n">
        <f aca="false">IF(C24&gt;0, C24, 0)</f>
        <v>27674200.5</v>
      </c>
      <c r="D25" s="71" t="n">
        <f aca="false">IF(D24&gt;0, D24, 0)</f>
        <v>24453573</v>
      </c>
      <c r="E25" s="71" t="n">
        <f aca="false">IF(E24&gt;0, E24, 0)</f>
        <v>11136668</v>
      </c>
      <c r="F25" s="71" t="n">
        <f aca="false">IF(F24&gt;0, F24, 0)</f>
        <v>12187560</v>
      </c>
      <c r="G25" s="71" t="n">
        <f aca="false">IF(G24&gt;0, G24, 0)</f>
        <v>21140844</v>
      </c>
      <c r="H25" s="71" t="n">
        <f aca="false">IF(H24&gt;0, H24, 0)</f>
        <v>15814581</v>
      </c>
      <c r="I25" s="71" t="n">
        <f aca="false">IF(I24&gt;0, I24, 0)</f>
        <v>8961489.5</v>
      </c>
      <c r="J25" s="71" t="n">
        <f aca="false">IF(J24&gt;0, J24, 0)</f>
        <v>4398700</v>
      </c>
      <c r="K25" s="71" t="n">
        <f aca="false">IF(K24&gt;0, K24, 0)</f>
        <v>3536168</v>
      </c>
    </row>
    <row r="26" customFormat="false" ht="15.75" hidden="false" customHeight="true" outlineLevel="0" collapsed="false">
      <c r="A26" s="44" t="s">
        <v>479</v>
      </c>
      <c r="B26" s="71" t="n">
        <f aca="false">IF(B24&lt;0, -B24, 0)</f>
        <v>0</v>
      </c>
      <c r="C26" s="71" t="n">
        <f aca="false">IF(C24&lt;0, C24, 0)</f>
        <v>0</v>
      </c>
      <c r="D26" s="71" t="n">
        <f aca="false">IF(D24&lt;0, D24, 0)</f>
        <v>0</v>
      </c>
      <c r="E26" s="71" t="n">
        <f aca="false">IF(E24&lt;0, E24, 0)</f>
        <v>0</v>
      </c>
      <c r="F26" s="71" t="n">
        <f aca="false">IF(F24&lt;0, F24, 0)</f>
        <v>0</v>
      </c>
      <c r="G26" s="71" t="n">
        <f aca="false">IF(G24&lt;0, G24, 0)</f>
        <v>0</v>
      </c>
      <c r="H26" s="71" t="n">
        <f aca="false">IF(H24&lt;0, H24, 0)</f>
        <v>0</v>
      </c>
      <c r="I26" s="71" t="n">
        <f aca="false">IF(I24&lt;0, I24, 0)</f>
        <v>0</v>
      </c>
      <c r="J26" s="71" t="n">
        <f aca="false">IF(J24&lt;0, J24, 0)</f>
        <v>0</v>
      </c>
      <c r="K26" s="71" t="n">
        <f aca="false">IF(K24&lt;0, K24, 0)</f>
        <v>0</v>
      </c>
    </row>
    <row r="27" customFormat="false" ht="15.75" hidden="false" customHeight="true" outlineLevel="0" collapsed="false">
      <c r="A27" s="44" t="s">
        <v>480</v>
      </c>
      <c r="B27" s="71" t="n">
        <f aca="false">RC!B138</f>
        <v>-1737633</v>
      </c>
      <c r="C27" s="71" t="n">
        <f aca="false">RC!C138</f>
        <v>-1482342</v>
      </c>
      <c r="D27" s="71" t="n">
        <f aca="false">RC!D138</f>
        <v>-790069</v>
      </c>
      <c r="E27" s="71" t="n">
        <f aca="false">RC!E138</f>
        <v>-354881</v>
      </c>
      <c r="F27" s="71" t="n">
        <f aca="false">RC!F138</f>
        <v>-523242</v>
      </c>
      <c r="G27" s="71" t="n">
        <f aca="false">RC!G138</f>
        <v>-383676</v>
      </c>
      <c r="H27" s="71" t="n">
        <f aca="false">RC!H138</f>
        <v>-317240</v>
      </c>
      <c r="I27" s="71" t="n">
        <f aca="false">RC!I138</f>
        <v>-185920</v>
      </c>
      <c r="J27" s="71" t="n">
        <f aca="false">RC!J138</f>
        <v>-109194</v>
      </c>
      <c r="K27" s="71" t="n">
        <f aca="false">RC!K138</f>
        <v>-173205</v>
      </c>
    </row>
    <row r="28" customFormat="false" ht="15.75" hidden="false" customHeight="true" outlineLevel="0" collapsed="false">
      <c r="A28" s="44" t="s">
        <v>481</v>
      </c>
      <c r="B28" s="71" t="n">
        <f aca="false">RC!B137</f>
        <v>5374</v>
      </c>
      <c r="C28" s="71" t="n">
        <f aca="false">RC!C137</f>
        <v>2140</v>
      </c>
      <c r="D28" s="71" t="n">
        <f aca="false">RC!D137</f>
        <v>15784</v>
      </c>
      <c r="E28" s="71" t="n">
        <f aca="false">RC!E137</f>
        <v>12748</v>
      </c>
      <c r="F28" s="71" t="n">
        <f aca="false">RC!F137</f>
        <v>3629</v>
      </c>
      <c r="G28" s="71" t="n">
        <f aca="false">RC!G137</f>
        <v>60859</v>
      </c>
      <c r="H28" s="71" t="n">
        <f aca="false">RC!H137</f>
        <v>95281</v>
      </c>
      <c r="I28" s="71" t="n">
        <f aca="false">RC!I137</f>
        <v>78396</v>
      </c>
      <c r="J28" s="71" t="n">
        <f aca="false">RC!J137</f>
        <v>75853</v>
      </c>
      <c r="K28" s="71" t="n">
        <f aca="false">RC!K137</f>
        <v>131798</v>
      </c>
    </row>
    <row r="29" customFormat="false" ht="15.75" hidden="false" customHeight="true" outlineLevel="0" collapsed="false">
      <c r="A29" s="44" t="s">
        <v>482</v>
      </c>
      <c r="B29" s="71" t="n">
        <f aca="false">RC!B149</f>
        <v>-153364</v>
      </c>
      <c r="C29" s="71" t="n">
        <f aca="false">RC!C149</f>
        <v>-38208</v>
      </c>
      <c r="D29" s="71" t="n">
        <f aca="false">RC!D149</f>
        <v>1055</v>
      </c>
      <c r="E29" s="71" t="n">
        <f aca="false">RC!E149</f>
        <v>238045</v>
      </c>
      <c r="F29" s="71" t="n">
        <f aca="false">RC!F149</f>
        <v>-31429</v>
      </c>
      <c r="G29" s="71" t="n">
        <f aca="false">RC!G149</f>
        <v>56764</v>
      </c>
      <c r="H29" s="71" t="n">
        <f aca="false">RC!H149</f>
        <v>-6277</v>
      </c>
      <c r="I29" s="71" t="n">
        <f aca="false">RC!I149</f>
        <v>-107490</v>
      </c>
      <c r="J29" s="71" t="n">
        <f aca="false">RC!J149</f>
        <v>-254657</v>
      </c>
      <c r="K29" s="71" t="n">
        <f aca="false">RC!K149</f>
        <v>-335067</v>
      </c>
    </row>
    <row r="30" customFormat="false" ht="15.75" hidden="false" customHeight="true" outlineLevel="0" collapsed="false">
      <c r="A30" s="44" t="s">
        <v>483</v>
      </c>
      <c r="B30" s="71" t="n">
        <f aca="false">AVERAGE(RC!B73,RC!C73)</f>
        <v>27220073.5</v>
      </c>
      <c r="C30" s="71" t="n">
        <f aca="false">AVERAGE(RC!C73,RC!D73)</f>
        <v>27753370</v>
      </c>
      <c r="D30" s="71" t="n">
        <f aca="false">AVERAGE(RC!D73,RC!E73)</f>
        <v>24988671.5</v>
      </c>
      <c r="E30" s="71" t="n">
        <f aca="false">AVERAGE(RC!E73,RC!F73)</f>
        <v>16098099</v>
      </c>
      <c r="F30" s="71" t="n">
        <f aca="false">AVERAGE(RC!F73,RC!G73)</f>
        <v>16867424</v>
      </c>
      <c r="G30" s="71" t="n">
        <f aca="false">AVERAGE(RC!G73,RC!H73)</f>
        <v>21463108.5</v>
      </c>
      <c r="H30" s="71" t="n">
        <f aca="false">AVERAGE(RC!H73,RC!I73)</f>
        <v>16012728.5</v>
      </c>
      <c r="I30" s="71" t="n">
        <f aca="false">AVERAGE(RC!I73,RC!J73)</f>
        <v>9074853</v>
      </c>
      <c r="J30" s="71" t="n">
        <f aca="false">AVERAGE(RC!J73,RC!K73)</f>
        <v>4468616</v>
      </c>
      <c r="K30" s="71" t="n">
        <f aca="false">AVERAGE(RC!K73,RC!L73)</f>
        <v>3596104</v>
      </c>
    </row>
    <row r="31" customFormat="false" ht="15.75" hidden="false" customHeight="true" outlineLevel="0" collapsed="false">
      <c r="A31" s="44" t="s">
        <v>484</v>
      </c>
      <c r="B31" s="71" t="n">
        <f aca="false">AVERAGE(RC!B33,RC!C33)</f>
        <v>28999</v>
      </c>
      <c r="C31" s="71" t="n">
        <f aca="false">AVERAGE(RC!C33,RC!D33)</f>
        <v>79169.5</v>
      </c>
      <c r="D31" s="71" t="n">
        <f aca="false">AVERAGE(RC!D33,RC!E33)</f>
        <v>535098.5</v>
      </c>
      <c r="E31" s="71" t="n">
        <f aca="false">AVERAGE(RC!E33,RC!F33)</f>
        <v>4961431</v>
      </c>
      <c r="F31" s="71" t="n">
        <f aca="false">AVERAGE(RC!F33,RC!G33)</f>
        <v>4679864</v>
      </c>
      <c r="G31" s="71" t="n">
        <f aca="false">AVERAGE(RC!G33,RC!H33)</f>
        <v>322264.5</v>
      </c>
      <c r="H31" s="71" t="n">
        <f aca="false">AVERAGE(RC!H33,RC!I33)</f>
        <v>198147.5</v>
      </c>
      <c r="I31" s="71" t="n">
        <f aca="false">AVERAGE(RC!I33,RC!J33)</f>
        <v>113363.5</v>
      </c>
      <c r="J31" s="71" t="n">
        <f aca="false">AVERAGE(RC!J33,RC!K33)</f>
        <v>69916</v>
      </c>
      <c r="K31" s="71" t="n">
        <f aca="false">AVERAGE(RC!K33,RC!L33)</f>
        <v>59936</v>
      </c>
    </row>
    <row r="32" customFormat="false" ht="15.75" hidden="false" customHeight="true" outlineLevel="0" collapsed="false">
      <c r="A32" s="44" t="s">
        <v>485</v>
      </c>
      <c r="B32" s="71" t="n">
        <f aca="false">AVERAGE(RC!B5:C5)</f>
        <v>4864573</v>
      </c>
      <c r="C32" s="71" t="n">
        <f aca="false">AVERAGE(RC!C5:D5)</f>
        <v>4274264.5</v>
      </c>
      <c r="D32" s="71" t="n">
        <f aca="false">AVERAGE(RC!D5:E5)</f>
        <v>3349400.5</v>
      </c>
      <c r="E32" s="71" t="n">
        <f aca="false">AVERAGE(RC!E5:F5)</f>
        <v>2513740</v>
      </c>
      <c r="F32" s="71" t="n">
        <f aca="false">AVERAGE(RC!F5:G5)</f>
        <v>3642777.5</v>
      </c>
      <c r="G32" s="71" t="n">
        <f aca="false">AVERAGE(RC!G5:H5)</f>
        <v>4745520.5</v>
      </c>
      <c r="H32" s="71" t="n">
        <f aca="false">AVERAGE(RC!H5:I5)</f>
        <v>4203614.5</v>
      </c>
      <c r="I32" s="71" t="n">
        <f aca="false">AVERAGE(RC!I5:J5)</f>
        <v>3953952</v>
      </c>
      <c r="J32" s="71" t="n">
        <f aca="false">AVERAGE(RC!J5:K5)</f>
        <v>3811703</v>
      </c>
      <c r="K32" s="71" t="n">
        <f aca="false">AVERAGE(RC!K5:L5)</f>
        <v>3696647</v>
      </c>
    </row>
    <row r="33" customFormat="false" ht="15.75" hidden="false" customHeight="true" outlineLevel="0" collapsed="false">
      <c r="A33" s="44" t="s">
        <v>486</v>
      </c>
      <c r="B33" s="71" t="n">
        <f aca="false">AVERAGE(RC!B48,RC!C48)</f>
        <v>9347177</v>
      </c>
      <c r="C33" s="71" t="n">
        <f aca="false">AVERAGE(RC!C48,RC!D48)</f>
        <v>10688093.5</v>
      </c>
      <c r="D33" s="71" t="n">
        <f aca="false">AVERAGE(RC!D48,RC!E48)</f>
        <v>11350385</v>
      </c>
      <c r="E33" s="71" t="n">
        <f aca="false">AVERAGE(RC!E48,RC!F48)</f>
        <v>9414708.5</v>
      </c>
      <c r="F33" s="71" t="n">
        <f aca="false">AVERAGE(RC!F48,RC!G48)</f>
        <v>5079507</v>
      </c>
      <c r="G33" s="71" t="n">
        <f aca="false">AVERAGE(RC!G48,RC!H48)</f>
        <v>3384395.5</v>
      </c>
      <c r="H33" s="71" t="n">
        <f aca="false">AVERAGE(RC!H48,RC!I48)</f>
        <v>3506674</v>
      </c>
      <c r="I33" s="71" t="n">
        <f aca="false">AVERAGE(RC!I48,RC!J48)</f>
        <v>2744787.5</v>
      </c>
      <c r="J33" s="71" t="n">
        <f aca="false">AVERAGE(RC!J48,RC!K48)</f>
        <v>1711050.5</v>
      </c>
      <c r="K33" s="71" t="n">
        <f aca="false">AVERAGE(RC!K48,RC!L48)</f>
        <v>1782237</v>
      </c>
    </row>
    <row r="34" customFormat="false" ht="15.75" hidden="false" customHeight="true" outlineLevel="0" collapsed="false">
      <c r="A34" s="44" t="s">
        <v>487</v>
      </c>
      <c r="B34" s="71" t="n">
        <f aca="false">AVERAGE(RC!B6,RC!C6)</f>
        <v>8614155.5</v>
      </c>
      <c r="C34" s="71" t="n">
        <f aca="false">AVERAGE(RC!C6,RC!D6)</f>
        <v>6999857</v>
      </c>
      <c r="D34" s="71" t="n">
        <f aca="false">AVERAGE(RC!D6,RC!E6)</f>
        <v>3364873.5</v>
      </c>
      <c r="E34" s="71" t="n">
        <f aca="false">AVERAGE(RC!E6,RC!F6)</f>
        <v>978203.5</v>
      </c>
      <c r="F34" s="71" t="n">
        <f aca="false">AVERAGE(RC!F6,RC!G6)</f>
        <v>3823990.5</v>
      </c>
      <c r="G34" s="71" t="n">
        <f aca="false">AVERAGE(RC!G6,RC!H6)</f>
        <v>5717545</v>
      </c>
      <c r="H34" s="71" t="n">
        <f aca="false">AVERAGE(RC!H6,RC!I6)</f>
        <v>3950146.5</v>
      </c>
      <c r="I34" s="71" t="n">
        <f aca="false">AVERAGE(RC!I6,RC!J6)</f>
        <v>2699914.5</v>
      </c>
      <c r="J34" s="71" t="n">
        <f aca="false">AVERAGE(RC!J6,RC!K6)</f>
        <v>2242409.5</v>
      </c>
      <c r="K34" s="71" t="n">
        <f aca="false">AVERAGE(RC!K6,RC!L6)</f>
        <v>2186681</v>
      </c>
    </row>
    <row r="35" customFormat="false" ht="15.75" hidden="false" customHeight="true" outlineLevel="0" collapsed="false">
      <c r="A35" s="44" t="s">
        <v>488</v>
      </c>
      <c r="B35" s="71" t="n">
        <f aca="false">RC!B6</f>
        <v>9013430</v>
      </c>
      <c r="C35" s="71" t="n">
        <f aca="false">RC!C6</f>
        <v>8214881</v>
      </c>
      <c r="D35" s="71" t="n">
        <f aca="false">RC!D6</f>
        <v>5784833</v>
      </c>
      <c r="E35" s="71" t="n">
        <f aca="false">RC!E6</f>
        <v>944914</v>
      </c>
      <c r="F35" s="71" t="n">
        <f aca="false">RC!F6</f>
        <v>1011493</v>
      </c>
      <c r="G35" s="71" t="n">
        <f aca="false">RC!G6</f>
        <v>6636488</v>
      </c>
      <c r="H35" s="71" t="n">
        <f aca="false">RC!H6</f>
        <v>4798602</v>
      </c>
      <c r="I35" s="71" t="n">
        <f aca="false">RC!I6</f>
        <v>3101691</v>
      </c>
      <c r="J35" s="71" t="n">
        <f aca="false">RC!J6</f>
        <v>2298138</v>
      </c>
      <c r="K35" s="71" t="n">
        <f aca="false">RC!K6</f>
        <v>2186681</v>
      </c>
    </row>
    <row r="36" customFormat="false" ht="15.75" hidden="false" customHeight="true" outlineLevel="0" collapsed="false">
      <c r="A36" s="44" t="s">
        <v>489</v>
      </c>
      <c r="B36" s="71" t="n">
        <f aca="false">AVERAGE(RC!B8:C8)+AVERAGE(RC!B19:C19)+AVERAGE(RC!B30:C30)</f>
        <v>19348012</v>
      </c>
      <c r="C36" s="71" t="n">
        <f aca="false">AVERAGE(RC!C8:D8)+AVERAGE(RC!C19:D19)+AVERAGE(RC!C30:D30)</f>
        <v>16125348.5</v>
      </c>
      <c r="D36" s="71" t="n">
        <f aca="false">AVERAGE(RC!D8:E8)+AVERAGE(RC!D19:E19)+AVERAGE(RC!D30:E30)</f>
        <v>12407135.5</v>
      </c>
      <c r="E36" s="71" t="n">
        <f aca="false">AVERAGE(RC!E8:F8)+AVERAGE(RC!E19:F19)+AVERAGE(RC!E30:F30)</f>
        <v>7977407.5</v>
      </c>
      <c r="F36" s="71" t="n">
        <f aca="false">AVERAGE(RC!F8:G8)+AVERAGE(RC!F19:G19)+AVERAGE(RC!F30:G30)</f>
        <v>9280941.5</v>
      </c>
      <c r="G36" s="71" t="n">
        <f aca="false">AVERAGE(RC!G8:H8)+AVERAGE(RC!G19:H19)+AVERAGE(RC!G30:H30)</f>
        <v>11411119</v>
      </c>
      <c r="H36" s="71" t="n">
        <f aca="false">AVERAGE(RC!H8:I8)+AVERAGE(RC!H19:I19)+AVERAGE(RC!H30:I30)</f>
        <v>9722279.5</v>
      </c>
      <c r="I36" s="71" t="n">
        <f aca="false">AVERAGE(RC!I8:J8)+AVERAGE(RC!I19:J19)+AVERAGE(RC!I30:J30)</f>
        <v>7904031</v>
      </c>
      <c r="J36" s="71" t="n">
        <f aca="false">AVERAGE(RC!J8:K8)+AVERAGE(RC!J19:K19)+AVERAGE(RC!J30:K30)</f>
        <v>6830679.5</v>
      </c>
      <c r="K36" s="71" t="n">
        <f aca="false">AVERAGE(RC!K8:L8)+AVERAGE(RC!K19:L19)+AVERAGE(RC!K30:L30)</f>
        <v>6934330</v>
      </c>
    </row>
    <row r="37" customFormat="false" ht="15.75" hidden="false" customHeight="true" outlineLevel="0" collapsed="false">
      <c r="A37" s="44" t="s">
        <v>490</v>
      </c>
      <c r="B37" s="71" t="n">
        <f aca="false">RC!B8+RC!B19+RC!B30</f>
        <v>21407954</v>
      </c>
      <c r="C37" s="71" t="n">
        <f aca="false">RC!C8+RC!C19+RC!C30</f>
        <v>17288070</v>
      </c>
      <c r="D37" s="71" t="n">
        <f aca="false">RC!D8+RC!D19+RC!D30</f>
        <v>14962627</v>
      </c>
      <c r="E37" s="71" t="n">
        <f aca="false">RC!E8+RC!E19+RC!E30</f>
        <v>9851644</v>
      </c>
      <c r="F37" s="71" t="n">
        <f aca="false">RC!F8+RC!F19+RC!F30</f>
        <v>6103171</v>
      </c>
      <c r="G37" s="71" t="n">
        <f aca="false">RC!G8+RC!G19+RC!G30</f>
        <v>12458712</v>
      </c>
      <c r="H37" s="71" t="n">
        <f aca="false">RC!H8+RC!H19+RC!H30</f>
        <v>10363526</v>
      </c>
      <c r="I37" s="71" t="n">
        <f aca="false">RC!I8+RC!I19+RC!I30</f>
        <v>9081033</v>
      </c>
      <c r="J37" s="71" t="n">
        <f aca="false">RC!J8+RC!J19+RC!J30</f>
        <v>6727029</v>
      </c>
      <c r="K37" s="71" t="n">
        <f aca="false">RC!K8+RC!K19+RC!K30</f>
        <v>6934330</v>
      </c>
    </row>
    <row r="38" customFormat="false" ht="15.75" hidden="false" customHeight="true" outlineLevel="0" collapsed="false">
      <c r="A38" s="44" t="s">
        <v>491</v>
      </c>
      <c r="B38" s="71" t="n">
        <f aca="false">AVERAGE(RC!B51:C51)+AVERAGE(RC!B59:C59)+AVERAGE(RC!B70:C70)</f>
        <v>30425014.5</v>
      </c>
      <c r="C38" s="71" t="n">
        <f aca="false">AVERAGE(RC!C51:D51)+AVERAGE(RC!C59:D59)+AVERAGE(RC!C70:D70)</f>
        <v>27427097.5</v>
      </c>
      <c r="D38" s="71" t="n">
        <f aca="false">AVERAGE(RC!D51:E51)+AVERAGE(RC!D59:E59)+AVERAGE(RC!D70:E70)</f>
        <v>23993892.5</v>
      </c>
      <c r="E38" s="71" t="n">
        <f aca="false">AVERAGE(RC!E51:F51)+AVERAGE(RC!E59:F59)+AVERAGE(RC!E70:F70)</f>
        <v>19150514</v>
      </c>
      <c r="F38" s="71" t="n">
        <f aca="false">AVERAGE(RC!F51:G51)+AVERAGE(RC!F59:G59)+AVERAGE(RC!F70:G70)</f>
        <v>16574146</v>
      </c>
      <c r="G38" s="71" t="n">
        <f aca="false">AVERAGE(RC!G51:H51)+AVERAGE(RC!G59:H59)+AVERAGE(RC!G70:H70)</f>
        <v>14891695.5</v>
      </c>
      <c r="H38" s="71" t="n">
        <f aca="false">AVERAGE(RC!H51:I51)+AVERAGE(RC!H59:I59)+AVERAGE(RC!H70:I70)</f>
        <v>12113679.5</v>
      </c>
      <c r="I38" s="71" t="n">
        <f aca="false">AVERAGE(RC!I51:J51)+AVERAGE(RC!I59:J59)+AVERAGE(RC!I70:J70)</f>
        <v>9099991</v>
      </c>
      <c r="J38" s="71" t="n">
        <f aca="false">AVERAGE(RC!J51:K51)+AVERAGE(RC!J59:K59)+AVERAGE(RC!J70:K70)</f>
        <v>6280404</v>
      </c>
      <c r="K38" s="71" t="n">
        <f aca="false">AVERAGE(RC!K51:L51)+AVERAGE(RC!K59:L59)+AVERAGE(RC!K70:L70)</f>
        <v>5726290</v>
      </c>
    </row>
    <row r="39" customFormat="false" ht="15.75" hidden="false" customHeight="true" outlineLevel="0" collapsed="false">
      <c r="A39" s="44" t="s">
        <v>492</v>
      </c>
      <c r="B39" s="71" t="n">
        <f aca="false">RC!B51+RC!B59+RC!B70</f>
        <v>31909387</v>
      </c>
      <c r="C39" s="71" t="n">
        <f aca="false">RC!C51+RC!C59+RC!C70</f>
        <v>28940642</v>
      </c>
      <c r="D39" s="71" t="n">
        <f aca="false">RC!D51+RC!D59+RC!D70</f>
        <v>25913553</v>
      </c>
      <c r="E39" s="71" t="n">
        <f aca="false">RC!E51+RC!E59+RC!E70</f>
        <v>22074232</v>
      </c>
      <c r="F39" s="71" t="n">
        <f aca="false">RC!F51+RC!F59+RC!F70</f>
        <v>16226796</v>
      </c>
      <c r="G39" s="71" t="n">
        <f aca="false">RC!G51+RC!G59+RC!G70</f>
        <v>16921496</v>
      </c>
      <c r="H39" s="71" t="n">
        <f aca="false">RC!H51+RC!H59+RC!H70</f>
        <v>12861895</v>
      </c>
      <c r="I39" s="71" t="n">
        <f aca="false">RC!I51+RC!I59+RC!I70</f>
        <v>11365464</v>
      </c>
      <c r="J39" s="71" t="n">
        <f aca="false">RC!J51+RC!J59+RC!J70</f>
        <v>6834518</v>
      </c>
      <c r="K39" s="71" t="n">
        <f aca="false">RC!K51+RC!K59+RC!K70</f>
        <v>5726290</v>
      </c>
    </row>
    <row r="40" customFormat="false" ht="15.75" hidden="false" customHeight="true" outlineLevel="0" collapsed="false">
      <c r="A40" s="44" t="s">
        <v>493</v>
      </c>
      <c r="B40" s="71" t="n">
        <f aca="false">AVERAGE(RC!B52,RC!C52)</f>
        <v>0</v>
      </c>
      <c r="C40" s="71" t="n">
        <f aca="false">AVERAGE(RC!C52,RC!D52)</f>
        <v>0</v>
      </c>
      <c r="D40" s="71" t="n">
        <f aca="false">AVERAGE(RC!D52,RC!E52)</f>
        <v>0</v>
      </c>
      <c r="E40" s="71" t="n">
        <f aca="false">AVERAGE(RC!E52,RC!F52)</f>
        <v>0</v>
      </c>
      <c r="F40" s="71" t="n">
        <f aca="false">AVERAGE(RC!F52,RC!G52)</f>
        <v>0</v>
      </c>
      <c r="G40" s="71" t="n">
        <f aca="false">AVERAGE(RC!G52,RC!H52)</f>
        <v>0</v>
      </c>
      <c r="H40" s="71" t="n">
        <f aca="false">AVERAGE(RC!H52,RC!I52)</f>
        <v>0</v>
      </c>
      <c r="I40" s="71" t="n">
        <f aca="false">AVERAGE(RC!I52,RC!J52)</f>
        <v>0</v>
      </c>
      <c r="J40" s="71" t="n">
        <f aca="false">AVERAGE(RC!J52,RC!K52)</f>
        <v>0</v>
      </c>
      <c r="K40" s="71" t="n">
        <f aca="false">AVERAGE(RC!K52,RC!L52)</f>
        <v>0</v>
      </c>
    </row>
    <row r="41" customFormat="false" ht="15.75" hidden="false" customHeight="true" outlineLevel="0" collapsed="false">
      <c r="A41" s="44" t="s">
        <v>494</v>
      </c>
      <c r="B41" s="71" t="n">
        <f aca="false">RC!B52</f>
        <v>0</v>
      </c>
      <c r="C41" s="71" t="n">
        <f aca="false">RC!C52</f>
        <v>0</v>
      </c>
      <c r="D41" s="71" t="n">
        <f aca="false">RC!D52</f>
        <v>0</v>
      </c>
      <c r="E41" s="71" t="n">
        <f aca="false">RC!E52</f>
        <v>0</v>
      </c>
      <c r="F41" s="71" t="n">
        <f aca="false">RC!F52</f>
        <v>0</v>
      </c>
      <c r="G41" s="71" t="n">
        <f aca="false">RC!G52</f>
        <v>0</v>
      </c>
      <c r="H41" s="71" t="n">
        <f aca="false">RC!H52</f>
        <v>0</v>
      </c>
      <c r="I41" s="71" t="n">
        <f aca="false">RC!I52</f>
        <v>0</v>
      </c>
      <c r="J41" s="71" t="n">
        <f aca="false">RC!J52</f>
        <v>0</v>
      </c>
      <c r="K41" s="71" t="n">
        <f aca="false">RC!K52</f>
        <v>0</v>
      </c>
    </row>
    <row r="42" customFormat="false" ht="15.75" hidden="false" customHeight="true" outlineLevel="0" collapsed="false">
      <c r="A42" s="44" t="s">
        <v>495</v>
      </c>
      <c r="B42" s="71" t="n">
        <f aca="false">AVERAGE(RC!B69,RC!C69)</f>
        <v>21072497</v>
      </c>
      <c r="C42" s="71" t="n">
        <f aca="false">AVERAGE(RC!C69,RC!D69)</f>
        <v>21776687</v>
      </c>
      <c r="D42" s="71" t="n">
        <f aca="false">AVERAGE(RC!D69,RC!E69)</f>
        <v>20019495</v>
      </c>
      <c r="E42" s="71" t="n">
        <f aca="false">AVERAGE(RC!E69,RC!F69)</f>
        <v>10675572.5</v>
      </c>
      <c r="F42" s="71" t="n">
        <f aca="false">AVERAGE(RC!F69,RC!G69)</f>
        <v>7464003.5</v>
      </c>
      <c r="G42" s="71" t="n">
        <f aca="false">AVERAGE(RC!G69,RC!H69)</f>
        <v>11217394.5</v>
      </c>
      <c r="H42" s="71" t="n">
        <f aca="false">AVERAGE(RC!H69,RC!I69)</f>
        <v>8540797.5</v>
      </c>
      <c r="I42" s="71" t="n">
        <f aca="false">AVERAGE(RC!I69,RC!J69)</f>
        <v>3654401.5</v>
      </c>
      <c r="J42" s="71" t="n">
        <f aca="false">AVERAGE(RC!J69,RC!K69)</f>
        <v>839657</v>
      </c>
      <c r="K42" s="71" t="n">
        <f aca="false">AVERAGE(RC!K69,RC!L69)</f>
        <v>671866</v>
      </c>
    </row>
    <row r="43" customFormat="false" ht="15.75" hidden="false" customHeight="true" outlineLevel="0" collapsed="false">
      <c r="A43" s="44" t="s">
        <v>496</v>
      </c>
      <c r="B43" s="71" t="n">
        <f aca="false">RC!B69</f>
        <v>20552923</v>
      </c>
      <c r="C43" s="71" t="n">
        <f aca="false">RC!C69</f>
        <v>21592071</v>
      </c>
      <c r="D43" s="71" t="n">
        <f aca="false">RC!D69</f>
        <v>21961303</v>
      </c>
      <c r="E43" s="71" t="n">
        <f aca="false">RC!E69</f>
        <v>18077687</v>
      </c>
      <c r="F43" s="71" t="n">
        <f aca="false">RC!F69</f>
        <v>3273458</v>
      </c>
      <c r="G43" s="71" t="n">
        <f aca="false">RC!G69</f>
        <v>11654549</v>
      </c>
      <c r="H43" s="71" t="n">
        <f aca="false">RC!H69</f>
        <v>10780240</v>
      </c>
      <c r="I43" s="71" t="n">
        <f aca="false">RC!I69</f>
        <v>6301355</v>
      </c>
      <c r="J43" s="71" t="n">
        <f aca="false">RC!J69</f>
        <v>1007448</v>
      </c>
      <c r="K43" s="71" t="n">
        <f aca="false">RC!K69</f>
        <v>671866</v>
      </c>
    </row>
    <row r="44" customFormat="false" ht="15.75" hidden="false" customHeight="true" outlineLevel="0" collapsed="false">
      <c r="A44" s="44" t="s">
        <v>497</v>
      </c>
      <c r="B44" s="71" t="n">
        <f aca="false">((RC!B12+RC!B15)+RC!C12+RC!C15)/2</f>
        <v>38998423.5</v>
      </c>
      <c r="C44" s="71" t="n">
        <f aca="false">((RC!C12+RC!C15)+RC!D12+RC!D15)/2</f>
        <v>39201575</v>
      </c>
      <c r="D44" s="71" t="n">
        <f aca="false">((RC!D12+RC!D15)+RC!E12+RC!E15)/2</f>
        <v>37021809.5</v>
      </c>
      <c r="E44" s="71" t="n">
        <f aca="false">((RC!E12+RC!E15)+RC!F12+RC!F15)/2</f>
        <v>22838922.5</v>
      </c>
      <c r="F44" s="71" t="n">
        <f aca="false">((RC!F12+RC!F15)+RC!G12+RC!G15)/2</f>
        <v>14961085.5</v>
      </c>
      <c r="G44" s="71" t="n">
        <f aca="false">((RC!G12+RC!G15)+RC!H12+RC!H15)/2</f>
        <v>18947116</v>
      </c>
      <c r="H44" s="71" t="n">
        <f aca="false">((RC!H12+RC!H15)+RC!I12+RC!I15)/2</f>
        <v>15842970</v>
      </c>
      <c r="I44" s="71" t="n">
        <f aca="false">((RC!I12+RC!I15)+RC!J12+RC!J15)/2</f>
        <v>9378449</v>
      </c>
      <c r="J44" s="71" t="n">
        <f aca="false">((RC!J12+RC!J15)+RC!K12+RC!K15)/2</f>
        <v>3493098.5</v>
      </c>
      <c r="K44" s="71" t="n">
        <f aca="false">((RC!K12+RC!K15)+RC!L12+RC!L15)/2</f>
        <v>732411</v>
      </c>
    </row>
    <row r="45" customFormat="false" ht="15.75" hidden="false" customHeight="true" outlineLevel="0" collapsed="false">
      <c r="A45" s="44" t="s">
        <v>498</v>
      </c>
      <c r="B45" s="71" t="n">
        <f aca="false">RC!B12</f>
        <v>38436301</v>
      </c>
      <c r="C45" s="71" t="n">
        <f aca="false">RC!C12</f>
        <v>39557519</v>
      </c>
      <c r="D45" s="71" t="n">
        <f aca="false">RC!D12</f>
        <v>38842961</v>
      </c>
      <c r="E45" s="71" t="n">
        <f aca="false">RC!E12</f>
        <v>35198311</v>
      </c>
      <c r="F45" s="71" t="n">
        <f aca="false">RC!F12</f>
        <v>10475180</v>
      </c>
      <c r="G45" s="71" t="n">
        <f aca="false">RC!G12</f>
        <v>19440652</v>
      </c>
      <c r="H45" s="71" t="n">
        <f aca="false">RC!H12</f>
        <v>18447174</v>
      </c>
      <c r="I45" s="71" t="n">
        <f aca="false">RC!I12</f>
        <v>13234617</v>
      </c>
      <c r="J45" s="71" t="n">
        <f aca="false">RC!J12</f>
        <v>5520494</v>
      </c>
      <c r="K45" s="71" t="n">
        <f aca="false">RC!K12</f>
        <v>1463937</v>
      </c>
    </row>
    <row r="46" customFormat="false" ht="15.75" hidden="false" customHeight="true" outlineLevel="0" collapsed="false">
      <c r="A46" s="44" t="s">
        <v>499</v>
      </c>
      <c r="B46" s="71" t="n">
        <f aca="false">AVERAGE(RC!B84,RC!C84)</f>
        <v>7046450.5</v>
      </c>
      <c r="C46" s="71" t="n">
        <f aca="false">AVERAGE(RC!C84,RC!D84)</f>
        <v>6413555</v>
      </c>
      <c r="D46" s="71" t="n">
        <f aca="false">AVERAGE(RC!D84,RC!E84)</f>
        <v>6080052</v>
      </c>
      <c r="E46" s="71" t="n">
        <f aca="false">AVERAGE(RC!E84,RC!F84)</f>
        <v>5894693</v>
      </c>
      <c r="F46" s="71" t="n">
        <f aca="false">AVERAGE(RC!F84,RC!G84)</f>
        <v>4635732.5</v>
      </c>
      <c r="G46" s="71" t="n">
        <f aca="false">AVERAGE(RC!G84,RC!H84)</f>
        <v>4282526.5</v>
      </c>
      <c r="H46" s="71" t="n">
        <f aca="false">AVERAGE(RC!H84,RC!I84)</f>
        <v>4851348</v>
      </c>
      <c r="I46" s="71" t="n">
        <f aca="false">AVERAGE(RC!I84,RC!J84)</f>
        <v>4385979.5</v>
      </c>
      <c r="J46" s="71" t="n">
        <f aca="false">AVERAGE(RC!J84,RC!K84)</f>
        <v>3029497</v>
      </c>
      <c r="K46" s="71" t="n">
        <f aca="false">AVERAGE(RC!K84,RC!L84)</f>
        <v>1827213</v>
      </c>
    </row>
    <row r="47" customFormat="false" ht="15.75" hidden="false" customHeight="true" outlineLevel="0" collapsed="false">
      <c r="A47" s="44" t="s">
        <v>500</v>
      </c>
      <c r="B47" s="71" t="n">
        <f aca="false">RC!C84</f>
        <v>6587462</v>
      </c>
      <c r="C47" s="71" t="n">
        <f aca="false">RC!D84</f>
        <v>6239648</v>
      </c>
      <c r="D47" s="71" t="n">
        <f aca="false">RC!E84</f>
        <v>5920456</v>
      </c>
      <c r="E47" s="71" t="n">
        <f aca="false">RC!F84</f>
        <v>5868930</v>
      </c>
      <c r="F47" s="71" t="n">
        <f aca="false">RC!G84</f>
        <v>3402535</v>
      </c>
      <c r="G47" s="71" t="n">
        <f aca="false">RC!H84</f>
        <v>5162518</v>
      </c>
      <c r="H47" s="71" t="n">
        <f aca="false">RC!I84</f>
        <v>4540178</v>
      </c>
      <c r="I47" s="71" t="n">
        <f aca="false">RC!J84</f>
        <v>4231781</v>
      </c>
      <c r="J47" s="71" t="n">
        <f aca="false">RC!K84</f>
        <v>1827213</v>
      </c>
      <c r="K47" s="71" t="n">
        <f aca="false">RC!L84</f>
        <v>0</v>
      </c>
    </row>
    <row r="48" customFormat="false" ht="15.75" hidden="false" customHeight="true" outlineLevel="0" collapsed="false">
      <c r="A48" s="44" t="s">
        <v>501</v>
      </c>
      <c r="B48" s="71" t="n">
        <f aca="false">RC!B84</f>
        <v>7505439</v>
      </c>
      <c r="C48" s="71" t="n">
        <f aca="false">RC!C84</f>
        <v>6587462</v>
      </c>
      <c r="D48" s="71" t="n">
        <f aca="false">RC!D84</f>
        <v>6239648</v>
      </c>
      <c r="E48" s="71" t="n">
        <f aca="false">RC!E84</f>
        <v>5920456</v>
      </c>
      <c r="F48" s="71" t="n">
        <f aca="false">RC!F84</f>
        <v>5868930</v>
      </c>
      <c r="G48" s="71" t="n">
        <f aca="false">RC!G84</f>
        <v>3402535</v>
      </c>
      <c r="H48" s="71" t="n">
        <f aca="false">RC!H84</f>
        <v>5162518</v>
      </c>
      <c r="I48" s="71" t="n">
        <f aca="false">RC!I84</f>
        <v>4540178</v>
      </c>
      <c r="J48" s="71" t="n">
        <f aca="false">RC!J84</f>
        <v>4231781</v>
      </c>
      <c r="K48" s="71" t="n">
        <f aca="false">RC!K84</f>
        <v>1827213</v>
      </c>
    </row>
    <row r="49" customFormat="false" ht="15.75" hidden="false" customHeight="true" outlineLevel="0" collapsed="false">
      <c r="A49" s="44" t="s">
        <v>502</v>
      </c>
      <c r="B49" s="71" t="n">
        <f aca="false">RC!C82+RC!C79-RC!B79</f>
        <v>0</v>
      </c>
      <c r="C49" s="71" t="n">
        <f aca="false">RC!D82+RC!D79-RC!C79</f>
        <v>1</v>
      </c>
      <c r="D49" s="71" t="n">
        <f aca="false">RC!E82+RC!E79-RC!D79</f>
        <v>1</v>
      </c>
      <c r="E49" s="71" t="n">
        <f aca="false">RC!F82+RC!F79-RC!E79</f>
        <v>2</v>
      </c>
      <c r="F49" s="71" t="n">
        <f aca="false">RC!G82+RC!G79-RC!F79</f>
        <v>0</v>
      </c>
      <c r="G49" s="71" t="n">
        <f aca="false">RC!H82+RC!H79-RC!G79</f>
        <v>2</v>
      </c>
      <c r="H49" s="71" t="n">
        <f aca="false">RC!I82+RC!I79-RC!H79</f>
        <v>-6</v>
      </c>
      <c r="I49" s="71" t="n">
        <f aca="false">RC!J82+RC!J79-RC!I79</f>
        <v>1</v>
      </c>
      <c r="J49" s="71" t="n">
        <f aca="false">RC!K82+RC!K79-RC!J79</f>
        <v>0</v>
      </c>
      <c r="K49" s="71" t="n">
        <f aca="false">RC!L82+RC!L79-RC!K79</f>
        <v>-1016567</v>
      </c>
    </row>
    <row r="50" customFormat="false" ht="15.75" hidden="false" customHeight="true" outlineLevel="0" collapsed="false">
      <c r="A50" s="44" t="s">
        <v>503</v>
      </c>
      <c r="B50" s="71" t="n">
        <f aca="false">RC!B76-RC!C76</f>
        <v>-847500</v>
      </c>
      <c r="C50" s="71" t="n">
        <f aca="false">RC!C76-RC!D76</f>
        <v>0</v>
      </c>
      <c r="D50" s="71" t="n">
        <f aca="false">RC!D76-RC!E76</f>
        <v>57500</v>
      </c>
      <c r="E50" s="71" t="n">
        <f aca="false">RC!E76-RC!F76</f>
        <v>350000</v>
      </c>
      <c r="F50" s="71" t="n">
        <f aca="false">RC!F76-RC!G76</f>
        <v>87200</v>
      </c>
      <c r="G50" s="71" t="n">
        <f aca="false">RC!G76-RC!H76</f>
        <v>-43000</v>
      </c>
      <c r="H50" s="71" t="n">
        <f aca="false">RC!H76-RC!I76</f>
        <v>4000</v>
      </c>
      <c r="I50" s="71" t="n">
        <f aca="false">RC!I76-RC!J76</f>
        <v>-37288</v>
      </c>
      <c r="J50" s="71" t="n">
        <f aca="false">RC!J76-RC!K76</f>
        <v>1909576</v>
      </c>
      <c r="K50" s="71" t="n">
        <f aca="false">RC!K76-RC!L76</f>
        <v>45000</v>
      </c>
    </row>
    <row r="51" customFormat="false" ht="15.75" hidden="false" customHeight="true" outlineLevel="0" collapsed="false">
      <c r="A51" s="44" t="s">
        <v>504</v>
      </c>
      <c r="B51" s="71" t="n">
        <f aca="false">RF!C43-RF!D43</f>
        <v>347815</v>
      </c>
      <c r="C51" s="71" t="n">
        <f aca="false">RF!D43-RF!E43</f>
        <v>261692</v>
      </c>
      <c r="D51" s="71" t="n">
        <f aca="false">RF!E43-RF!F43</f>
        <v>-298473</v>
      </c>
      <c r="E51" s="71" t="n">
        <f aca="false">RF!F43-RF!G43</f>
        <v>2379193</v>
      </c>
      <c r="F51" s="71" t="n">
        <f aca="false">RF!G43-RF!H43</f>
        <v>-1716981</v>
      </c>
      <c r="G51" s="71" t="n">
        <f aca="false">RF!H43-RF!I43</f>
        <v>618332</v>
      </c>
      <c r="H51" s="71" t="n">
        <f aca="false">RF!I43-RF!J43</f>
        <v>345692</v>
      </c>
      <c r="I51" s="71" t="n">
        <f aca="false">RF!J43-RF!K43</f>
        <v>494991</v>
      </c>
      <c r="J51" s="71" t="n">
        <f aca="false">RF!K43-RF!L43</f>
        <v>665646</v>
      </c>
      <c r="K51" s="71" t="n">
        <f aca="false">RF!L43-RF!M43</f>
        <v>1016567</v>
      </c>
    </row>
    <row r="52" customFormat="false" ht="15.75" hidden="false" customHeight="true" outlineLevel="0" collapsed="false">
      <c r="A52" s="44" t="s">
        <v>505</v>
      </c>
      <c r="B52" s="71" t="n">
        <f aca="false">RC!B82-RC!C82</f>
        <v>17662</v>
      </c>
      <c r="C52" s="71" t="n">
        <f aca="false">RC!C82-RC!D82</f>
        <v>86122</v>
      </c>
      <c r="D52" s="71" t="n">
        <f aca="false">RC!D82-RC!E82</f>
        <v>560165</v>
      </c>
      <c r="E52" s="71" t="n">
        <f aca="false">RC!E82-RC!F82</f>
        <v>-2677667</v>
      </c>
      <c r="F52" s="71" t="n">
        <f aca="false">RC!F82-RC!G82</f>
        <v>4096176</v>
      </c>
      <c r="G52" s="71" t="n">
        <f aca="false">RC!G82-RC!H82</f>
        <v>-2335315</v>
      </c>
      <c r="H52" s="71" t="n">
        <f aca="false">RC!H82-RC!I82</f>
        <v>272648</v>
      </c>
      <c r="I52" s="71" t="n">
        <f aca="false">RC!I82-RC!J82</f>
        <v>-149306</v>
      </c>
      <c r="J52" s="71" t="n">
        <f aca="false">RC!J82-RC!K82</f>
        <v>-170654</v>
      </c>
      <c r="K52" s="71" t="n">
        <f aca="false">RC!K82-RC!L82</f>
        <v>665646</v>
      </c>
    </row>
    <row r="53" customFormat="false" ht="15.75" hidden="false" customHeight="true" outlineLevel="0" collapsed="false">
      <c r="A53" s="44" t="s">
        <v>506</v>
      </c>
      <c r="B53" s="71" t="n">
        <f aca="false">RC!B77-RC!C77</f>
        <v>1765477</v>
      </c>
      <c r="C53" s="71" t="n">
        <f aca="false">RC!C77-RC!D77</f>
        <v>347814</v>
      </c>
      <c r="D53" s="71" t="n">
        <f aca="false">RC!D77-RC!E77</f>
        <v>261692</v>
      </c>
      <c r="E53" s="71" t="n">
        <f aca="false">RC!E77-RC!F77</f>
        <v>-298474</v>
      </c>
      <c r="F53" s="71" t="n">
        <f aca="false">RC!F77-RC!G77</f>
        <v>2379195</v>
      </c>
      <c r="G53" s="71" t="n">
        <f aca="false">RC!G77-RC!H77</f>
        <v>-1716983</v>
      </c>
      <c r="H53" s="71" t="n">
        <f aca="false">RC!H77-RC!I77</f>
        <v>618340</v>
      </c>
      <c r="I53" s="71" t="n">
        <f aca="false">RC!I77-RC!J77</f>
        <v>345685</v>
      </c>
      <c r="J53" s="71" t="n">
        <f aca="false">RC!J77-RC!K77</f>
        <v>494992</v>
      </c>
      <c r="K53" s="71" t="n">
        <f aca="false">RC!K77-RC!L77</f>
        <v>1782213</v>
      </c>
    </row>
    <row r="54" customFormat="false" ht="15.75" hidden="false" customHeight="true" outlineLevel="0" collapsed="false">
      <c r="B54" s="72"/>
      <c r="C54" s="72"/>
      <c r="D54" s="72"/>
      <c r="E54" s="72"/>
      <c r="F54" s="72"/>
      <c r="G54" s="72"/>
      <c r="H54" s="72"/>
      <c r="I54" s="72"/>
      <c r="J54" s="72"/>
      <c r="K54" s="72"/>
    </row>
    <row r="55" customFormat="false" ht="12.75" hidden="false" customHeight="true" outlineLevel="0" collapsed="false"/>
    <row r="56" s="70" customFormat="true" ht="18" hidden="false" customHeight="true" outlineLevel="0" collapsed="false">
      <c r="A56" s="70" t="s">
        <v>454</v>
      </c>
      <c r="B56" s="70" t="n">
        <f aca="false">B1</f>
        <v>2024</v>
      </c>
      <c r="C56" s="70" t="n">
        <f aca="false">C1</f>
        <v>2023</v>
      </c>
      <c r="D56" s="70" t="n">
        <f aca="false">D1</f>
        <v>2022</v>
      </c>
      <c r="E56" s="70" t="n">
        <f aca="false">E1</f>
        <v>2021</v>
      </c>
      <c r="F56" s="70" t="n">
        <f aca="false">F1</f>
        <v>2020</v>
      </c>
      <c r="G56" s="70" t="n">
        <f aca="false">G1</f>
        <v>2019</v>
      </c>
      <c r="H56" s="70" t="n">
        <f aca="false">H1</f>
        <v>2018</v>
      </c>
      <c r="I56" s="70" t="n">
        <f aca="false">I1</f>
        <v>2017</v>
      </c>
      <c r="J56" s="70" t="n">
        <f aca="false">J1</f>
        <v>2016</v>
      </c>
      <c r="K56" s="70" t="n">
        <f aca="false">K1</f>
        <v>2015</v>
      </c>
    </row>
    <row r="57" s="57" customFormat="true" ht="15.75" hidden="false" customHeight="true" outlineLevel="0" collapsed="false">
      <c r="A57" s="73" t="s">
        <v>507</v>
      </c>
    </row>
    <row r="58" customFormat="false" ht="15.75" hidden="false" customHeight="true" outlineLevel="0" collapsed="false">
      <c r="A58" s="44" t="s">
        <v>457</v>
      </c>
      <c r="B58" s="74" t="n">
        <f aca="false">B4</f>
        <v>2250947</v>
      </c>
      <c r="C58" s="74" t="n">
        <f aca="false">C4</f>
        <v>1866122</v>
      </c>
      <c r="D58" s="74" t="n">
        <f aca="false">D4</f>
        <v>1034823</v>
      </c>
      <c r="E58" s="74" t="n">
        <f aca="false">E4</f>
        <v>-194384</v>
      </c>
      <c r="F58" s="74" t="n">
        <f aca="false">F4</f>
        <v>2930237</v>
      </c>
      <c r="G58" s="74" t="n">
        <f aca="false">G4</f>
        <v>-1450973</v>
      </c>
      <c r="H58" s="74" t="n">
        <f aca="false">H4</f>
        <v>846537</v>
      </c>
      <c r="I58" s="74" t="n">
        <f aca="false">I4</f>
        <v>560700</v>
      </c>
      <c r="J58" s="74" t="n">
        <f aca="false">J4</f>
        <v>782945</v>
      </c>
      <c r="K58" s="74" t="n">
        <f aca="false">K4</f>
        <v>933365</v>
      </c>
    </row>
    <row r="59" customFormat="false" ht="15.75" hidden="false" customHeight="true" outlineLevel="0" collapsed="false">
      <c r="A59" s="44" t="s">
        <v>508</v>
      </c>
      <c r="B59" s="74" t="n">
        <f aca="false">B7</f>
        <v>32682165</v>
      </c>
      <c r="C59" s="74" t="n">
        <f aca="false">C7</f>
        <v>26863768</v>
      </c>
      <c r="D59" s="74" t="n">
        <f aca="false">D7</f>
        <v>18270743</v>
      </c>
      <c r="E59" s="74" t="n">
        <f aca="false">E7</f>
        <v>15960871</v>
      </c>
      <c r="F59" s="74" t="n">
        <f aca="false">F7</f>
        <v>45566501</v>
      </c>
      <c r="G59" s="74" t="n">
        <f aca="false">G7</f>
        <v>23432087</v>
      </c>
      <c r="H59" s="74" t="n">
        <f aca="false">H7</f>
        <v>20383024</v>
      </c>
      <c r="I59" s="74" t="n">
        <f aca="false">I7</f>
        <v>17823677</v>
      </c>
      <c r="J59" s="74" t="n">
        <f aca="false">J7</f>
        <v>17354714</v>
      </c>
      <c r="K59" s="74" t="n">
        <f aca="false">K7</f>
        <v>16814530</v>
      </c>
    </row>
    <row r="60" s="57" customFormat="true" ht="15.75" hidden="false" customHeight="true" outlineLevel="0" collapsed="false">
      <c r="A60" s="57" t="s">
        <v>509</v>
      </c>
      <c r="B60" s="75" t="n">
        <f aca="false">B58/B59</f>
        <v>0.0688738643844433</v>
      </c>
      <c r="C60" s="75" t="n">
        <f aca="false">C58/C59</f>
        <v>0.0694661299933799</v>
      </c>
      <c r="D60" s="75" t="n">
        <f aca="false">D58/D59</f>
        <v>0.0566382549412468</v>
      </c>
      <c r="E60" s="75" t="n">
        <f aca="false">E58/E59</f>
        <v>-0.0121787839773907</v>
      </c>
      <c r="F60" s="75" t="n">
        <f aca="false">F58/F59</f>
        <v>0.0643068248755813</v>
      </c>
      <c r="G60" s="75" t="n">
        <f aca="false">G58/G59</f>
        <v>-0.0619224826196659</v>
      </c>
      <c r="H60" s="75" t="n">
        <f aca="false">H58/H59</f>
        <v>0.0415314724645372</v>
      </c>
      <c r="I60" s="75" t="n">
        <f aca="false">I58/I59</f>
        <v>0.0314581553514463</v>
      </c>
      <c r="J60" s="75" t="n">
        <f aca="false">J58/J59</f>
        <v>0.045114255412103</v>
      </c>
      <c r="K60" s="75" t="n">
        <f aca="false">K58/K59</f>
        <v>0.0555094314262724</v>
      </c>
    </row>
    <row r="61" customFormat="false" ht="15.75" hidden="false" customHeight="true" outlineLevel="0" collapsed="false">
      <c r="B61" s="74"/>
      <c r="C61" s="74"/>
      <c r="D61" s="74"/>
      <c r="E61" s="74"/>
      <c r="F61" s="74"/>
      <c r="G61" s="74"/>
      <c r="H61" s="74"/>
      <c r="I61" s="74"/>
      <c r="J61" s="74"/>
      <c r="K61" s="74"/>
    </row>
    <row r="62" customFormat="false" ht="15.75" hidden="false" customHeight="true" outlineLevel="0" collapsed="false">
      <c r="A62" s="44" t="s">
        <v>457</v>
      </c>
      <c r="B62" s="74" t="n">
        <f aca="false">B4</f>
        <v>2250947</v>
      </c>
      <c r="C62" s="74" t="n">
        <f aca="false">C4</f>
        <v>1866122</v>
      </c>
      <c r="D62" s="74" t="n">
        <f aca="false">D4</f>
        <v>1034823</v>
      </c>
      <c r="E62" s="74" t="n">
        <f aca="false">E4</f>
        <v>-194384</v>
      </c>
      <c r="F62" s="74" t="n">
        <f aca="false">F4</f>
        <v>2930237</v>
      </c>
      <c r="G62" s="74" t="n">
        <f aca="false">G4</f>
        <v>-1450973</v>
      </c>
      <c r="H62" s="74" t="n">
        <f aca="false">H4</f>
        <v>846537</v>
      </c>
      <c r="I62" s="74" t="n">
        <f aca="false">I4</f>
        <v>560700</v>
      </c>
      <c r="J62" s="74" t="n">
        <f aca="false">J4</f>
        <v>782945</v>
      </c>
      <c r="K62" s="74" t="n">
        <f aca="false">K4</f>
        <v>933365</v>
      </c>
    </row>
    <row r="63" customFormat="false" ht="15.75" hidden="false" customHeight="true" outlineLevel="0" collapsed="false">
      <c r="A63" s="44" t="s">
        <v>510</v>
      </c>
      <c r="B63" s="74" t="n">
        <f aca="false">B14</f>
        <v>34234387</v>
      </c>
      <c r="C63" s="74" t="n">
        <f aca="false">C14</f>
        <v>34084617.5</v>
      </c>
      <c r="D63" s="74" t="n">
        <f aca="false">D14</f>
        <v>30530487</v>
      </c>
      <c r="E63" s="74" t="n">
        <f aca="false">E14</f>
        <v>17028223</v>
      </c>
      <c r="F63" s="74" t="n">
        <f aca="false">F14</f>
        <v>16820154.5</v>
      </c>
      <c r="G63" s="74" t="n">
        <f aca="false">G14</f>
        <v>25420232.5</v>
      </c>
      <c r="H63" s="74" t="n">
        <f aca="false">H14</f>
        <v>20662791</v>
      </c>
      <c r="I63" s="74" t="n">
        <f aca="false">I14</f>
        <v>13344331</v>
      </c>
      <c r="J63" s="74" t="n">
        <f aca="false">J14</f>
        <v>7434189</v>
      </c>
      <c r="K63" s="74" t="n">
        <f aca="false">K14</f>
        <v>5378503</v>
      </c>
    </row>
    <row r="64" s="57" customFormat="true" ht="15.75" hidden="false" customHeight="true" outlineLevel="0" collapsed="false">
      <c r="A64" s="57" t="s">
        <v>511</v>
      </c>
      <c r="B64" s="75" t="n">
        <f aca="false">B62/B63</f>
        <v>0.065751053173524</v>
      </c>
      <c r="C64" s="75" t="n">
        <f aca="false">C62/C63</f>
        <v>0.0547496829031454</v>
      </c>
      <c r="D64" s="75" t="n">
        <f aca="false">D62/D63</f>
        <v>0.0338947426551041</v>
      </c>
      <c r="E64" s="75" t="n">
        <f aca="false">E62/E63</f>
        <v>-0.0114154013604356</v>
      </c>
      <c r="F64" s="75" t="n">
        <f aca="false">F62/F63</f>
        <v>0.174209874231536</v>
      </c>
      <c r="G64" s="75" t="n">
        <f aca="false">G62/G63</f>
        <v>-0.0570794543283583</v>
      </c>
      <c r="H64" s="75" t="n">
        <f aca="false">H62/H63</f>
        <v>0.0409691507792921</v>
      </c>
      <c r="I64" s="75" t="n">
        <f aca="false">I62/I63</f>
        <v>0.0420178426329503</v>
      </c>
      <c r="J64" s="75" t="n">
        <f aca="false">J62/J63</f>
        <v>0.105316800527939</v>
      </c>
      <c r="K64" s="75" t="n">
        <f aca="false">K62/K63</f>
        <v>0.173536205148533</v>
      </c>
    </row>
    <row r="65" customFormat="false" ht="15.75" hidden="false" customHeight="true" outlineLevel="0" collapsed="false">
      <c r="B65" s="74"/>
      <c r="C65" s="74"/>
      <c r="D65" s="74"/>
      <c r="E65" s="74"/>
      <c r="F65" s="74"/>
      <c r="G65" s="74"/>
      <c r="H65" s="74"/>
      <c r="I65" s="74"/>
      <c r="J65" s="74"/>
      <c r="K65" s="74"/>
    </row>
    <row r="66" customFormat="false" ht="15.75" hidden="false" customHeight="true" outlineLevel="0" collapsed="false">
      <c r="A66" s="44" t="s">
        <v>512</v>
      </c>
      <c r="B66" s="74" t="n">
        <f aca="false">-B27</f>
        <v>1737633</v>
      </c>
      <c r="C66" s="74" t="n">
        <f aca="false">-C27</f>
        <v>1482342</v>
      </c>
      <c r="D66" s="74" t="n">
        <f aca="false">-D27</f>
        <v>790069</v>
      </c>
      <c r="E66" s="74" t="n">
        <f aca="false">-E27</f>
        <v>354881</v>
      </c>
      <c r="F66" s="74" t="n">
        <f aca="false">-F27</f>
        <v>523242</v>
      </c>
      <c r="G66" s="74" t="n">
        <f aca="false">-G27</f>
        <v>383676</v>
      </c>
      <c r="H66" s="74" t="n">
        <f aca="false">-H27</f>
        <v>317240</v>
      </c>
      <c r="I66" s="74" t="n">
        <f aca="false">-I27</f>
        <v>185920</v>
      </c>
      <c r="J66" s="74" t="n">
        <f aca="false">-J27</f>
        <v>109194</v>
      </c>
      <c r="K66" s="74" t="n">
        <f aca="false">-K27</f>
        <v>173205</v>
      </c>
    </row>
    <row r="67" customFormat="false" ht="15.75" hidden="false" customHeight="true" outlineLevel="0" collapsed="false">
      <c r="A67" s="44" t="s">
        <v>513</v>
      </c>
      <c r="B67" s="74" t="n">
        <f aca="false">B30</f>
        <v>27220073.5</v>
      </c>
      <c r="C67" s="74" t="n">
        <f aca="false">C30</f>
        <v>27753370</v>
      </c>
      <c r="D67" s="74" t="n">
        <f aca="false">D30</f>
        <v>24988671.5</v>
      </c>
      <c r="E67" s="74" t="n">
        <f aca="false">E30</f>
        <v>16098099</v>
      </c>
      <c r="F67" s="74" t="n">
        <f aca="false">F30</f>
        <v>16867424</v>
      </c>
      <c r="G67" s="74" t="n">
        <f aca="false">G30</f>
        <v>21463108.5</v>
      </c>
      <c r="H67" s="74" t="n">
        <f aca="false">H30</f>
        <v>16012728.5</v>
      </c>
      <c r="I67" s="74" t="n">
        <f aca="false">I30</f>
        <v>9074853</v>
      </c>
      <c r="J67" s="74" t="n">
        <f aca="false">J30</f>
        <v>4468616</v>
      </c>
      <c r="K67" s="74" t="n">
        <f aca="false">K30</f>
        <v>3596104</v>
      </c>
    </row>
    <row r="68" s="57" customFormat="true" ht="15.75" hidden="false" customHeight="true" outlineLevel="0" collapsed="false">
      <c r="A68" s="57" t="s">
        <v>514</v>
      </c>
      <c r="B68" s="75" t="n">
        <f aca="false">B66/B67</f>
        <v>0.0638364551072943</v>
      </c>
      <c r="C68" s="75" t="n">
        <f aca="false">C66/C67</f>
        <v>0.0534112433913431</v>
      </c>
      <c r="D68" s="75" t="n">
        <f aca="false">D66/D67</f>
        <v>0.0316170869667881</v>
      </c>
      <c r="E68" s="75" t="n">
        <f aca="false">E66/E67</f>
        <v>0.0220449010780714</v>
      </c>
      <c r="F68" s="75" t="n">
        <f aca="false">F66/F67</f>
        <v>0.0310208600910252</v>
      </c>
      <c r="G68" s="75" t="n">
        <f aca="false">G66/G67</f>
        <v>0.017876068603949</v>
      </c>
      <c r="H68" s="75" t="n">
        <f aca="false">H66/H67</f>
        <v>0.0198117391423954</v>
      </c>
      <c r="I68" s="75" t="n">
        <f aca="false">I66/I67</f>
        <v>0.0204873842033584</v>
      </c>
      <c r="J68" s="75" t="n">
        <f aca="false">J66/J67</f>
        <v>0.0244357537098735</v>
      </c>
      <c r="K68" s="75" t="n">
        <f aca="false">K66/K67</f>
        <v>0.0481646248273131</v>
      </c>
    </row>
    <row r="69" customFormat="false" ht="15.75" hidden="false" customHeight="true" outlineLevel="0" collapsed="false">
      <c r="B69" s="74"/>
      <c r="C69" s="74"/>
      <c r="D69" s="74"/>
      <c r="E69" s="74"/>
      <c r="F69" s="74"/>
      <c r="G69" s="74"/>
      <c r="H69" s="74"/>
      <c r="I69" s="74"/>
      <c r="J69" s="74"/>
      <c r="K69" s="74"/>
    </row>
    <row r="70" customFormat="false" ht="15.75" hidden="false" customHeight="true" outlineLevel="0" collapsed="false">
      <c r="A70" s="44" t="s">
        <v>515</v>
      </c>
      <c r="B70" s="74" t="n">
        <f aca="false">B28</f>
        <v>5374</v>
      </c>
      <c r="C70" s="74" t="n">
        <f aca="false">C28</f>
        <v>2140</v>
      </c>
      <c r="D70" s="74" t="n">
        <f aca="false">D28</f>
        <v>15784</v>
      </c>
      <c r="E70" s="74" t="n">
        <f aca="false">E28</f>
        <v>12748</v>
      </c>
      <c r="F70" s="74" t="n">
        <f aca="false">F28</f>
        <v>3629</v>
      </c>
      <c r="G70" s="74" t="n">
        <f aca="false">G28</f>
        <v>60859</v>
      </c>
      <c r="H70" s="74" t="n">
        <f aca="false">H28</f>
        <v>95281</v>
      </c>
      <c r="I70" s="74" t="n">
        <f aca="false">I28</f>
        <v>78396</v>
      </c>
      <c r="J70" s="74" t="n">
        <f aca="false">J28</f>
        <v>75853</v>
      </c>
      <c r="K70" s="74" t="n">
        <f aca="false">K28</f>
        <v>131798</v>
      </c>
    </row>
    <row r="71" customFormat="false" ht="15.75" hidden="false" customHeight="true" outlineLevel="0" collapsed="false">
      <c r="A71" s="44" t="s">
        <v>516</v>
      </c>
      <c r="B71" s="74" t="n">
        <f aca="false">B31</f>
        <v>28999</v>
      </c>
      <c r="C71" s="74" t="n">
        <f aca="false">C31</f>
        <v>79169.5</v>
      </c>
      <c r="D71" s="74" t="n">
        <f aca="false">D31</f>
        <v>535098.5</v>
      </c>
      <c r="E71" s="74" t="n">
        <f aca="false">E31</f>
        <v>4961431</v>
      </c>
      <c r="F71" s="74" t="n">
        <f aca="false">F31</f>
        <v>4679864</v>
      </c>
      <c r="G71" s="74" t="n">
        <f aca="false">G31</f>
        <v>322264.5</v>
      </c>
      <c r="H71" s="74" t="n">
        <f aca="false">H31</f>
        <v>198147.5</v>
      </c>
      <c r="I71" s="74" t="n">
        <f aca="false">I31</f>
        <v>113363.5</v>
      </c>
      <c r="J71" s="74" t="n">
        <f aca="false">J31</f>
        <v>69916</v>
      </c>
      <c r="K71" s="74" t="n">
        <f aca="false">K31</f>
        <v>59936</v>
      </c>
    </row>
    <row r="72" s="57" customFormat="true" ht="15.75" hidden="false" customHeight="true" outlineLevel="0" collapsed="false">
      <c r="A72" s="57" t="s">
        <v>517</v>
      </c>
      <c r="B72" s="75" t="n">
        <f aca="false">B70/B71</f>
        <v>0.18531673505983</v>
      </c>
      <c r="C72" s="75" t="n">
        <f aca="false">C70/C71</f>
        <v>0.0270306115360082</v>
      </c>
      <c r="D72" s="75" t="n">
        <f aca="false">D70/D71</f>
        <v>0.0294973729135851</v>
      </c>
      <c r="E72" s="75" t="n">
        <f aca="false">E70/E71</f>
        <v>0.00256941999193378</v>
      </c>
      <c r="F72" s="75" t="n">
        <f aca="false">F70/F71</f>
        <v>0.000775449884868449</v>
      </c>
      <c r="G72" s="75" t="n">
        <f aca="false">G70/G71</f>
        <v>0.188847980463253</v>
      </c>
      <c r="H72" s="75" t="n">
        <f aca="false">H70/H71</f>
        <v>0.480858956080697</v>
      </c>
      <c r="I72" s="75" t="n">
        <f aca="false">I70/I71</f>
        <v>0.691545338667208</v>
      </c>
      <c r="J72" s="75" t="n">
        <f aca="false">J70/J71</f>
        <v>1.08491618513645</v>
      </c>
      <c r="K72" s="75" t="n">
        <f aca="false">K70/K71</f>
        <v>2.19897891083823</v>
      </c>
    </row>
    <row r="73" customFormat="false" ht="15.75" hidden="false" customHeight="true" outlineLevel="0" collapsed="false">
      <c r="B73" s="74"/>
      <c r="C73" s="74"/>
      <c r="D73" s="74"/>
      <c r="E73" s="74"/>
      <c r="F73" s="74"/>
      <c r="G73" s="74"/>
      <c r="H73" s="74"/>
      <c r="I73" s="74"/>
      <c r="J73" s="74"/>
      <c r="K73" s="74"/>
    </row>
    <row r="74" customFormat="false" ht="15.75" hidden="false" customHeight="true" outlineLevel="0" collapsed="false">
      <c r="A74" s="44" t="s">
        <v>518</v>
      </c>
      <c r="B74" s="74" t="n">
        <f aca="false">B17</f>
        <v>153</v>
      </c>
      <c r="C74" s="74" t="n">
        <f aca="false">C17</f>
        <v>103</v>
      </c>
      <c r="D74" s="74" t="n">
        <f aca="false">D17</f>
        <v>100</v>
      </c>
      <c r="E74" s="74" t="n">
        <f aca="false">E17</f>
        <v>0</v>
      </c>
      <c r="F74" s="74" t="n">
        <f aca="false">F17</f>
        <v>0</v>
      </c>
      <c r="G74" s="74" t="n">
        <f aca="false">G17</f>
        <v>45</v>
      </c>
      <c r="H74" s="74" t="n">
        <f aca="false">H17</f>
        <v>33</v>
      </c>
      <c r="I74" s="74" t="n">
        <f aca="false">I17</f>
        <v>0</v>
      </c>
      <c r="J74" s="74" t="n">
        <f aca="false">J17</f>
        <v>45</v>
      </c>
      <c r="K74" s="74" t="n">
        <f aca="false">K17</f>
        <v>45</v>
      </c>
    </row>
    <row r="75" customFormat="false" ht="15.75" hidden="false" customHeight="true" outlineLevel="0" collapsed="false">
      <c r="A75" s="44" t="s">
        <v>519</v>
      </c>
      <c r="B75" s="74" t="n">
        <f aca="false">B18</f>
        <v>3138</v>
      </c>
      <c r="C75" s="74" t="n">
        <f aca="false">C18</f>
        <v>3138</v>
      </c>
      <c r="D75" s="74" t="n">
        <f aca="false">D18</f>
        <v>3138</v>
      </c>
      <c r="E75" s="74" t="n">
        <f aca="false">E18</f>
        <v>3138</v>
      </c>
      <c r="F75" s="74" t="n">
        <f aca="false">F18</f>
        <v>3138</v>
      </c>
      <c r="G75" s="74" t="n">
        <f aca="false">G18</f>
        <v>3138</v>
      </c>
      <c r="H75" s="74" t="n">
        <f aca="false">H18</f>
        <v>3138</v>
      </c>
      <c r="I75" s="74" t="n">
        <f aca="false">I18</f>
        <v>3138</v>
      </c>
      <c r="J75" s="74" t="n">
        <f aca="false">J18</f>
        <v>2984.5</v>
      </c>
      <c r="K75" s="74" t="n">
        <f aca="false">K18</f>
        <v>2831</v>
      </c>
    </row>
    <row r="76" s="57" customFormat="true" ht="15.75" hidden="false" customHeight="true" outlineLevel="0" collapsed="false">
      <c r="A76" s="57" t="s">
        <v>520</v>
      </c>
      <c r="B76" s="75" t="n">
        <f aca="false">B74/B75</f>
        <v>0.0487571701720841</v>
      </c>
      <c r="C76" s="75" t="n">
        <f aca="false">C74/C75</f>
        <v>0.032823454429573</v>
      </c>
      <c r="D76" s="75" t="n">
        <f aca="false">D74/D75</f>
        <v>0.0318674314850223</v>
      </c>
      <c r="E76" s="75" t="n">
        <f aca="false">E74/E75</f>
        <v>0</v>
      </c>
      <c r="F76" s="75" t="n">
        <f aca="false">F74/F75</f>
        <v>0</v>
      </c>
      <c r="G76" s="75" t="n">
        <f aca="false">G74/G75</f>
        <v>0.01434034416826</v>
      </c>
      <c r="H76" s="75" t="n">
        <f aca="false">H74/H75</f>
        <v>0.0105162523900574</v>
      </c>
      <c r="I76" s="75" t="n">
        <f aca="false">I74/I75</f>
        <v>0</v>
      </c>
      <c r="J76" s="75" t="n">
        <f aca="false">J74/J75</f>
        <v>0.0150779024962305</v>
      </c>
      <c r="K76" s="75" t="n">
        <f aca="false">K74/K75</f>
        <v>0.0158954433062522</v>
      </c>
    </row>
    <row r="77" customFormat="false" ht="15.75" hidden="false" customHeight="true" outlineLevel="0" collapsed="false">
      <c r="B77" s="74"/>
      <c r="C77" s="74"/>
      <c r="D77" s="74"/>
      <c r="E77" s="74"/>
      <c r="F77" s="74"/>
      <c r="G77" s="74"/>
      <c r="H77" s="74"/>
      <c r="I77" s="74"/>
      <c r="J77" s="74"/>
      <c r="K77" s="74"/>
    </row>
    <row r="78" customFormat="false" ht="15.75" hidden="false" customHeight="true" outlineLevel="0" collapsed="false">
      <c r="A78" s="44" t="s">
        <v>459</v>
      </c>
      <c r="B78" s="74" t="n">
        <f aca="false">B6</f>
        <v>365477</v>
      </c>
      <c r="C78" s="74" t="n">
        <f aca="false">C6</f>
        <v>347815</v>
      </c>
      <c r="D78" s="74" t="n">
        <f aca="false">D6</f>
        <v>261693</v>
      </c>
      <c r="E78" s="74" t="n">
        <f aca="false">E6</f>
        <v>-298472</v>
      </c>
      <c r="F78" s="74" t="n">
        <f aca="false">F6</f>
        <v>2379195</v>
      </c>
      <c r="G78" s="74" t="n">
        <f aca="false">G6</f>
        <v>-1716981</v>
      </c>
      <c r="H78" s="74" t="n">
        <f aca="false">H6</f>
        <v>618334</v>
      </c>
      <c r="I78" s="74" t="n">
        <f aca="false">I6</f>
        <v>345686</v>
      </c>
      <c r="J78" s="74" t="n">
        <f aca="false">J6</f>
        <v>494992</v>
      </c>
      <c r="K78" s="74" t="n">
        <f aca="false">K6</f>
        <v>665646</v>
      </c>
    </row>
    <row r="79" customFormat="false" ht="15.75" hidden="false" customHeight="true" outlineLevel="0" collapsed="false">
      <c r="A79" s="44" t="s">
        <v>521</v>
      </c>
      <c r="B79" s="74" t="n">
        <f aca="false">B46</f>
        <v>7046450.5</v>
      </c>
      <c r="C79" s="74" t="n">
        <f aca="false">C46</f>
        <v>6413555</v>
      </c>
      <c r="D79" s="74" t="n">
        <f aca="false">D46</f>
        <v>6080052</v>
      </c>
      <c r="E79" s="74" t="n">
        <f aca="false">E46</f>
        <v>5894693</v>
      </c>
      <c r="F79" s="74" t="n">
        <f aca="false">F46</f>
        <v>4635732.5</v>
      </c>
      <c r="G79" s="74" t="n">
        <f aca="false">G46</f>
        <v>4282526.5</v>
      </c>
      <c r="H79" s="74" t="n">
        <f aca="false">H46</f>
        <v>4851348</v>
      </c>
      <c r="I79" s="74" t="n">
        <f aca="false">I46</f>
        <v>4385979.5</v>
      </c>
      <c r="J79" s="74" t="n">
        <f aca="false">J46</f>
        <v>3029497</v>
      </c>
      <c r="K79" s="74" t="n">
        <f aca="false">K46</f>
        <v>1827213</v>
      </c>
    </row>
    <row r="80" s="57" customFormat="true" ht="15.75" hidden="false" customHeight="true" outlineLevel="0" collapsed="false">
      <c r="A80" s="57" t="s">
        <v>522</v>
      </c>
      <c r="B80" s="75" t="n">
        <f aca="false">B78/B79</f>
        <v>0.0518668228777028</v>
      </c>
      <c r="C80" s="75" t="n">
        <f aca="false">C78/C79</f>
        <v>0.0542312336917669</v>
      </c>
      <c r="D80" s="75" t="n">
        <f aca="false">D78/D79</f>
        <v>0.043041243726205</v>
      </c>
      <c r="E80" s="75" t="n">
        <f aca="false">E78/E79</f>
        <v>-0.0506340194476625</v>
      </c>
      <c r="F80" s="75" t="n">
        <f aca="false">F78/F79</f>
        <v>0.513229570515555</v>
      </c>
      <c r="G80" s="75" t="n">
        <f aca="false">G78/G79</f>
        <v>-0.400927116271201</v>
      </c>
      <c r="H80" s="75" t="n">
        <f aca="false">H78/H79</f>
        <v>0.127456121473867</v>
      </c>
      <c r="I80" s="75" t="n">
        <f aca="false">I78/I79</f>
        <v>0.0788161458574989</v>
      </c>
      <c r="J80" s="75" t="n">
        <f aca="false">J78/J79</f>
        <v>0.163390820324298</v>
      </c>
      <c r="K80" s="75" t="n">
        <f aca="false">K78/K79</f>
        <v>0.364295788175763</v>
      </c>
    </row>
    <row r="81" customFormat="false" ht="15.75" hidden="false" customHeight="true" outlineLevel="0" collapsed="false">
      <c r="B81" s="74"/>
      <c r="C81" s="74"/>
      <c r="D81" s="74"/>
      <c r="E81" s="74"/>
      <c r="F81" s="74"/>
      <c r="G81" s="74"/>
      <c r="H81" s="74"/>
      <c r="I81" s="74"/>
      <c r="J81" s="74"/>
      <c r="K81" s="74"/>
    </row>
    <row r="82" customFormat="false" ht="15.75" hidden="false" customHeight="true" outlineLevel="0" collapsed="false">
      <c r="A82" s="44" t="s">
        <v>523</v>
      </c>
      <c r="B82" s="74" t="n">
        <f aca="false">B3</f>
        <v>518841</v>
      </c>
      <c r="C82" s="74" t="n">
        <f aca="false">C3</f>
        <v>386023</v>
      </c>
      <c r="D82" s="74" t="n">
        <f aca="false">D3</f>
        <v>260638</v>
      </c>
      <c r="E82" s="74" t="n">
        <f aca="false">E3</f>
        <v>-536517</v>
      </c>
      <c r="F82" s="74" t="n">
        <f aca="false">F3</f>
        <v>2410624</v>
      </c>
      <c r="G82" s="74" t="n">
        <f aca="false">G3</f>
        <v>-1773745</v>
      </c>
      <c r="H82" s="74" t="n">
        <f aca="false">H3</f>
        <v>624611</v>
      </c>
      <c r="I82" s="74" t="n">
        <f aca="false">I3</f>
        <v>453176</v>
      </c>
      <c r="J82" s="74" t="n">
        <f aca="false">J3</f>
        <v>749649</v>
      </c>
      <c r="K82" s="74" t="n">
        <f aca="false">K3</f>
        <v>892003</v>
      </c>
    </row>
    <row r="83" customFormat="false" ht="15.75" hidden="false" customHeight="true" outlineLevel="0" collapsed="false">
      <c r="A83" s="44" t="s">
        <v>521</v>
      </c>
      <c r="B83" s="74" t="n">
        <f aca="false">B46</f>
        <v>7046450.5</v>
      </c>
      <c r="C83" s="74" t="n">
        <f aca="false">C46</f>
        <v>6413555</v>
      </c>
      <c r="D83" s="74" t="n">
        <f aca="false">D46</f>
        <v>6080052</v>
      </c>
      <c r="E83" s="74" t="n">
        <f aca="false">E46</f>
        <v>5894693</v>
      </c>
      <c r="F83" s="74" t="n">
        <f aca="false">F46</f>
        <v>4635732.5</v>
      </c>
      <c r="G83" s="74" t="n">
        <f aca="false">G46</f>
        <v>4282526.5</v>
      </c>
      <c r="H83" s="74" t="n">
        <f aca="false">H46</f>
        <v>4851348</v>
      </c>
      <c r="I83" s="74" t="n">
        <f aca="false">I46</f>
        <v>4385979.5</v>
      </c>
      <c r="J83" s="74" t="n">
        <f aca="false">J46</f>
        <v>3029497</v>
      </c>
      <c r="K83" s="74" t="n">
        <f aca="false">K46</f>
        <v>1827213</v>
      </c>
    </row>
    <row r="84" s="57" customFormat="true" ht="15.75" hidden="false" customHeight="true" outlineLevel="0" collapsed="false">
      <c r="A84" s="57" t="s">
        <v>524</v>
      </c>
      <c r="B84" s="75" t="n">
        <f aca="false">B82/B83</f>
        <v>0.073631539737631</v>
      </c>
      <c r="C84" s="75" t="n">
        <f aca="false">C82/C83</f>
        <v>0.0601886161419057</v>
      </c>
      <c r="D84" s="75" t="n">
        <f aca="false">D82/D83</f>
        <v>0.0428677254734006</v>
      </c>
      <c r="E84" s="75" t="n">
        <f aca="false">E82/E83</f>
        <v>-0.0910169537243076</v>
      </c>
      <c r="F84" s="75" t="n">
        <f aca="false">F82/F83</f>
        <v>0.520009297344055</v>
      </c>
      <c r="G84" s="75" t="n">
        <f aca="false">G82/G83</f>
        <v>-0.414181908740086</v>
      </c>
      <c r="H84" s="75" t="n">
        <f aca="false">H82/H83</f>
        <v>0.128749988662945</v>
      </c>
      <c r="I84" s="75" t="n">
        <f aca="false">I82/I83</f>
        <v>0.103323784345093</v>
      </c>
      <c r="J84" s="75" t="n">
        <f aca="false">J82/J83</f>
        <v>0.247449989222633</v>
      </c>
      <c r="K84" s="75" t="n">
        <f aca="false">K82/K83</f>
        <v>0.48817680259499</v>
      </c>
    </row>
    <row r="85" customFormat="false" ht="15.75" hidden="false" customHeight="true" outlineLevel="0" collapsed="false">
      <c r="B85" s="74"/>
      <c r="C85" s="74"/>
      <c r="D85" s="74"/>
      <c r="E85" s="74"/>
      <c r="F85" s="74"/>
      <c r="G85" s="74"/>
      <c r="H85" s="74"/>
      <c r="I85" s="74"/>
      <c r="J85" s="74"/>
      <c r="K85" s="74"/>
    </row>
    <row r="86" customFormat="false" ht="15.75" hidden="false" customHeight="true" outlineLevel="0" collapsed="false">
      <c r="A86" s="76" t="s">
        <v>525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</row>
    <row r="87" customFormat="false" ht="15.75" hidden="false" customHeight="true" outlineLevel="0" collapsed="false">
      <c r="A87" s="44" t="s">
        <v>511</v>
      </c>
      <c r="B87" s="74" t="n">
        <f aca="false">B64</f>
        <v>0.065751053173524</v>
      </c>
      <c r="C87" s="74" t="n">
        <f aca="false">C64</f>
        <v>0.0547496829031454</v>
      </c>
      <c r="D87" s="74" t="n">
        <f aca="false">D64</f>
        <v>0.0338947426551041</v>
      </c>
      <c r="E87" s="74" t="n">
        <f aca="false">E64</f>
        <v>-0.0114154013604356</v>
      </c>
      <c r="F87" s="74" t="n">
        <f aca="false">F64</f>
        <v>0.174209874231536</v>
      </c>
      <c r="G87" s="74" t="n">
        <f aca="false">G64</f>
        <v>-0.0570794543283583</v>
      </c>
      <c r="H87" s="74" t="n">
        <f aca="false">H64</f>
        <v>0.0409691507792921</v>
      </c>
      <c r="I87" s="74" t="n">
        <f aca="false">I64</f>
        <v>0.0420178426329503</v>
      </c>
      <c r="J87" s="74" t="n">
        <f aca="false">J64</f>
        <v>0.105316800527939</v>
      </c>
      <c r="K87" s="74" t="n">
        <f aca="false">K64</f>
        <v>0.173536205148533</v>
      </c>
    </row>
    <row r="88" customFormat="false" ht="15.75" hidden="false" customHeight="true" outlineLevel="0" collapsed="false">
      <c r="A88" s="44" t="s">
        <v>526</v>
      </c>
      <c r="B88" s="74" t="n">
        <f aca="false">(B87-B68)*(B30/B46)</f>
        <v>0.00739599321470183</v>
      </c>
      <c r="C88" s="74" t="n">
        <f aca="false">(C87-C68)*(C30/C46)</f>
        <v>0.00579182793219486</v>
      </c>
      <c r="D88" s="74" t="n">
        <f aca="false">(D87-D68)*(D30/D46)</f>
        <v>0.00936103667952727</v>
      </c>
      <c r="E88" s="74" t="n">
        <f aca="false">(E87-E68)*(E30/E46)</f>
        <v>-0.0913783400127922</v>
      </c>
      <c r="F88" s="74" t="n">
        <f aca="false">(F87-F68)*(F30/F46)</f>
        <v>0.521002843380197</v>
      </c>
      <c r="G88" s="74" t="n">
        <f aca="false">(G87-G68)*(G30/G46)</f>
        <v>-0.375661077957217</v>
      </c>
      <c r="H88" s="74" t="n">
        <f aca="false">(H87-H68)*(H30/H46)</f>
        <v>0.0698337633796562</v>
      </c>
      <c r="I88" s="74" t="n">
        <f aca="false">(I87-I68)*(I30/I46)</f>
        <v>0.0445478017558351</v>
      </c>
      <c r="J88" s="74" t="n">
        <f aca="false">(J87-J68)*(J30/J46)</f>
        <v>0.119302425421764</v>
      </c>
      <c r="K88" s="74" t="n">
        <f aca="false">(K87-K68)*(K30/K46)</f>
        <v>0.246741480867014</v>
      </c>
    </row>
    <row r="89" customFormat="false" ht="15.75" hidden="false" customHeight="true" outlineLevel="0" collapsed="false">
      <c r="A89" s="44" t="s">
        <v>527</v>
      </c>
      <c r="B89" s="74" t="n">
        <f aca="false">(B72-B87)*(B31/B46)</f>
        <v>0.000492061245448468</v>
      </c>
      <c r="C89" s="74" t="n">
        <f aca="false">(C72-C87)*(C31/C46)</f>
        <v>-0.000342166711067508</v>
      </c>
      <c r="D89" s="74" t="n">
        <f aca="false">(D72-D87)*(D31/D46)</f>
        <v>-0.000387007537539514</v>
      </c>
      <c r="E89" s="74" t="n">
        <f aca="false">(E72-E87)*(E31/E46)</f>
        <v>0.0117707107371168</v>
      </c>
      <c r="F89" s="74" t="n">
        <f aca="false">(F72-F87)*(F31/F46)</f>
        <v>-0.175085494872858</v>
      </c>
      <c r="G89" s="74" t="n">
        <f aca="false">(G72-G87)*(G31/G46)</f>
        <v>0.0185062910432431</v>
      </c>
      <c r="H89" s="74" t="n">
        <f aca="false">(H72-H87)*(H31/H46)</f>
        <v>0.0179667723684139</v>
      </c>
      <c r="I89" s="74" t="n">
        <f aca="false">(I72-I87)*(I31/I46)</f>
        <v>0.0167882021100827</v>
      </c>
      <c r="J89" s="74" t="n">
        <f aca="false">(J72-J87)*(J31/J46)</f>
        <v>0.0226076046862857</v>
      </c>
      <c r="K89" s="74" t="n">
        <f aca="false">(K72-K87)*(K31/K46)</f>
        <v>0.0664383046794312</v>
      </c>
    </row>
    <row r="90" customFormat="false" ht="15.75" hidden="false" customHeight="true" outlineLevel="0" collapsed="false">
      <c r="A90" s="44" t="s">
        <v>528</v>
      </c>
      <c r="B90" s="74" t="n">
        <f aca="false">(B76-B87)*(B75/B46)</f>
        <v>-7.56789604333677E-006</v>
      </c>
      <c r="C90" s="74" t="n">
        <f aca="false">(C76-C87)*(C75/C46)</f>
        <v>-1.07279823670445E-005</v>
      </c>
      <c r="D90" s="74" t="n">
        <f aca="false">(D76-D87)*(D75/D46)</f>
        <v>-1.04632369126391E-006</v>
      </c>
      <c r="E90" s="74" t="n">
        <f aca="false">(E76-E87)*(E75/E46)</f>
        <v>6.07691180338769E-006</v>
      </c>
      <c r="F90" s="74" t="n">
        <f aca="false">(F76-F87)*(F75/F46)</f>
        <v>-0.00011792539481917</v>
      </c>
      <c r="G90" s="74" t="n">
        <f aca="false">(G76-G87)*(G75/G46)</f>
        <v>5.23325022466034E-005</v>
      </c>
      <c r="H90" s="74" t="n">
        <f aca="false">(H76-H87)*(H75/H46)</f>
        <v>-1.96978644173575E-005</v>
      </c>
      <c r="I90" s="74" t="n">
        <f aca="false">(I76-I87)*(I75/I46)</f>
        <v>-3.00621537748177E-005</v>
      </c>
      <c r="J90" s="74" t="n">
        <f aca="false">(J76-J87)*(J75/J46)</f>
        <v>-8.88985832221107E-005</v>
      </c>
      <c r="K90" s="74" t="n">
        <f aca="false">(K76-K87)*(K75/K46)</f>
        <v>-0.000244241364731696</v>
      </c>
    </row>
    <row r="91" s="57" customFormat="true" ht="15.75" hidden="false" customHeight="true" outlineLevel="0" collapsed="false">
      <c r="A91" s="57" t="s">
        <v>524</v>
      </c>
      <c r="B91" s="75" t="n">
        <f aca="false">SUM(B87:B90)</f>
        <v>0.073631539737631</v>
      </c>
      <c r="C91" s="75" t="n">
        <f aca="false">SUM(C87:C90)</f>
        <v>0.0601886161419057</v>
      </c>
      <c r="D91" s="75" t="n">
        <f aca="false">SUM(D87:D90)</f>
        <v>0.0428677254734006</v>
      </c>
      <c r="E91" s="75" t="n">
        <f aca="false">SUM(E87:E90)</f>
        <v>-0.0910169537243076</v>
      </c>
      <c r="F91" s="75" t="n">
        <f aca="false">SUM(F87:F90)</f>
        <v>0.520009297344055</v>
      </c>
      <c r="G91" s="75" t="n">
        <f aca="false">SUM(G87:G90)</f>
        <v>-0.414181908740086</v>
      </c>
      <c r="H91" s="75" t="n">
        <f aca="false">SUM(H87:H90)</f>
        <v>0.128749988662945</v>
      </c>
      <c r="I91" s="75" t="n">
        <f aca="false">SUM(I87:I90)</f>
        <v>0.103323784345093</v>
      </c>
      <c r="J91" s="75" t="n">
        <f aca="false">SUM(J87:J90)</f>
        <v>0.247137932052767</v>
      </c>
      <c r="K91" s="75" t="n">
        <f aca="false">SUM(K87:K90)</f>
        <v>0.486471749330247</v>
      </c>
    </row>
    <row r="92" customFormat="false" ht="15.75" hidden="false" customHeight="true" outlineLevel="0" collapsed="false">
      <c r="B92" s="74"/>
      <c r="C92" s="74"/>
      <c r="D92" s="74"/>
      <c r="E92" s="74"/>
      <c r="F92" s="74"/>
      <c r="G92" s="74"/>
      <c r="H92" s="74"/>
      <c r="I92" s="74"/>
      <c r="J92" s="74"/>
      <c r="K92" s="74"/>
    </row>
    <row r="93" customFormat="false" ht="15.75" hidden="false" customHeight="true" outlineLevel="0" collapsed="false">
      <c r="A93" s="76" t="s">
        <v>529</v>
      </c>
      <c r="B93" s="74"/>
      <c r="C93" s="74"/>
      <c r="D93" s="74"/>
      <c r="E93" s="74"/>
      <c r="F93" s="74"/>
      <c r="G93" s="74"/>
      <c r="H93" s="74"/>
      <c r="I93" s="74"/>
      <c r="J93" s="74"/>
      <c r="K93" s="74"/>
    </row>
    <row r="94" customFormat="false" ht="15.75" hidden="false" customHeight="true" outlineLevel="0" collapsed="false">
      <c r="A94" s="44" t="s">
        <v>530</v>
      </c>
      <c r="B94" s="74" t="n">
        <f aca="false">B64*(B14/B46)</f>
        <v>0.319444094583507</v>
      </c>
      <c r="C94" s="74" t="n">
        <f aca="false">C64*(C14/C46)</f>
        <v>0.290965307072287</v>
      </c>
      <c r="D94" s="74" t="n">
        <f aca="false">D64*(D14/D46)</f>
        <v>0.170199695660498</v>
      </c>
      <c r="E94" s="74" t="n">
        <f aca="false">E64*(E14/E46)</f>
        <v>-0.0329761024026188</v>
      </c>
      <c r="F94" s="74" t="n">
        <f aca="false">F64*(F14/F46)</f>
        <v>0.632097947843194</v>
      </c>
      <c r="G94" s="74" t="n">
        <f aca="false">G64*(G14/G46)</f>
        <v>-0.3388123809625</v>
      </c>
      <c r="H94" s="74" t="n">
        <f aca="false">H64*(H14/H46)</f>
        <v>0.174495212464659</v>
      </c>
      <c r="I94" s="74" t="n">
        <f aca="false">I64*(I14/I46)</f>
        <v>0.127839174806905</v>
      </c>
      <c r="J94" s="74" t="n">
        <f aca="false">J64*(J14/J46)</f>
        <v>0.258440592613229</v>
      </c>
      <c r="K94" s="74" t="n">
        <f aca="false">K64*(K14/K46)</f>
        <v>0.510813462907718</v>
      </c>
    </row>
    <row r="95" customFormat="false" ht="15.75" hidden="false" customHeight="true" outlineLevel="0" collapsed="false">
      <c r="A95" s="44" t="s">
        <v>531</v>
      </c>
      <c r="B95" s="74" t="n">
        <f aca="false">-B68*(B30/B46)</f>
        <v>-0.246596921386165</v>
      </c>
      <c r="C95" s="74" t="n">
        <f aca="false">-C68*(C30/C46)</f>
        <v>-0.231126418967328</v>
      </c>
      <c r="D95" s="74" t="n">
        <f aca="false">-D68*(D30/D46)</f>
        <v>-0.129944447843538</v>
      </c>
      <c r="E95" s="74" t="n">
        <f aca="false">-E68*(E30/E46)</f>
        <v>-0.0602034745490562</v>
      </c>
      <c r="F95" s="74" t="n">
        <f aca="false">-F68*(F30/F46)</f>
        <v>-0.112871482554267</v>
      </c>
      <c r="G95" s="74" t="n">
        <f aca="false">-G68*(G30/G46)</f>
        <v>-0.0895910393082215</v>
      </c>
      <c r="H95" s="74" t="n">
        <f aca="false">-H68*(H30/H46)</f>
        <v>-0.0653921343098867</v>
      </c>
      <c r="I95" s="74" t="n">
        <f aca="false">-I68*(I30/I46)</f>
        <v>-0.0423896190121272</v>
      </c>
      <c r="J95" s="74" t="n">
        <f aca="false">-J68*(J30/J46)</f>
        <v>-0.0360436072390895</v>
      </c>
      <c r="K95" s="74" t="n">
        <f aca="false">-K68*(K30/K46)</f>
        <v>-0.0947919043920988</v>
      </c>
    </row>
    <row r="96" customFormat="false" ht="15.75" hidden="false" customHeight="true" outlineLevel="0" collapsed="false">
      <c r="A96" s="44" t="s">
        <v>532</v>
      </c>
      <c r="B96" s="74" t="n">
        <f aca="false">B72*(B31/B46)</f>
        <v>0.000762653480642488</v>
      </c>
      <c r="C96" s="74" t="n">
        <f aca="false">C72*(C31/C46)</f>
        <v>0.000333668300965689</v>
      </c>
      <c r="D96" s="74" t="n">
        <f aca="false">D72*(D31/D46)</f>
        <v>0.00259603042868712</v>
      </c>
      <c r="E96" s="74" t="n">
        <f aca="false">E72*(E31/E46)</f>
        <v>0.0021626232273674</v>
      </c>
      <c r="F96" s="74" t="n">
        <f aca="false">F72*(F31/F46)</f>
        <v>0.000782832055128289</v>
      </c>
      <c r="G96" s="74" t="n">
        <f aca="false">G72*(G31/G46)</f>
        <v>0.0142110037147464</v>
      </c>
      <c r="H96" s="74" t="n">
        <f aca="false">H72*(H31/H46)</f>
        <v>0.0196401082750609</v>
      </c>
      <c r="I96" s="74" t="n">
        <f aca="false">I72*(I31/I46)</f>
        <v>0.0178742285503158</v>
      </c>
      <c r="J96" s="74" t="n">
        <f aca="false">J72*(J31/J46)</f>
        <v>0.0250381498974912</v>
      </c>
      <c r="K96" s="74" t="n">
        <f aca="false">K72*(K31/K46)</f>
        <v>0.0721306164087055</v>
      </c>
    </row>
    <row r="97" customFormat="false" ht="15.75" hidden="false" customHeight="true" outlineLevel="0" collapsed="false">
      <c r="A97" s="44" t="s">
        <v>533</v>
      </c>
      <c r="B97" s="74" t="n">
        <f aca="false">B76*(B18/B46)</f>
        <v>2.17130596461296E-005</v>
      </c>
      <c r="C97" s="74" t="n">
        <f aca="false">C76*(C18/C46)</f>
        <v>1.60597359810589E-005</v>
      </c>
      <c r="D97" s="74" t="n">
        <f aca="false">D76*(D18/D46)</f>
        <v>1.64472277539732E-005</v>
      </c>
      <c r="E97" s="74" t="n">
        <f aca="false">E76*(E18/E46)</f>
        <v>0</v>
      </c>
      <c r="F97" s="74" t="n">
        <f aca="false">F76*(F18/F46)</f>
        <v>0</v>
      </c>
      <c r="G97" s="74" t="n">
        <f aca="false">G76*(G18/G46)</f>
        <v>1.05078158885882E-005</v>
      </c>
      <c r="H97" s="74" t="n">
        <f aca="false">H76*(H18/H46)</f>
        <v>6.80223311129196E-006</v>
      </c>
      <c r="I97" s="74" t="n">
        <f aca="false">I76*(I18/I46)</f>
        <v>0</v>
      </c>
      <c r="J97" s="74" t="n">
        <f aca="false">J76*(J18/J46)</f>
        <v>1.48539510024271E-005</v>
      </c>
      <c r="K97" s="74" t="n">
        <f aca="false">K76*(K18/K46)</f>
        <v>2.46276706656531E-005</v>
      </c>
    </row>
    <row r="98" s="57" customFormat="true" ht="15.75" hidden="false" customHeight="true" outlineLevel="0" collapsed="false">
      <c r="A98" s="57" t="s">
        <v>524</v>
      </c>
      <c r="B98" s="75" t="n">
        <f aca="false">SUM(B94:B97)</f>
        <v>0.073631539737631</v>
      </c>
      <c r="C98" s="75" t="n">
        <f aca="false">SUM(C94:C97)</f>
        <v>0.0601886161419057</v>
      </c>
      <c r="D98" s="75" t="n">
        <f aca="false">SUM(D94:D97)</f>
        <v>0.0428677254734006</v>
      </c>
      <c r="E98" s="75" t="n">
        <f aca="false">SUM(E94:E97)</f>
        <v>-0.0910169537243076</v>
      </c>
      <c r="F98" s="75" t="n">
        <f aca="false">SUM(F94:F97)</f>
        <v>0.520009297344055</v>
      </c>
      <c r="G98" s="75" t="n">
        <f aca="false">SUM(G94:G97)</f>
        <v>-0.414181908740086</v>
      </c>
      <c r="H98" s="75" t="n">
        <f aca="false">SUM(H94:H97)</f>
        <v>0.128749988662945</v>
      </c>
      <c r="I98" s="75" t="n">
        <f aca="false">SUM(I94:I97)</f>
        <v>0.103323784345093</v>
      </c>
      <c r="J98" s="75" t="n">
        <f aca="false">SUM(J94:J97)</f>
        <v>0.247449989222633</v>
      </c>
      <c r="K98" s="75" t="n">
        <f aca="false">SUM(K94:K97)</f>
        <v>0.48817680259499</v>
      </c>
    </row>
    <row r="99" customFormat="false" ht="15.75" hidden="false" customHeight="true" outlineLevel="0" collapsed="false">
      <c r="B99" s="74"/>
      <c r="C99" s="74"/>
      <c r="D99" s="74"/>
      <c r="E99" s="74"/>
      <c r="F99" s="74"/>
      <c r="G99" s="74"/>
      <c r="H99" s="74"/>
      <c r="I99" s="74"/>
      <c r="J99" s="74"/>
      <c r="K99" s="74"/>
    </row>
    <row r="100" customFormat="false" ht="15.75" hidden="false" customHeight="true" outlineLevel="0" collapsed="false">
      <c r="A100" s="44" t="s">
        <v>534</v>
      </c>
      <c r="B100" s="74" t="n">
        <f aca="false">B84-B91</f>
        <v>0</v>
      </c>
      <c r="C100" s="74" t="n">
        <f aca="false">C84-C91</f>
        <v>0</v>
      </c>
      <c r="D100" s="74" t="n">
        <f aca="false">D84-D91</f>
        <v>0</v>
      </c>
      <c r="E100" s="74" t="n">
        <f aca="false">E84-E91</f>
        <v>0</v>
      </c>
      <c r="F100" s="74" t="n">
        <f aca="false">F84-F91</f>
        <v>0</v>
      </c>
      <c r="G100" s="74" t="n">
        <f aca="false">G84-G91</f>
        <v>0</v>
      </c>
      <c r="H100" s="74" t="n">
        <f aca="false">H84-H91</f>
        <v>0</v>
      </c>
      <c r="I100" s="74" t="n">
        <f aca="false">I84-I91</f>
        <v>0</v>
      </c>
      <c r="J100" s="74" t="n">
        <f aca="false">J84-J91</f>
        <v>0.000312057169866542</v>
      </c>
      <c r="K100" s="74" t="n">
        <f aca="false">K84-K91</f>
        <v>0.00170505326474346</v>
      </c>
    </row>
    <row r="101" customFormat="false" ht="15.75" hidden="false" customHeight="true" outlineLevel="0" collapsed="false">
      <c r="A101" s="44" t="s">
        <v>535</v>
      </c>
      <c r="B101" s="74" t="n">
        <f aca="false">B84-B98</f>
        <v>0</v>
      </c>
      <c r="C101" s="74" t="n">
        <f aca="false">C84-C98</f>
        <v>0</v>
      </c>
      <c r="D101" s="74" t="n">
        <f aca="false">D84-D98</f>
        <v>0</v>
      </c>
      <c r="E101" s="74" t="n">
        <f aca="false">E84-E98</f>
        <v>0</v>
      </c>
      <c r="F101" s="74" t="n">
        <f aca="false">F84-F98</f>
        <v>0</v>
      </c>
      <c r="G101" s="74" t="n">
        <f aca="false">G84-G98</f>
        <v>0</v>
      </c>
      <c r="H101" s="74" t="n">
        <f aca="false">H84-H98</f>
        <v>0</v>
      </c>
      <c r="I101" s="74" t="n">
        <f aca="false">I84-I98</f>
        <v>0</v>
      </c>
      <c r="J101" s="74" t="n">
        <f aca="false">J84-J98</f>
        <v>0</v>
      </c>
      <c r="K101" s="74" t="n">
        <f aca="false">K84-K98</f>
        <v>0</v>
      </c>
    </row>
    <row r="102" customFormat="false" ht="15.75" hidden="false" customHeight="true" outlineLevel="0" collapsed="false">
      <c r="B102" s="74"/>
      <c r="C102" s="74"/>
      <c r="D102" s="74"/>
      <c r="E102" s="74"/>
      <c r="F102" s="74"/>
      <c r="G102" s="74"/>
      <c r="H102" s="74"/>
      <c r="I102" s="74"/>
      <c r="J102" s="74"/>
      <c r="K102" s="74"/>
    </row>
    <row r="103" customFormat="false" ht="15.75" hidden="false" customHeight="true" outlineLevel="0" collapsed="false">
      <c r="A103" s="76" t="s">
        <v>536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</row>
    <row r="104" customFormat="false" ht="15.75" hidden="false" customHeight="true" outlineLevel="0" collapsed="false">
      <c r="A104" s="44" t="s">
        <v>523</v>
      </c>
      <c r="B104" s="74" t="n">
        <f aca="false">B3</f>
        <v>518841</v>
      </c>
      <c r="C104" s="74" t="n">
        <f aca="false">C3</f>
        <v>386023</v>
      </c>
      <c r="D104" s="74" t="n">
        <f aca="false">D3</f>
        <v>260638</v>
      </c>
      <c r="E104" s="74" t="n">
        <f aca="false">E3</f>
        <v>-536517</v>
      </c>
      <c r="F104" s="74" t="n">
        <f aca="false">F3</f>
        <v>2410624</v>
      </c>
      <c r="G104" s="74" t="n">
        <f aca="false">G3</f>
        <v>-1773745</v>
      </c>
      <c r="H104" s="74" t="n">
        <f aca="false">H3</f>
        <v>624611</v>
      </c>
      <c r="I104" s="74" t="n">
        <f aca="false">I3</f>
        <v>453176</v>
      </c>
      <c r="J104" s="74" t="n">
        <f aca="false">J3</f>
        <v>749649</v>
      </c>
      <c r="K104" s="74" t="n">
        <f aca="false">K3</f>
        <v>892003</v>
      </c>
    </row>
    <row r="105" customFormat="false" ht="15.75" hidden="false" customHeight="true" outlineLevel="0" collapsed="false">
      <c r="A105" s="44" t="s">
        <v>521</v>
      </c>
      <c r="B105" s="74" t="n">
        <f aca="false">B46</f>
        <v>7046450.5</v>
      </c>
      <c r="C105" s="74" t="n">
        <f aca="false">C46</f>
        <v>6413555</v>
      </c>
      <c r="D105" s="74" t="n">
        <f aca="false">D46</f>
        <v>6080052</v>
      </c>
      <c r="E105" s="74" t="n">
        <f aca="false">E46</f>
        <v>5894693</v>
      </c>
      <c r="F105" s="74" t="n">
        <f aca="false">F46</f>
        <v>4635732.5</v>
      </c>
      <c r="G105" s="74" t="n">
        <f aca="false">G46</f>
        <v>4282526.5</v>
      </c>
      <c r="H105" s="74" t="n">
        <f aca="false">H46</f>
        <v>4851348</v>
      </c>
      <c r="I105" s="74" t="n">
        <f aca="false">I46</f>
        <v>4385979.5</v>
      </c>
      <c r="J105" s="74" t="n">
        <f aca="false">J46</f>
        <v>3029497</v>
      </c>
      <c r="K105" s="74" t="n">
        <f aca="false">K46</f>
        <v>1827213</v>
      </c>
    </row>
    <row r="106" customFormat="false" ht="15.75" hidden="false" customHeight="true" outlineLevel="0" collapsed="false">
      <c r="A106" s="44" t="s">
        <v>537</v>
      </c>
      <c r="B106" s="74" t="n">
        <f aca="false">(B104+B23)/B104</f>
        <v>1</v>
      </c>
      <c r="C106" s="74" t="n">
        <f aca="false">(C104+C23)/C104</f>
        <v>1</v>
      </c>
      <c r="D106" s="74" t="n">
        <f aca="false">(D104+D23)/D104</f>
        <v>1</v>
      </c>
      <c r="E106" s="74" t="n">
        <f aca="false">(E104+E23)/E104</f>
        <v>1</v>
      </c>
      <c r="F106" s="74" t="n">
        <f aca="false">(F104+F23)/F104</f>
        <v>1</v>
      </c>
      <c r="G106" s="74" t="n">
        <f aca="false">(G104+G23)/G104</f>
        <v>1</v>
      </c>
      <c r="H106" s="74" t="n">
        <f aca="false">(H104+H23)/H104</f>
        <v>1</v>
      </c>
      <c r="I106" s="74" t="n">
        <f aca="false">(I104+I23)/I104</f>
        <v>1</v>
      </c>
      <c r="J106" s="74" t="n">
        <f aca="false">(J104+J23)/J104</f>
        <v>1</v>
      </c>
      <c r="K106" s="74" t="n">
        <f aca="false">(K104+K23)/K104</f>
        <v>1.12187178742672</v>
      </c>
    </row>
    <row r="107" customFormat="false" ht="15.75" hidden="false" customHeight="true" outlineLevel="0" collapsed="false">
      <c r="A107" s="44" t="s">
        <v>538</v>
      </c>
      <c r="B107" s="74" t="n">
        <f aca="false">(B3+B23+B29)/(B3+B23)</f>
        <v>0.704410407041849</v>
      </c>
      <c r="C107" s="74" t="n">
        <f aca="false">(C3+C23+C29)/(C3+C23)</f>
        <v>0.901021441727566</v>
      </c>
      <c r="D107" s="74" t="n">
        <f aca="false">(D3+D23+D29)/(D3+D23)</f>
        <v>1.00404775972805</v>
      </c>
      <c r="E107" s="74" t="n">
        <f aca="false">(E3+E23+E29)/(E3+E23)</f>
        <v>0.556314152207665</v>
      </c>
      <c r="F107" s="74" t="n">
        <f aca="false">(F3+F23+F29)/(F3+F23)</f>
        <v>0.98696229689906</v>
      </c>
      <c r="G107" s="74" t="n">
        <f aca="false">(G3+G23+G29)/(G3+G23)</f>
        <v>0.967997654679788</v>
      </c>
      <c r="H107" s="74" t="n">
        <f aca="false">(H3+H23+H29)/(H3+H23)</f>
        <v>0.989950545219345</v>
      </c>
      <c r="I107" s="74" t="n">
        <f aca="false">(I3+I23+I29)/(I3+I23)</f>
        <v>0.76280738609282</v>
      </c>
      <c r="J107" s="74" t="n">
        <f aca="false">(J3+J23+J29)/(J3+J23)</f>
        <v>0.66029835296252</v>
      </c>
      <c r="K107" s="74" t="n">
        <f aca="false">(K3+K23+K29)/(K3+K23)</f>
        <v>0.665171732554689</v>
      </c>
    </row>
    <row r="108" customFormat="false" ht="15.75" hidden="false" customHeight="true" outlineLevel="0" collapsed="false">
      <c r="A108" s="44" t="s">
        <v>539</v>
      </c>
      <c r="B108" s="74" t="n">
        <f aca="false">B6/B46</f>
        <v>0.0518668228777028</v>
      </c>
      <c r="C108" s="74" t="n">
        <f aca="false">C6/C46</f>
        <v>0.0542312336917669</v>
      </c>
      <c r="D108" s="74" t="n">
        <f aca="false">D6/D46</f>
        <v>0.043041243726205</v>
      </c>
      <c r="E108" s="74" t="n">
        <f aca="false">E6/E46</f>
        <v>-0.0506340194476625</v>
      </c>
      <c r="F108" s="74" t="n">
        <f aca="false">F6/F46</f>
        <v>0.513229570515555</v>
      </c>
      <c r="G108" s="74" t="n">
        <f aca="false">G6/G46</f>
        <v>-0.400927116271201</v>
      </c>
      <c r="H108" s="74" t="n">
        <f aca="false">H6/H46</f>
        <v>0.127456121473867</v>
      </c>
      <c r="I108" s="74" t="n">
        <f aca="false">I6/I46</f>
        <v>0.0788161458574989</v>
      </c>
      <c r="J108" s="74" t="n">
        <f aca="false">J6/J46</f>
        <v>0.163390820324298</v>
      </c>
      <c r="K108" s="74" t="n">
        <f aca="false">K6/K46</f>
        <v>0.364295788175763</v>
      </c>
    </row>
    <row r="109" s="57" customFormat="true" ht="15.75" hidden="false" customHeight="true" outlineLevel="0" collapsed="false">
      <c r="A109" s="57" t="s">
        <v>522</v>
      </c>
      <c r="B109" s="75" t="n">
        <f aca="false">(B104/B105)*B106*B107</f>
        <v>0.0518668228777028</v>
      </c>
      <c r="C109" s="75" t="n">
        <f aca="false">(C104/C105)*C106*C107</f>
        <v>0.0542312336917669</v>
      </c>
      <c r="D109" s="75" t="n">
        <f aca="false">(D104/D105)*D106*D107</f>
        <v>0.043041243726205</v>
      </c>
      <c r="E109" s="75" t="n">
        <f aca="false">(E104/E105)*E106*E107</f>
        <v>-0.0506340194476625</v>
      </c>
      <c r="F109" s="75" t="n">
        <f aca="false">(F104/F105)*F106*F107</f>
        <v>0.513229570515555</v>
      </c>
      <c r="G109" s="75" t="n">
        <f aca="false">(G104/G105)*G106*G107</f>
        <v>-0.400927116271201</v>
      </c>
      <c r="H109" s="75" t="n">
        <f aca="false">(H104/H105)*H106*H107</f>
        <v>0.127456121473867</v>
      </c>
      <c r="I109" s="75" t="n">
        <f aca="false">(I104/I105)*I106*I107</f>
        <v>0.0788161458574989</v>
      </c>
      <c r="J109" s="75" t="n">
        <f aca="false">(J104/J105)*J106*J107</f>
        <v>0.163390820324298</v>
      </c>
      <c r="K109" s="75" t="n">
        <f aca="false">(K104/K105)*K106*K107</f>
        <v>0.364295788175763</v>
      </c>
    </row>
    <row r="110" customFormat="false" ht="15.75" hidden="false" customHeight="true" outlineLevel="0" collapsed="false">
      <c r="A110" s="44" t="s">
        <v>540</v>
      </c>
      <c r="B110" s="77" t="n">
        <f aca="false">B109-B80</f>
        <v>0</v>
      </c>
      <c r="C110" s="77" t="n">
        <f aca="false">C109-C80</f>
        <v>0</v>
      </c>
      <c r="D110" s="77" t="n">
        <f aca="false">D109-D80</f>
        <v>0</v>
      </c>
      <c r="E110" s="77" t="n">
        <f aca="false">E109-E80</f>
        <v>0</v>
      </c>
      <c r="F110" s="77" t="n">
        <f aca="false">F109-F80</f>
        <v>0</v>
      </c>
      <c r="G110" s="77" t="n">
        <f aca="false">G109-G80</f>
        <v>0</v>
      </c>
      <c r="H110" s="77" t="n">
        <f aca="false">H109-H80</f>
        <v>0</v>
      </c>
      <c r="I110" s="77" t="n">
        <f aca="false">I109-I80</f>
        <v>0</v>
      </c>
      <c r="J110" s="77" t="n">
        <f aca="false">J109-J80</f>
        <v>0</v>
      </c>
      <c r="K110" s="77" t="n">
        <f aca="false">K109-K80</f>
        <v>0</v>
      </c>
    </row>
    <row r="113" customFormat="false" ht="15.75" hidden="false" customHeight="true" outlineLevel="0" collapsed="false">
      <c r="A113" s="73" t="s">
        <v>454</v>
      </c>
    </row>
    <row r="114" customFormat="false" ht="15.75" hidden="false" customHeight="true" outlineLevel="0" collapsed="false">
      <c r="A114" s="73" t="s">
        <v>541</v>
      </c>
    </row>
    <row r="115" customFormat="false" ht="15.75" hidden="false" customHeight="true" outlineLevel="0" collapsed="false">
      <c r="A115" s="44" t="s">
        <v>485</v>
      </c>
      <c r="B115" s="74" t="n">
        <f aca="false">B32</f>
        <v>4864573</v>
      </c>
      <c r="C115" s="74" t="n">
        <f aca="false">C32</f>
        <v>4274264.5</v>
      </c>
      <c r="D115" s="74" t="n">
        <f aca="false">D32</f>
        <v>3349400.5</v>
      </c>
      <c r="E115" s="74" t="n">
        <f aca="false">E32</f>
        <v>2513740</v>
      </c>
      <c r="F115" s="74" t="n">
        <f aca="false">F32</f>
        <v>3642777.5</v>
      </c>
      <c r="G115" s="74" t="n">
        <f aca="false">G32</f>
        <v>4745520.5</v>
      </c>
      <c r="H115" s="74" t="n">
        <f aca="false">H32</f>
        <v>4203614.5</v>
      </c>
      <c r="I115" s="74" t="n">
        <f aca="false">I32</f>
        <v>3953952</v>
      </c>
      <c r="J115" s="74" t="n">
        <f aca="false">J32</f>
        <v>3811703</v>
      </c>
      <c r="K115" s="74" t="n">
        <f aca="false">K32</f>
        <v>3696647</v>
      </c>
    </row>
    <row r="116" customFormat="false" ht="15.75" hidden="false" customHeight="true" outlineLevel="0" collapsed="false">
      <c r="A116" s="44" t="s">
        <v>542</v>
      </c>
      <c r="B116" s="74" t="n">
        <f aca="false">B9</f>
        <v>109239.017260274</v>
      </c>
      <c r="C116" s="74" t="n">
        <f aca="false">C9</f>
        <v>89791.2245479452</v>
      </c>
      <c r="D116" s="74" t="n">
        <f aca="false">D9</f>
        <v>61069.3327671233</v>
      </c>
      <c r="E116" s="74" t="n">
        <f aca="false">E9</f>
        <v>53348.6647123288</v>
      </c>
      <c r="F116" s="74" t="n">
        <f aca="false">F9</f>
        <v>152304.46909589</v>
      </c>
      <c r="G116" s="74" t="n">
        <f aca="false">G9</f>
        <v>78320.9483287671</v>
      </c>
      <c r="H116" s="74" t="n">
        <f aca="false">H9</f>
        <v>68129.5596712329</v>
      </c>
      <c r="I116" s="74" t="n">
        <f aca="false">I9</f>
        <v>59575.0299726027</v>
      </c>
      <c r="J116" s="74" t="n">
        <f aca="false">J9</f>
        <v>58007.5372054795</v>
      </c>
      <c r="K116" s="74" t="n">
        <f aca="false">K9</f>
        <v>56201.9906849315</v>
      </c>
    </row>
    <row r="117" s="57" customFormat="true" ht="15.75" hidden="false" customHeight="true" outlineLevel="0" collapsed="false">
      <c r="A117" s="57" t="s">
        <v>543</v>
      </c>
      <c r="B117" s="78" t="n">
        <f aca="false">B115/B116</f>
        <v>44.5314606630854</v>
      </c>
      <c r="C117" s="78" t="n">
        <f aca="false">C115/C116</f>
        <v>47.6022520187115</v>
      </c>
      <c r="D117" s="78" t="n">
        <f aca="false">D115/D116</f>
        <v>54.8458669553886</v>
      </c>
      <c r="E117" s="78" t="n">
        <f aca="false">E115/E116</f>
        <v>47.1190799911264</v>
      </c>
      <c r="F117" s="78" t="n">
        <f aca="false">F115/F116</f>
        <v>23.9177321691494</v>
      </c>
      <c r="G117" s="78" t="n">
        <f aca="false">G115/G116</f>
        <v>60.5906925447298</v>
      </c>
      <c r="H117" s="78" t="n">
        <f aca="false">H115/H116</f>
        <v>61.700303367364</v>
      </c>
      <c r="I117" s="78" t="n">
        <f aca="false">I115/I116</f>
        <v>66.3692825973959</v>
      </c>
      <c r="J117" s="78" t="n">
        <f aca="false">J115/J116</f>
        <v>65.7104780452555</v>
      </c>
      <c r="K117" s="78" t="n">
        <f aca="false">K115/K116</f>
        <v>65.7743071899964</v>
      </c>
    </row>
    <row r="118" customFormat="false" ht="15.75" hidden="false" customHeight="true" outlineLevel="0" collapsed="false">
      <c r="B118" s="74"/>
      <c r="C118" s="74"/>
      <c r="D118" s="74"/>
      <c r="E118" s="74"/>
      <c r="F118" s="74"/>
      <c r="G118" s="74"/>
      <c r="H118" s="74"/>
      <c r="I118" s="74"/>
      <c r="J118" s="74"/>
      <c r="K118" s="74"/>
    </row>
    <row r="119" customFormat="false" ht="15.75" hidden="false" customHeight="true" outlineLevel="0" collapsed="false">
      <c r="A119" s="44" t="s">
        <v>486</v>
      </c>
      <c r="B119" s="74" t="n">
        <f aca="false">B33</f>
        <v>9347177</v>
      </c>
      <c r="C119" s="74" t="n">
        <f aca="false">C33</f>
        <v>10688093.5</v>
      </c>
      <c r="D119" s="74" t="n">
        <f aca="false">D33</f>
        <v>11350385</v>
      </c>
      <c r="E119" s="74" t="n">
        <f aca="false">E33</f>
        <v>9414708.5</v>
      </c>
      <c r="F119" s="74" t="n">
        <f aca="false">F33</f>
        <v>5079507</v>
      </c>
      <c r="G119" s="74" t="n">
        <f aca="false">G33</f>
        <v>3384395.5</v>
      </c>
      <c r="H119" s="74" t="n">
        <f aca="false">H33</f>
        <v>3506674</v>
      </c>
      <c r="I119" s="74" t="n">
        <f aca="false">I33</f>
        <v>2744787.5</v>
      </c>
      <c r="J119" s="74" t="n">
        <f aca="false">J33</f>
        <v>1711050.5</v>
      </c>
      <c r="K119" s="74" t="n">
        <f aca="false">K33</f>
        <v>1782237</v>
      </c>
    </row>
    <row r="120" customFormat="false" ht="15.75" hidden="false" customHeight="true" outlineLevel="0" collapsed="false">
      <c r="A120" s="44" t="s">
        <v>544</v>
      </c>
      <c r="B120" s="74" t="n">
        <f aca="false">-B11</f>
        <v>92462.5699726027</v>
      </c>
      <c r="C120" s="74" t="n">
        <f aca="false">-C11</f>
        <v>81153.0797260274</v>
      </c>
      <c r="D120" s="74" t="n">
        <f aca="false">-D11</f>
        <v>66146.6585753425</v>
      </c>
      <c r="E120" s="74" t="n">
        <f aca="false">-E11</f>
        <v>49128.0362739726</v>
      </c>
      <c r="F120" s="74" t="n">
        <f aca="false">-F11</f>
        <v>56587.8181917808</v>
      </c>
      <c r="G120" s="74" t="n">
        <f aca="false">-G11</f>
        <v>73202.8578082192</v>
      </c>
      <c r="H120" s="74" t="n">
        <f aca="false">-H11</f>
        <v>59726.7478356164</v>
      </c>
      <c r="I120" s="74" t="n">
        <f aca="false">-I11</f>
        <v>51688.458630137</v>
      </c>
      <c r="J120" s="74" t="n">
        <f aca="false">-J11</f>
        <v>48206.6153972603</v>
      </c>
      <c r="K120" s="74" t="n">
        <f aca="false">-K11</f>
        <v>44721.5901369863</v>
      </c>
    </row>
    <row r="121" s="57" customFormat="true" ht="15.75" hidden="false" customHeight="true" outlineLevel="0" collapsed="false">
      <c r="A121" s="57" t="s">
        <v>545</v>
      </c>
      <c r="B121" s="78" t="n">
        <f aca="false">B119/B120</f>
        <v>101.091468718311</v>
      </c>
      <c r="C121" s="78" t="n">
        <f aca="false">C119/C120</f>
        <v>131.702869885936</v>
      </c>
      <c r="D121" s="78" t="n">
        <f aca="false">D119/D120</f>
        <v>171.594230826818</v>
      </c>
      <c r="E121" s="78" t="n">
        <f aca="false">E119/E120</f>
        <v>191.636165701738</v>
      </c>
      <c r="F121" s="78" t="n">
        <f aca="false">F119/F120</f>
        <v>89.7632593429407</v>
      </c>
      <c r="G121" s="78" t="n">
        <f aca="false">G119/G120</f>
        <v>46.2331062110529</v>
      </c>
      <c r="H121" s="78" t="n">
        <f aca="false">H119/H120</f>
        <v>58.7119528029767</v>
      </c>
      <c r="I121" s="78" t="n">
        <f aca="false">I119/I120</f>
        <v>53.102521776489</v>
      </c>
      <c r="J121" s="78" t="n">
        <f aca="false">J119/J120</f>
        <v>35.4941015024516</v>
      </c>
      <c r="K121" s="78" t="n">
        <f aca="false">K119/K120</f>
        <v>39.8518253608793</v>
      </c>
    </row>
    <row r="122" customFormat="false" ht="15.75" hidden="false" customHeight="true" outlineLevel="0" collapsed="false">
      <c r="B122" s="74"/>
      <c r="C122" s="74"/>
      <c r="D122" s="74"/>
      <c r="E122" s="74"/>
      <c r="F122" s="74"/>
      <c r="G122" s="74"/>
      <c r="H122" s="74"/>
      <c r="I122" s="74"/>
      <c r="J122" s="74"/>
      <c r="K122" s="74"/>
    </row>
    <row r="123" customFormat="false" ht="15.75" hidden="false" customHeight="true" outlineLevel="0" collapsed="false">
      <c r="A123" s="44" t="s">
        <v>546</v>
      </c>
      <c r="B123" s="74" t="n">
        <f aca="false">B34</f>
        <v>8614155.5</v>
      </c>
      <c r="C123" s="74" t="n">
        <f aca="false">C34</f>
        <v>6999857</v>
      </c>
      <c r="D123" s="74" t="n">
        <f aca="false">D34</f>
        <v>3364873.5</v>
      </c>
      <c r="E123" s="74" t="n">
        <f aca="false">E34</f>
        <v>978203.5</v>
      </c>
      <c r="F123" s="74" t="n">
        <f aca="false">F34</f>
        <v>3823990.5</v>
      </c>
      <c r="G123" s="74" t="n">
        <f aca="false">G34</f>
        <v>5717545</v>
      </c>
      <c r="H123" s="74" t="n">
        <f aca="false">H34</f>
        <v>3950146.5</v>
      </c>
      <c r="I123" s="74" t="n">
        <f aca="false">I34</f>
        <v>2699914.5</v>
      </c>
      <c r="J123" s="74" t="n">
        <f aca="false">J34</f>
        <v>2242409.5</v>
      </c>
      <c r="K123" s="74" t="n">
        <f aca="false">K34</f>
        <v>2186681</v>
      </c>
    </row>
    <row r="124" customFormat="false" ht="15.75" hidden="false" customHeight="true" outlineLevel="0" collapsed="false">
      <c r="A124" s="44" t="s">
        <v>547</v>
      </c>
      <c r="B124" s="74" t="n">
        <f aca="false">-B12</f>
        <v>66731.2178082192</v>
      </c>
      <c r="C124" s="74" t="n">
        <f aca="false">-C12</f>
        <v>50409.8835616438</v>
      </c>
      <c r="D124" s="74" t="n">
        <f aca="false">-D12</f>
        <v>40704.9068493151</v>
      </c>
      <c r="E124" s="74" t="n">
        <f aca="false">-E12</f>
        <v>51122.8479452055</v>
      </c>
      <c r="F124" s="74" t="n">
        <f aca="false">-F12</f>
        <v>58380.7191780822</v>
      </c>
      <c r="G124" s="74" t="n">
        <f aca="false">-G12</f>
        <v>49637.1589041096</v>
      </c>
      <c r="H124" s="74" t="n">
        <f aca="false">-H12</f>
        <v>42236.6753424658</v>
      </c>
      <c r="I124" s="74" t="n">
        <f aca="false">-I12</f>
        <v>39687.1657534247</v>
      </c>
      <c r="J124" s="74" t="n">
        <f aca="false">-J12</f>
        <v>38640.6397260274</v>
      </c>
      <c r="K124" s="74" t="n">
        <f aca="false">-K12</f>
        <v>38073.0191780822</v>
      </c>
    </row>
    <row r="125" customFormat="false" ht="15.75" hidden="false" customHeight="true" outlineLevel="0" collapsed="false">
      <c r="A125" s="44" t="s">
        <v>548</v>
      </c>
      <c r="B125" s="74" t="n">
        <f aca="false">-B13</f>
        <v>6593.83835616438</v>
      </c>
      <c r="C125" s="74" t="n">
        <f aca="false">-C13</f>
        <v>5592.90136986301</v>
      </c>
      <c r="D125" s="74" t="n">
        <f aca="false">-D13</f>
        <v>4376.55342465753</v>
      </c>
      <c r="E125" s="74" t="n">
        <f aca="false">-E13</f>
        <v>4333.58767123288</v>
      </c>
      <c r="F125" s="74" t="n">
        <f aca="false">-F13</f>
        <v>7041.43287671233</v>
      </c>
      <c r="G125" s="74" t="n">
        <f aca="false">-G13</f>
        <v>7917.26438356164</v>
      </c>
      <c r="H125" s="74" t="n">
        <f aca="false">-H13</f>
        <v>6236.65479452055</v>
      </c>
      <c r="I125" s="74" t="n">
        <f aca="false">-I13</f>
        <v>5006.34520547945</v>
      </c>
      <c r="J125" s="74" t="n">
        <f aca="false">-J13</f>
        <v>4398.85342465754</v>
      </c>
      <c r="K125" s="74" t="n">
        <f aca="false">-K13</f>
        <v>4246.72876712329</v>
      </c>
    </row>
    <row r="126" s="57" customFormat="true" ht="15.75" hidden="false" customHeight="true" outlineLevel="0" collapsed="false">
      <c r="A126" s="57" t="s">
        <v>549</v>
      </c>
      <c r="B126" s="78" t="n">
        <f aca="false">B123/(B124+B125)</f>
        <v>117.479016731857</v>
      </c>
      <c r="C126" s="78" t="n">
        <f aca="false">C123/(C124+C125)</f>
        <v>124.991230499716</v>
      </c>
      <c r="D126" s="78" t="n">
        <f aca="false">D123/(D124+D125)</f>
        <v>74.6398514943998</v>
      </c>
      <c r="E126" s="78" t="n">
        <f aca="false">E123/(E124+E125)</f>
        <v>17.639134018019</v>
      </c>
      <c r="F126" s="78" t="n">
        <f aca="false">F123/(F124+F125)</f>
        <v>58.4510044364974</v>
      </c>
      <c r="G126" s="78" t="n">
        <f aca="false">G123/(G124+G125)</f>
        <v>99.3415392492476</v>
      </c>
      <c r="H126" s="78" t="n">
        <f aca="false">H123/(H124+H125)</f>
        <v>81.491131078406</v>
      </c>
      <c r="I126" s="78" t="n">
        <f aca="false">I123/(I124+I125)</f>
        <v>60.4095413869495</v>
      </c>
      <c r="J126" s="78" t="n">
        <f aca="false">J123/(J124+J125)</f>
        <v>52.1012060283594</v>
      </c>
      <c r="K126" s="78" t="n">
        <f aca="false">K123/(K124+K125)</f>
        <v>51.6704637000971</v>
      </c>
    </row>
    <row r="127" customFormat="false" ht="15.75" hidden="false" customHeight="true" outlineLevel="0" collapsed="false">
      <c r="B127" s="74"/>
      <c r="C127" s="74"/>
      <c r="D127" s="74"/>
      <c r="E127" s="74"/>
      <c r="F127" s="74"/>
      <c r="G127" s="74"/>
      <c r="H127" s="74"/>
      <c r="I127" s="74"/>
      <c r="J127" s="74"/>
      <c r="K127" s="74"/>
    </row>
    <row r="128" customFormat="false" ht="15.75" hidden="false" customHeight="true" outlineLevel="0" collapsed="false">
      <c r="A128" s="44" t="s">
        <v>460</v>
      </c>
      <c r="B128" s="74" t="n">
        <f aca="false">B7</f>
        <v>32682165</v>
      </c>
      <c r="C128" s="74" t="n">
        <f aca="false">C7</f>
        <v>26863768</v>
      </c>
      <c r="D128" s="74" t="n">
        <f aca="false">D7</f>
        <v>18270743</v>
      </c>
      <c r="E128" s="74" t="n">
        <f aca="false">E7</f>
        <v>15960871</v>
      </c>
      <c r="F128" s="74" t="n">
        <f aca="false">F7</f>
        <v>45566501</v>
      </c>
      <c r="G128" s="74" t="n">
        <f aca="false">G7</f>
        <v>23432087</v>
      </c>
      <c r="H128" s="74" t="n">
        <f aca="false">H7</f>
        <v>20383024</v>
      </c>
      <c r="I128" s="74" t="n">
        <f aca="false">I7</f>
        <v>17823677</v>
      </c>
      <c r="J128" s="74" t="n">
        <f aca="false">J7</f>
        <v>17354714</v>
      </c>
      <c r="K128" s="74" t="n">
        <f aca="false">K7</f>
        <v>16814530</v>
      </c>
    </row>
    <row r="129" customFormat="false" ht="15.75" hidden="false" customHeight="true" outlineLevel="0" collapsed="false">
      <c r="A129" s="44" t="s">
        <v>550</v>
      </c>
      <c r="B129" s="74" t="n">
        <f aca="false">B123</f>
        <v>8614155.5</v>
      </c>
      <c r="C129" s="74" t="n">
        <f aca="false">C123</f>
        <v>6999857</v>
      </c>
      <c r="D129" s="74" t="n">
        <f aca="false">D123</f>
        <v>3364873.5</v>
      </c>
      <c r="E129" s="74" t="n">
        <f aca="false">E123</f>
        <v>978203.5</v>
      </c>
      <c r="F129" s="74" t="n">
        <f aca="false">F123</f>
        <v>3823990.5</v>
      </c>
      <c r="G129" s="74" t="n">
        <f aca="false">G123</f>
        <v>5717545</v>
      </c>
      <c r="H129" s="74" t="n">
        <f aca="false">H123</f>
        <v>3950146.5</v>
      </c>
      <c r="I129" s="74" t="n">
        <f aca="false">I123</f>
        <v>2699914.5</v>
      </c>
      <c r="J129" s="74" t="n">
        <f aca="false">J123</f>
        <v>2242409.5</v>
      </c>
      <c r="K129" s="74" t="n">
        <f aca="false">K123</f>
        <v>2186681</v>
      </c>
    </row>
    <row r="130" s="57" customFormat="true" ht="15.75" hidden="false" customHeight="true" outlineLevel="0" collapsed="false">
      <c r="A130" s="57" t="s">
        <v>551</v>
      </c>
      <c r="B130" s="78" t="n">
        <f aca="false">B128/B129</f>
        <v>3.79400685302233</v>
      </c>
      <c r="C130" s="78" t="n">
        <f aca="false">C128/C129</f>
        <v>3.83775954280209</v>
      </c>
      <c r="D130" s="78" t="n">
        <f aca="false">D128/D129</f>
        <v>5.42984543103924</v>
      </c>
      <c r="E130" s="78" t="n">
        <f aca="false">E128/E129</f>
        <v>16.3165138951149</v>
      </c>
      <c r="F130" s="78" t="n">
        <f aca="false">F128/F129</f>
        <v>11.915955596647</v>
      </c>
      <c r="G130" s="78" t="n">
        <f aca="false">G128/G129</f>
        <v>4.09827766987405</v>
      </c>
      <c r="H130" s="78" t="n">
        <f aca="false">H128/H129</f>
        <v>5.16006786077428</v>
      </c>
      <c r="I130" s="78" t="n">
        <f aca="false">I128/I129</f>
        <v>6.60157090159707</v>
      </c>
      <c r="J130" s="78" t="n">
        <f aca="false">J128/J129</f>
        <v>7.73931523211974</v>
      </c>
      <c r="K130" s="78" t="n">
        <f aca="false">K128/K129</f>
        <v>7.68952124246747</v>
      </c>
    </row>
    <row r="131" customFormat="false" ht="15.75" hidden="false" customHeight="true" outlineLevel="0" collapsed="false">
      <c r="B131" s="74"/>
      <c r="C131" s="74"/>
      <c r="D131" s="74"/>
      <c r="E131" s="74"/>
      <c r="F131" s="74"/>
      <c r="G131" s="74"/>
      <c r="H131" s="74"/>
      <c r="I131" s="74"/>
      <c r="J131" s="74"/>
      <c r="K131" s="74"/>
    </row>
    <row r="132" customFormat="false" ht="15.75" hidden="false" customHeight="true" outlineLevel="0" collapsed="false">
      <c r="A132" s="44" t="s">
        <v>460</v>
      </c>
      <c r="B132" s="74" t="n">
        <f aca="false">B128</f>
        <v>32682165</v>
      </c>
      <c r="C132" s="74" t="n">
        <f aca="false">C128</f>
        <v>26863768</v>
      </c>
      <c r="D132" s="74" t="n">
        <f aca="false">D128</f>
        <v>18270743</v>
      </c>
      <c r="E132" s="74" t="n">
        <f aca="false">E128</f>
        <v>15960871</v>
      </c>
      <c r="F132" s="74" t="n">
        <f aca="false">F128</f>
        <v>45566501</v>
      </c>
      <c r="G132" s="74" t="n">
        <f aca="false">G128</f>
        <v>23432087</v>
      </c>
      <c r="H132" s="74" t="n">
        <f aca="false">H128</f>
        <v>20383024</v>
      </c>
      <c r="I132" s="74" t="n">
        <f aca="false">I128</f>
        <v>17823677</v>
      </c>
      <c r="J132" s="74" t="n">
        <f aca="false">J128</f>
        <v>17354714</v>
      </c>
      <c r="K132" s="74" t="n">
        <f aca="false">K128</f>
        <v>16814530</v>
      </c>
    </row>
    <row r="133" customFormat="false" ht="15.75" hidden="false" customHeight="true" outlineLevel="0" collapsed="false">
      <c r="A133" s="44" t="s">
        <v>552</v>
      </c>
      <c r="B133" s="74" t="n">
        <f aca="false">AVERAGE(RC!B102:C102)</f>
        <v>31884674.5</v>
      </c>
      <c r="C133" s="74" t="n">
        <f aca="false">AVERAGE(RC!C102:D102)</f>
        <v>29730890</v>
      </c>
      <c r="D133" s="74" t="n">
        <f aca="false">AVERAGE(RC!D102:E102)</f>
        <v>25040983</v>
      </c>
      <c r="E133" s="74" t="n">
        <f aca="false">AVERAGE(RC!E102:F102)</f>
        <v>13869924.5</v>
      </c>
      <c r="F133" s="74" t="n">
        <f aca="false">AVERAGE(RC!F102:G102)</f>
        <v>16692290.5</v>
      </c>
      <c r="G133" s="74" t="n">
        <f aca="false">AVERAGE(RC!G102:H102)</f>
        <v>25478844</v>
      </c>
      <c r="H133" s="74" t="n">
        <f aca="false">AVERAGE(RC!H102:I102)</f>
        <v>20238022.5</v>
      </c>
      <c r="I133" s="74" t="n">
        <f aca="false">AVERAGE(RC!I102:J102)</f>
        <v>12932078</v>
      </c>
      <c r="J133" s="74" t="n">
        <f aca="false">AVERAGE(RC!J102:K102)</f>
        <v>7542948</v>
      </c>
      <c r="K133" s="74" t="n">
        <f aca="false">AVERAGE(RC!K102:L102)</f>
        <v>5624412</v>
      </c>
    </row>
    <row r="134" s="57" customFormat="true" ht="15.75" hidden="false" customHeight="true" outlineLevel="0" collapsed="false">
      <c r="A134" s="57" t="s">
        <v>553</v>
      </c>
      <c r="B134" s="78" t="n">
        <f aca="false">B132/B133</f>
        <v>1.02501171840409</v>
      </c>
      <c r="C134" s="78" t="n">
        <f aca="false">C132/C133</f>
        <v>0.903564205444237</v>
      </c>
      <c r="D134" s="78" t="n">
        <f aca="false">D132/D133</f>
        <v>0.729633617018949</v>
      </c>
      <c r="E134" s="78" t="n">
        <f aca="false">E132/E133</f>
        <v>1.15075399292909</v>
      </c>
      <c r="F134" s="78" t="n">
        <f aca="false">F132/F133</f>
        <v>2.72979319404967</v>
      </c>
      <c r="G134" s="78" t="n">
        <f aca="false">G132/G133</f>
        <v>0.919668372709531</v>
      </c>
      <c r="H134" s="78" t="n">
        <f aca="false">H132/H133</f>
        <v>1.00716480575115</v>
      </c>
      <c r="I134" s="78" t="n">
        <f aca="false">I132/I133</f>
        <v>1.37825313147663</v>
      </c>
      <c r="J134" s="78" t="n">
        <f aca="false">J132/J133</f>
        <v>2.30078664203969</v>
      </c>
      <c r="K134" s="78" t="n">
        <f aca="false">K132/K133</f>
        <v>2.98956228668881</v>
      </c>
    </row>
    <row r="135" customFormat="false" ht="15.75" hidden="false" customHeight="true" outlineLevel="0" collapsed="false">
      <c r="B135" s="74"/>
      <c r="C135" s="74"/>
      <c r="D135" s="74"/>
      <c r="E135" s="74"/>
      <c r="F135" s="74"/>
      <c r="G135" s="74"/>
      <c r="H135" s="74"/>
      <c r="I135" s="74"/>
      <c r="J135" s="74"/>
      <c r="K135" s="74"/>
    </row>
    <row r="136" customFormat="false" ht="15.75" hidden="false" customHeight="true" outlineLevel="0" collapsed="false">
      <c r="A136" s="44" t="s">
        <v>460</v>
      </c>
      <c r="B136" s="74" t="n">
        <f aca="false">B132</f>
        <v>32682165</v>
      </c>
      <c r="C136" s="74" t="n">
        <f aca="false">C132</f>
        <v>26863768</v>
      </c>
      <c r="D136" s="74" t="n">
        <f aca="false">D132</f>
        <v>18270743</v>
      </c>
      <c r="E136" s="74" t="n">
        <f aca="false">E132</f>
        <v>15960871</v>
      </c>
      <c r="F136" s="74" t="n">
        <f aca="false">F132</f>
        <v>45566501</v>
      </c>
      <c r="G136" s="74" t="n">
        <f aca="false">G132</f>
        <v>23432087</v>
      </c>
      <c r="H136" s="74" t="n">
        <f aca="false">H132</f>
        <v>20383024</v>
      </c>
      <c r="I136" s="74" t="n">
        <f aca="false">I132</f>
        <v>17823677</v>
      </c>
      <c r="J136" s="74" t="n">
        <f aca="false">J132</f>
        <v>17354714</v>
      </c>
      <c r="K136" s="74" t="n">
        <f aca="false">K132</f>
        <v>16814530</v>
      </c>
    </row>
    <row r="137" customFormat="false" ht="15.75" hidden="false" customHeight="true" outlineLevel="0" collapsed="false">
      <c r="A137" s="44" t="s">
        <v>554</v>
      </c>
      <c r="B137" s="74" t="n">
        <f aca="false">B14</f>
        <v>34234387</v>
      </c>
      <c r="C137" s="74" t="n">
        <f aca="false">C14</f>
        <v>34084617.5</v>
      </c>
      <c r="D137" s="74" t="n">
        <f aca="false">D14</f>
        <v>30530487</v>
      </c>
      <c r="E137" s="74" t="n">
        <f aca="false">E14</f>
        <v>17028223</v>
      </c>
      <c r="F137" s="74" t="n">
        <f aca="false">F14</f>
        <v>16820154.5</v>
      </c>
      <c r="G137" s="74" t="n">
        <f aca="false">G14</f>
        <v>25420232.5</v>
      </c>
      <c r="H137" s="74" t="n">
        <f aca="false">H14</f>
        <v>20662791</v>
      </c>
      <c r="I137" s="74" t="n">
        <f aca="false">I14</f>
        <v>13344331</v>
      </c>
      <c r="J137" s="74" t="n">
        <f aca="false">J14</f>
        <v>7434189</v>
      </c>
      <c r="K137" s="74" t="n">
        <f aca="false">K14</f>
        <v>5378503</v>
      </c>
    </row>
    <row r="138" s="57" customFormat="true" ht="15.75" hidden="false" customHeight="true" outlineLevel="0" collapsed="false">
      <c r="A138" s="57" t="s">
        <v>555</v>
      </c>
      <c r="B138" s="78" t="n">
        <f aca="false">B136/B137</f>
        <v>0.954658980749385</v>
      </c>
      <c r="C138" s="78" t="n">
        <f aca="false">C136/C137</f>
        <v>0.788149316916935</v>
      </c>
      <c r="D138" s="78" t="n">
        <f aca="false">D136/D137</f>
        <v>0.598442566605636</v>
      </c>
      <c r="E138" s="78" t="n">
        <f aca="false">E136/E137</f>
        <v>0.937318650337149</v>
      </c>
      <c r="F138" s="78" t="n">
        <f aca="false">F136/F137</f>
        <v>2.70904176296359</v>
      </c>
      <c r="G138" s="78" t="n">
        <f aca="false">G136/G137</f>
        <v>0.921788854606267</v>
      </c>
      <c r="H138" s="78" t="n">
        <f aca="false">H136/H137</f>
        <v>0.986460347975257</v>
      </c>
      <c r="I138" s="78" t="n">
        <f aca="false">I136/I137</f>
        <v>1.33567407762892</v>
      </c>
      <c r="J138" s="78" t="n">
        <f aca="false">J136/J137</f>
        <v>2.3344461648742</v>
      </c>
      <c r="K138" s="78" t="n">
        <f aca="false">K136/K137</f>
        <v>3.12624721042268</v>
      </c>
    </row>
    <row r="139" customFormat="false" ht="15.75" hidden="false" customHeight="true" outlineLevel="0" collapsed="false">
      <c r="B139" s="74"/>
      <c r="C139" s="74"/>
      <c r="D139" s="74"/>
      <c r="E139" s="74"/>
      <c r="F139" s="74"/>
      <c r="G139" s="74"/>
      <c r="H139" s="74"/>
      <c r="I139" s="74"/>
      <c r="J139" s="74"/>
      <c r="K139" s="74"/>
    </row>
    <row r="140" customFormat="false" ht="15.75" hidden="false" customHeight="true" outlineLevel="0" collapsed="false">
      <c r="A140" s="44" t="s">
        <v>511</v>
      </c>
      <c r="B140" s="74" t="n">
        <f aca="false">B64</f>
        <v>0.065751053173524</v>
      </c>
      <c r="C140" s="74" t="n">
        <f aca="false">C64</f>
        <v>0.0547496829031454</v>
      </c>
      <c r="D140" s="74" t="n">
        <f aca="false">D64</f>
        <v>0.0338947426551041</v>
      </c>
      <c r="E140" s="74" t="n">
        <f aca="false">E64</f>
        <v>-0.0114154013604356</v>
      </c>
      <c r="F140" s="74" t="n">
        <f aca="false">F64</f>
        <v>0.174209874231536</v>
      </c>
      <c r="G140" s="74" t="n">
        <f aca="false">G64</f>
        <v>-0.0570794543283583</v>
      </c>
      <c r="H140" s="74" t="n">
        <f aca="false">H64</f>
        <v>0.0409691507792921</v>
      </c>
      <c r="I140" s="74" t="n">
        <f aca="false">I64</f>
        <v>0.0420178426329503</v>
      </c>
      <c r="J140" s="74" t="n">
        <f aca="false">J64</f>
        <v>0.105316800527939</v>
      </c>
      <c r="K140" s="74" t="n">
        <f aca="false">K64</f>
        <v>0.173536205148533</v>
      </c>
    </row>
    <row r="141" customFormat="false" ht="15.75" hidden="false" customHeight="true" outlineLevel="0" collapsed="false">
      <c r="A141" s="44" t="s">
        <v>556</v>
      </c>
      <c r="B141" s="74" t="n">
        <f aca="false">B60</f>
        <v>0.0688738643844433</v>
      </c>
      <c r="C141" s="74" t="n">
        <f aca="false">C60</f>
        <v>0.0694661299933799</v>
      </c>
      <c r="D141" s="74" t="n">
        <f aca="false">D60</f>
        <v>0.0566382549412468</v>
      </c>
      <c r="E141" s="74" t="n">
        <f aca="false">E60</f>
        <v>-0.0121787839773907</v>
      </c>
      <c r="F141" s="74" t="n">
        <f aca="false">F60</f>
        <v>0.0643068248755813</v>
      </c>
      <c r="G141" s="74" t="n">
        <f aca="false">G60</f>
        <v>-0.0619224826196659</v>
      </c>
      <c r="H141" s="74" t="n">
        <f aca="false">H60</f>
        <v>0.0415314724645372</v>
      </c>
      <c r="I141" s="74" t="n">
        <f aca="false">I60</f>
        <v>0.0314581553514463</v>
      </c>
      <c r="J141" s="74" t="n">
        <f aca="false">J60</f>
        <v>0.045114255412103</v>
      </c>
      <c r="K141" s="74" t="n">
        <f aca="false">K60</f>
        <v>0.0555094314262724</v>
      </c>
    </row>
    <row r="142" s="57" customFormat="true" ht="15.75" hidden="false" customHeight="true" outlineLevel="0" collapsed="false">
      <c r="A142" s="57" t="s">
        <v>557</v>
      </c>
      <c r="B142" s="78" t="n">
        <f aca="false">B140/B141</f>
        <v>0.954658980749385</v>
      </c>
      <c r="C142" s="78" t="n">
        <f aca="false">C140/C141</f>
        <v>0.788149316916935</v>
      </c>
      <c r="D142" s="78" t="n">
        <f aca="false">D140/D141</f>
        <v>0.598442566605636</v>
      </c>
      <c r="E142" s="78" t="n">
        <f aca="false">E140/E141</f>
        <v>0.937318650337149</v>
      </c>
      <c r="F142" s="78" t="n">
        <f aca="false">F140/F141</f>
        <v>2.70904176296359</v>
      </c>
      <c r="G142" s="78" t="n">
        <f aca="false">G140/G141</f>
        <v>0.921788854606267</v>
      </c>
      <c r="H142" s="78" t="n">
        <f aca="false">H140/H141</f>
        <v>0.986460347975257</v>
      </c>
      <c r="I142" s="78" t="n">
        <f aca="false">I140/I141</f>
        <v>1.33567407762892</v>
      </c>
      <c r="J142" s="78" t="n">
        <f aca="false">J140/J141</f>
        <v>2.3344461648742</v>
      </c>
      <c r="K142" s="78" t="n">
        <f aca="false">K140/K141</f>
        <v>3.12624721042268</v>
      </c>
    </row>
    <row r="145" customFormat="false" ht="15.75" hidden="false" customHeight="true" outlineLevel="0" collapsed="false">
      <c r="A145" s="73" t="s">
        <v>454</v>
      </c>
    </row>
    <row r="146" customFormat="false" ht="15.75" hidden="false" customHeight="true" outlineLevel="0" collapsed="false">
      <c r="A146" s="73" t="s">
        <v>558</v>
      </c>
    </row>
    <row r="147" customFormat="false" ht="15.75" hidden="false" customHeight="true" outlineLevel="0" collapsed="false">
      <c r="A147" s="44" t="s">
        <v>559</v>
      </c>
      <c r="B147" s="74" t="n">
        <f aca="false">B37</f>
        <v>21407954</v>
      </c>
      <c r="C147" s="74" t="n">
        <f aca="false">C37</f>
        <v>17288070</v>
      </c>
      <c r="D147" s="74" t="n">
        <f aca="false">D37</f>
        <v>14962627</v>
      </c>
      <c r="E147" s="74" t="n">
        <f aca="false">E37</f>
        <v>9851644</v>
      </c>
      <c r="F147" s="74" t="n">
        <f aca="false">F37</f>
        <v>6103171</v>
      </c>
      <c r="G147" s="74" t="n">
        <f aca="false">G37</f>
        <v>12458712</v>
      </c>
      <c r="H147" s="74" t="n">
        <f aca="false">H37</f>
        <v>10363526</v>
      </c>
      <c r="I147" s="74" t="n">
        <f aca="false">I37</f>
        <v>9081033</v>
      </c>
      <c r="J147" s="74" t="n">
        <f aca="false">J37</f>
        <v>6727029</v>
      </c>
      <c r="K147" s="74" t="n">
        <f aca="false">K37</f>
        <v>6934330</v>
      </c>
    </row>
    <row r="148" customFormat="false" ht="15.75" hidden="false" customHeight="true" outlineLevel="0" collapsed="false">
      <c r="A148" s="44" t="s">
        <v>560</v>
      </c>
      <c r="B148" s="74" t="n">
        <f aca="false">B39</f>
        <v>31909387</v>
      </c>
      <c r="C148" s="74" t="n">
        <f aca="false">C39</f>
        <v>28940642</v>
      </c>
      <c r="D148" s="74" t="n">
        <f aca="false">D39</f>
        <v>25913553</v>
      </c>
      <c r="E148" s="74" t="n">
        <f aca="false">E39</f>
        <v>22074232</v>
      </c>
      <c r="F148" s="74" t="n">
        <f aca="false">F39</f>
        <v>16226796</v>
      </c>
      <c r="G148" s="74" t="n">
        <f aca="false">G39</f>
        <v>16921496</v>
      </c>
      <c r="H148" s="74" t="n">
        <f aca="false">H39</f>
        <v>12861895</v>
      </c>
      <c r="I148" s="74" t="n">
        <f aca="false">I39</f>
        <v>11365464</v>
      </c>
      <c r="J148" s="74" t="n">
        <f aca="false">J39</f>
        <v>6834518</v>
      </c>
      <c r="K148" s="74" t="n">
        <f aca="false">K39</f>
        <v>5726290</v>
      </c>
    </row>
    <row r="149" s="57" customFormat="true" ht="15.75" hidden="false" customHeight="true" outlineLevel="0" collapsed="false">
      <c r="A149" s="57" t="s">
        <v>561</v>
      </c>
      <c r="B149" s="78" t="n">
        <f aca="false">B147/B148</f>
        <v>0.670898315909359</v>
      </c>
      <c r="C149" s="78" t="n">
        <f aca="false">C147/C148</f>
        <v>0.597363043984995</v>
      </c>
      <c r="D149" s="78" t="n">
        <f aca="false">D147/D148</f>
        <v>0.577405460378204</v>
      </c>
      <c r="E149" s="78" t="n">
        <f aca="false">E147/E148</f>
        <v>0.446296115760675</v>
      </c>
      <c r="F149" s="78" t="n">
        <f aca="false">F147/F148</f>
        <v>0.376116825527356</v>
      </c>
      <c r="G149" s="78" t="n">
        <f aca="false">G147/G148</f>
        <v>0.736265398756706</v>
      </c>
      <c r="H149" s="78" t="n">
        <f aca="false">H147/H148</f>
        <v>0.80575420651467</v>
      </c>
      <c r="I149" s="78" t="n">
        <f aca="false">I147/I148</f>
        <v>0.799002398846189</v>
      </c>
      <c r="J149" s="78" t="n">
        <f aca="false">J147/J148</f>
        <v>0.984272629028119</v>
      </c>
      <c r="K149" s="78" t="n">
        <f aca="false">K147/K148</f>
        <v>1.21096381775984</v>
      </c>
    </row>
    <row r="150" customFormat="false" ht="15.75" hidden="false" customHeight="true" outlineLevel="0" collapsed="false">
      <c r="B150" s="74"/>
      <c r="C150" s="74"/>
      <c r="D150" s="74"/>
      <c r="E150" s="74"/>
      <c r="F150" s="74"/>
      <c r="G150" s="74"/>
      <c r="H150" s="74"/>
      <c r="I150" s="74"/>
      <c r="J150" s="74"/>
      <c r="K150" s="74"/>
    </row>
    <row r="151" customFormat="false" ht="15.75" hidden="false" customHeight="true" outlineLevel="0" collapsed="false">
      <c r="A151" s="44" t="s">
        <v>562</v>
      </c>
      <c r="B151" s="74" t="n">
        <f aca="false">B37-B35</f>
        <v>12394524</v>
      </c>
      <c r="C151" s="74" t="n">
        <f aca="false">C37-C35</f>
        <v>9073189</v>
      </c>
      <c r="D151" s="74" t="n">
        <f aca="false">D37-D35</f>
        <v>9177794</v>
      </c>
      <c r="E151" s="74" t="n">
        <f aca="false">E37-E35</f>
        <v>8906730</v>
      </c>
      <c r="F151" s="74" t="n">
        <f aca="false">F37-F35</f>
        <v>5091678</v>
      </c>
      <c r="G151" s="74" t="n">
        <f aca="false">G37-G35</f>
        <v>5822224</v>
      </c>
      <c r="H151" s="74" t="n">
        <f aca="false">H37-H35</f>
        <v>5564924</v>
      </c>
      <c r="I151" s="74" t="n">
        <f aca="false">I37-I35</f>
        <v>5979342</v>
      </c>
      <c r="J151" s="74" t="n">
        <f aca="false">J37-J35</f>
        <v>4428891</v>
      </c>
      <c r="K151" s="74" t="n">
        <f aca="false">K37-K35</f>
        <v>4747649</v>
      </c>
    </row>
    <row r="152" customFormat="false" ht="15.75" hidden="false" customHeight="true" outlineLevel="0" collapsed="false">
      <c r="A152" s="44" t="s">
        <v>563</v>
      </c>
      <c r="B152" s="74" t="n">
        <f aca="false">B148</f>
        <v>31909387</v>
      </c>
      <c r="C152" s="74" t="n">
        <f aca="false">C148</f>
        <v>28940642</v>
      </c>
      <c r="D152" s="74" t="n">
        <f aca="false">D148</f>
        <v>25913553</v>
      </c>
      <c r="E152" s="74" t="n">
        <f aca="false">E148</f>
        <v>22074232</v>
      </c>
      <c r="F152" s="74" t="n">
        <f aca="false">F148</f>
        <v>16226796</v>
      </c>
      <c r="G152" s="74" t="n">
        <f aca="false">G148</f>
        <v>16921496</v>
      </c>
      <c r="H152" s="74" t="n">
        <f aca="false">H148</f>
        <v>12861895</v>
      </c>
      <c r="I152" s="74" t="n">
        <f aca="false">I148</f>
        <v>11365464</v>
      </c>
      <c r="J152" s="74" t="n">
        <f aca="false">J148</f>
        <v>6834518</v>
      </c>
      <c r="K152" s="74" t="n">
        <f aca="false">K148</f>
        <v>5726290</v>
      </c>
    </row>
    <row r="153" s="57" customFormat="true" ht="15.75" hidden="false" customHeight="true" outlineLevel="0" collapsed="false">
      <c r="A153" s="57" t="s">
        <v>564</v>
      </c>
      <c r="B153" s="78" t="n">
        <f aca="false">B151/B152</f>
        <v>0.388428771759232</v>
      </c>
      <c r="C153" s="78" t="n">
        <f aca="false">C151/C152</f>
        <v>0.313510287712346</v>
      </c>
      <c r="D153" s="78" t="n">
        <f aca="false">D151/D152</f>
        <v>0.354169650144077</v>
      </c>
      <c r="E153" s="78" t="n">
        <f aca="false">E151/E152</f>
        <v>0.403489915300338</v>
      </c>
      <c r="F153" s="78" t="n">
        <f aca="false">F151/F152</f>
        <v>0.31378209228735</v>
      </c>
      <c r="G153" s="78" t="n">
        <f aca="false">G151/G152</f>
        <v>0.344072651732447</v>
      </c>
      <c r="H153" s="78" t="n">
        <f aca="false">H151/H152</f>
        <v>0.43266750350551</v>
      </c>
      <c r="I153" s="78" t="n">
        <f aca="false">I151/I152</f>
        <v>0.526097482689664</v>
      </c>
      <c r="J153" s="78" t="n">
        <f aca="false">J151/J152</f>
        <v>0.648018046042164</v>
      </c>
      <c r="K153" s="78" t="n">
        <f aca="false">K151/K152</f>
        <v>0.829096849792798</v>
      </c>
    </row>
    <row r="154" customFormat="false" ht="15.75" hidden="false" customHeight="true" outlineLevel="0" collapsed="false">
      <c r="B154" s="74"/>
      <c r="C154" s="74"/>
      <c r="D154" s="74"/>
      <c r="E154" s="74"/>
      <c r="F154" s="74"/>
      <c r="G154" s="74"/>
      <c r="H154" s="74"/>
      <c r="I154" s="74"/>
      <c r="J154" s="74"/>
      <c r="K154" s="74"/>
    </row>
    <row r="155" customFormat="false" ht="15.75" hidden="false" customHeight="true" outlineLevel="0" collapsed="false">
      <c r="A155" s="44" t="s">
        <v>565</v>
      </c>
      <c r="B155" s="74" t="n">
        <f aca="false">B48</f>
        <v>7505439</v>
      </c>
      <c r="C155" s="74" t="n">
        <f aca="false">C48</f>
        <v>6587462</v>
      </c>
      <c r="D155" s="74" t="n">
        <f aca="false">D48</f>
        <v>6239648</v>
      </c>
      <c r="E155" s="74" t="n">
        <f aca="false">E48</f>
        <v>5920456</v>
      </c>
      <c r="F155" s="74" t="n">
        <f aca="false">F48</f>
        <v>5868930</v>
      </c>
      <c r="G155" s="74" t="n">
        <f aca="false">G48</f>
        <v>3402535</v>
      </c>
      <c r="H155" s="74" t="n">
        <f aca="false">H48</f>
        <v>5162518</v>
      </c>
      <c r="I155" s="74" t="n">
        <f aca="false">I48</f>
        <v>4540178</v>
      </c>
      <c r="J155" s="74" t="n">
        <f aca="false">J48</f>
        <v>4231781</v>
      </c>
      <c r="K155" s="74" t="n">
        <f aca="false">K48</f>
        <v>1827213</v>
      </c>
    </row>
    <row r="156" customFormat="false" ht="15.75" hidden="false" customHeight="true" outlineLevel="0" collapsed="false">
      <c r="A156" s="44" t="s">
        <v>566</v>
      </c>
      <c r="B156" s="74" t="n">
        <f aca="false">B45+B20</f>
        <v>38439439</v>
      </c>
      <c r="C156" s="74" t="n">
        <f aca="false">C45+C20</f>
        <v>39560657</v>
      </c>
      <c r="D156" s="74" t="n">
        <f aca="false">D45+D20</f>
        <v>38846099</v>
      </c>
      <c r="E156" s="74" t="n">
        <f aca="false">E45+E20</f>
        <v>35201449</v>
      </c>
      <c r="F156" s="74" t="n">
        <f aca="false">F45+F20</f>
        <v>10478318</v>
      </c>
      <c r="G156" s="74" t="n">
        <f aca="false">G45+G20</f>
        <v>19443790</v>
      </c>
      <c r="H156" s="74" t="n">
        <f aca="false">H45+H20</f>
        <v>18450312</v>
      </c>
      <c r="I156" s="74" t="n">
        <f aca="false">I45+I20</f>
        <v>13237755</v>
      </c>
      <c r="J156" s="74" t="n">
        <f aca="false">J45+J20</f>
        <v>5523632</v>
      </c>
      <c r="K156" s="74" t="n">
        <f aca="false">K45+K20</f>
        <v>1466768</v>
      </c>
    </row>
    <row r="157" s="57" customFormat="true" ht="15.75" hidden="false" customHeight="true" outlineLevel="0" collapsed="false">
      <c r="A157" s="57" t="s">
        <v>567</v>
      </c>
      <c r="B157" s="78" t="n">
        <f aca="false">B155-B156</f>
        <v>-30934000</v>
      </c>
      <c r="C157" s="78" t="n">
        <f aca="false">C155-C156</f>
        <v>-32973195</v>
      </c>
      <c r="D157" s="78" t="n">
        <f aca="false">D155-D156</f>
        <v>-32606451</v>
      </c>
      <c r="E157" s="78" t="n">
        <f aca="false">E155-E156</f>
        <v>-29280993</v>
      </c>
      <c r="F157" s="78" t="n">
        <f aca="false">F155-F156</f>
        <v>-4609388</v>
      </c>
      <c r="G157" s="78" t="n">
        <f aca="false">G155-G156</f>
        <v>-16041255</v>
      </c>
      <c r="H157" s="78" t="n">
        <f aca="false">H155-H156</f>
        <v>-13287794</v>
      </c>
      <c r="I157" s="78" t="n">
        <f aca="false">I155-I156</f>
        <v>-8697577</v>
      </c>
      <c r="J157" s="78" t="n">
        <f aca="false">J155-J156</f>
        <v>-1291851</v>
      </c>
      <c r="K157" s="78" t="n">
        <f aca="false">K155-K156</f>
        <v>360445</v>
      </c>
    </row>
    <row r="158" customFormat="false" ht="15.75" hidden="false" customHeight="true" outlineLevel="0" collapsed="false">
      <c r="B158" s="74"/>
      <c r="C158" s="74"/>
      <c r="D158" s="74"/>
      <c r="E158" s="74"/>
      <c r="F158" s="74"/>
      <c r="G158" s="74"/>
      <c r="H158" s="74"/>
      <c r="I158" s="74"/>
      <c r="J158" s="74"/>
      <c r="K158" s="74"/>
    </row>
    <row r="159" customFormat="false" ht="15.75" hidden="false" customHeight="true" outlineLevel="0" collapsed="false">
      <c r="A159" s="44" t="s">
        <v>565</v>
      </c>
      <c r="B159" s="74" t="n">
        <f aca="false">B155</f>
        <v>7505439</v>
      </c>
      <c r="C159" s="74" t="n">
        <f aca="false">C155</f>
        <v>6587462</v>
      </c>
      <c r="D159" s="74" t="n">
        <f aca="false">D155</f>
        <v>6239648</v>
      </c>
      <c r="E159" s="74" t="n">
        <f aca="false">E155</f>
        <v>5920456</v>
      </c>
      <c r="F159" s="74" t="n">
        <f aca="false">F155</f>
        <v>5868930</v>
      </c>
      <c r="G159" s="74" t="n">
        <f aca="false">G155</f>
        <v>3402535</v>
      </c>
      <c r="H159" s="74" t="n">
        <f aca="false">H155</f>
        <v>5162518</v>
      </c>
      <c r="I159" s="74" t="n">
        <f aca="false">I155</f>
        <v>4540178</v>
      </c>
      <c r="J159" s="74" t="n">
        <f aca="false">J155</f>
        <v>4231781</v>
      </c>
      <c r="K159" s="74" t="n">
        <f aca="false">K155</f>
        <v>1827213</v>
      </c>
    </row>
    <row r="160" customFormat="false" ht="15.75" hidden="false" customHeight="true" outlineLevel="0" collapsed="false">
      <c r="A160" s="44" t="s">
        <v>568</v>
      </c>
      <c r="B160" s="74" t="n">
        <f aca="false">B41+B22+B43</f>
        <v>20552923</v>
      </c>
      <c r="C160" s="74" t="n">
        <f aca="false">C41+C22+C43</f>
        <v>21592071</v>
      </c>
      <c r="D160" s="74" t="n">
        <f aca="false">D41+D22+D43</f>
        <v>21961303</v>
      </c>
      <c r="E160" s="74" t="n">
        <f aca="false">E41+E22+E43</f>
        <v>18077687</v>
      </c>
      <c r="F160" s="74" t="n">
        <f aca="false">F41+F22+F43</f>
        <v>3273458</v>
      </c>
      <c r="G160" s="74" t="n">
        <f aca="false">G41+G22+G43</f>
        <v>11654549</v>
      </c>
      <c r="H160" s="74" t="n">
        <f aca="false">H41+H22+H43</f>
        <v>10780240</v>
      </c>
      <c r="I160" s="74" t="n">
        <f aca="false">I41+I22+I43</f>
        <v>6301355</v>
      </c>
      <c r="J160" s="74" t="n">
        <f aca="false">J41+J22+J43</f>
        <v>1007448</v>
      </c>
      <c r="K160" s="74" t="n">
        <f aca="false">K41+K22+K43</f>
        <v>671866</v>
      </c>
    </row>
    <row r="161" customFormat="false" ht="15.75" hidden="false" customHeight="true" outlineLevel="0" collapsed="false">
      <c r="A161" s="44" t="s">
        <v>566</v>
      </c>
      <c r="B161" s="74" t="n">
        <f aca="false">B156</f>
        <v>38439439</v>
      </c>
      <c r="C161" s="74" t="n">
        <f aca="false">C156</f>
        <v>39560657</v>
      </c>
      <c r="D161" s="74" t="n">
        <f aca="false">D156</f>
        <v>38846099</v>
      </c>
      <c r="E161" s="74" t="n">
        <f aca="false">E156</f>
        <v>35201449</v>
      </c>
      <c r="F161" s="74" t="n">
        <f aca="false">F156</f>
        <v>10478318</v>
      </c>
      <c r="G161" s="74" t="n">
        <f aca="false">G156</f>
        <v>19443790</v>
      </c>
      <c r="H161" s="74" t="n">
        <f aca="false">H156</f>
        <v>18450312</v>
      </c>
      <c r="I161" s="74" t="n">
        <f aca="false">I156</f>
        <v>13237755</v>
      </c>
      <c r="J161" s="74" t="n">
        <f aca="false">J156</f>
        <v>5523632</v>
      </c>
      <c r="K161" s="74" t="n">
        <f aca="false">K156</f>
        <v>1466768</v>
      </c>
    </row>
    <row r="162" s="57" customFormat="true" ht="15.75" hidden="false" customHeight="true" outlineLevel="0" collapsed="false">
      <c r="A162" s="57" t="s">
        <v>569</v>
      </c>
      <c r="B162" s="78" t="n">
        <f aca="false">B159+B160-B161</f>
        <v>-10381077</v>
      </c>
      <c r="C162" s="78" t="n">
        <f aca="false">C159+C160-C161</f>
        <v>-11381124</v>
      </c>
      <c r="D162" s="78" t="n">
        <f aca="false">D159+D160-D161</f>
        <v>-10645148</v>
      </c>
      <c r="E162" s="78" t="n">
        <f aca="false">E159+E160-E161</f>
        <v>-11203306</v>
      </c>
      <c r="F162" s="78" t="n">
        <f aca="false">F159+F160-F161</f>
        <v>-1335930</v>
      </c>
      <c r="G162" s="78" t="n">
        <f aca="false">G159+G160-G161</f>
        <v>-4386706</v>
      </c>
      <c r="H162" s="78" t="n">
        <f aca="false">H159+H160-H161</f>
        <v>-2507554</v>
      </c>
      <c r="I162" s="78" t="n">
        <f aca="false">I159+I160-I161</f>
        <v>-2396222</v>
      </c>
      <c r="J162" s="78" t="n">
        <f aca="false">J159+J160-J161</f>
        <v>-284403</v>
      </c>
      <c r="K162" s="78" t="n">
        <f aca="false">K159+K160-K161</f>
        <v>1032311</v>
      </c>
    </row>
    <row r="165" customFormat="false" ht="15.75" hidden="false" customHeight="true" outlineLevel="0" collapsed="false">
      <c r="A165" s="73" t="s">
        <v>454</v>
      </c>
    </row>
    <row r="166" customFormat="false" ht="15.75" hidden="false" customHeight="true" outlineLevel="0" collapsed="false">
      <c r="A166" s="73" t="s">
        <v>570</v>
      </c>
    </row>
    <row r="167" customFormat="false" ht="15.75" hidden="false" customHeight="true" outlineLevel="0" collapsed="false">
      <c r="A167" s="44" t="s">
        <v>571</v>
      </c>
      <c r="B167" s="74" t="n">
        <f aca="false">B16-B15</f>
        <v>-7362</v>
      </c>
      <c r="C167" s="74" t="n">
        <f aca="false">C16-C15</f>
        <v>306901</v>
      </c>
      <c r="D167" s="74" t="n">
        <f aca="false">D16-D15</f>
        <v>6801360</v>
      </c>
      <c r="E167" s="74" t="n">
        <f aca="false">E16-E15</f>
        <v>20203168</v>
      </c>
      <c r="F167" s="74" t="n">
        <f aca="false">F16-F15</f>
        <v>-19787031</v>
      </c>
      <c r="G167" s="74" t="n">
        <f aca="false">G16-G15</f>
        <v>2586875</v>
      </c>
      <c r="H167" s="74" t="n">
        <f aca="false">H16-H15</f>
        <v>6928008</v>
      </c>
      <c r="I167" s="74" t="n">
        <f aca="false">I16-I15</f>
        <v>7708912</v>
      </c>
      <c r="J167" s="74" t="n">
        <f aca="false">J16-J15</f>
        <v>4111372</v>
      </c>
      <c r="K167" s="74" t="n">
        <f aca="false">K16-K15</f>
        <v>5378503</v>
      </c>
    </row>
    <row r="168" customFormat="false" ht="15.75" hidden="false" customHeight="true" outlineLevel="0" collapsed="false">
      <c r="A168" s="44" t="s">
        <v>572</v>
      </c>
      <c r="B168" s="74" t="n">
        <f aca="false">B15</f>
        <v>34238068</v>
      </c>
      <c r="C168" s="74" t="n">
        <f aca="false">C15</f>
        <v>33931167</v>
      </c>
      <c r="D168" s="74" t="n">
        <f aca="false">D15</f>
        <v>27129807</v>
      </c>
      <c r="E168" s="74" t="n">
        <f aca="false">E15</f>
        <v>6926639</v>
      </c>
      <c r="F168" s="74" t="n">
        <f aca="false">F15</f>
        <v>26713670</v>
      </c>
      <c r="G168" s="74" t="n">
        <f aca="false">G15</f>
        <v>24126795</v>
      </c>
      <c r="H168" s="74" t="n">
        <f aca="false">H15</f>
        <v>17198787</v>
      </c>
      <c r="I168" s="74" t="n">
        <f aca="false">I15</f>
        <v>9489875</v>
      </c>
      <c r="J168" s="74" t="n">
        <f aca="false">J15</f>
        <v>5378503</v>
      </c>
      <c r="K168" s="74" t="n">
        <f aca="false">K15</f>
        <v>0</v>
      </c>
    </row>
    <row r="169" s="57" customFormat="true" ht="15.75" hidden="false" customHeight="true" outlineLevel="0" collapsed="false">
      <c r="A169" s="57" t="s">
        <v>573</v>
      </c>
      <c r="B169" s="78" t="n">
        <f aca="false">B167/B168</f>
        <v>-0.000215023815011992</v>
      </c>
      <c r="C169" s="78" t="n">
        <f aca="false">C167/C168</f>
        <v>0.00904481122031553</v>
      </c>
      <c r="D169" s="78" t="n">
        <f aca="false">D167/D168</f>
        <v>0.250696954829056</v>
      </c>
      <c r="E169" s="78" t="n">
        <f aca="false">E167/E168</f>
        <v>2.91673465298249</v>
      </c>
      <c r="F169" s="78" t="n">
        <f aca="false">F167/F168</f>
        <v>-0.740708071934706</v>
      </c>
      <c r="G169" s="78" t="n">
        <f aca="false">G167/G168</f>
        <v>0.107220001662053</v>
      </c>
      <c r="H169" s="78" t="n">
        <f aca="false">H167/H168</f>
        <v>0.402819570938346</v>
      </c>
      <c r="I169" s="78" t="n">
        <f aca="false">I167/I168</f>
        <v>0.812330194022577</v>
      </c>
      <c r="J169" s="78" t="n">
        <f aca="false">J167/J168</f>
        <v>0.764408237756863</v>
      </c>
      <c r="K169" s="78" t="e">
        <f aca="false">K167/K168</f>
        <v>#DIV/0!</v>
      </c>
    </row>
    <row r="170" customFormat="false" ht="15.75" hidden="false" customHeight="true" outlineLevel="0" collapsed="false">
      <c r="B170" s="74"/>
      <c r="C170" s="74"/>
      <c r="D170" s="74"/>
      <c r="E170" s="74"/>
      <c r="F170" s="74"/>
      <c r="G170" s="74"/>
      <c r="H170" s="74"/>
      <c r="I170" s="74"/>
      <c r="J170" s="74"/>
      <c r="K170" s="74"/>
    </row>
    <row r="171" customFormat="false" ht="15.75" hidden="false" customHeight="true" outlineLevel="0" collapsed="false">
      <c r="A171" s="44" t="s">
        <v>574</v>
      </c>
      <c r="B171" s="74" t="n">
        <f aca="false">B48-B47</f>
        <v>917977</v>
      </c>
      <c r="C171" s="74" t="n">
        <f aca="false">C48-C47</f>
        <v>347814</v>
      </c>
      <c r="D171" s="74" t="n">
        <f aca="false">D48-D47</f>
        <v>319192</v>
      </c>
      <c r="E171" s="74" t="n">
        <f aca="false">E48-E47</f>
        <v>51526</v>
      </c>
      <c r="F171" s="74" t="n">
        <f aca="false">F48-F47</f>
        <v>2466395</v>
      </c>
      <c r="G171" s="74" t="n">
        <f aca="false">G48-G47</f>
        <v>-1759983</v>
      </c>
      <c r="H171" s="74" t="n">
        <f aca="false">H48-H47</f>
        <v>622340</v>
      </c>
      <c r="I171" s="74" t="n">
        <f aca="false">I48-I47</f>
        <v>308397</v>
      </c>
      <c r="J171" s="74" t="n">
        <f aca="false">J48-J47</f>
        <v>2404568</v>
      </c>
      <c r="K171" s="74" t="n">
        <f aca="false">K48-K47</f>
        <v>1827213</v>
      </c>
    </row>
    <row r="172" customFormat="false" ht="15.75" hidden="false" customHeight="true" outlineLevel="0" collapsed="false">
      <c r="A172" s="44" t="s">
        <v>575</v>
      </c>
      <c r="B172" s="74" t="n">
        <f aca="false">B47</f>
        <v>6587462</v>
      </c>
      <c r="C172" s="74" t="n">
        <f aca="false">C47</f>
        <v>6239648</v>
      </c>
      <c r="D172" s="74" t="n">
        <f aca="false">D47</f>
        <v>5920456</v>
      </c>
      <c r="E172" s="74" t="n">
        <f aca="false">E47</f>
        <v>5868930</v>
      </c>
      <c r="F172" s="74" t="n">
        <f aca="false">F47</f>
        <v>3402535</v>
      </c>
      <c r="G172" s="74" t="n">
        <f aca="false">G47</f>
        <v>5162518</v>
      </c>
      <c r="H172" s="74" t="n">
        <f aca="false">H47</f>
        <v>4540178</v>
      </c>
      <c r="I172" s="74" t="n">
        <f aca="false">I47</f>
        <v>4231781</v>
      </c>
      <c r="J172" s="74" t="n">
        <f aca="false">J47</f>
        <v>1827213</v>
      </c>
      <c r="K172" s="74" t="n">
        <f aca="false">K47</f>
        <v>0</v>
      </c>
    </row>
    <row r="173" s="57" customFormat="true" ht="15.75" hidden="false" customHeight="true" outlineLevel="0" collapsed="false">
      <c r="A173" s="57" t="s">
        <v>576</v>
      </c>
      <c r="B173" s="78" t="n">
        <f aca="false">B171/B172</f>
        <v>0.139352151101593</v>
      </c>
      <c r="C173" s="78" t="n">
        <f aca="false">C171/C172</f>
        <v>0.0557425675294504</v>
      </c>
      <c r="D173" s="78" t="n">
        <f aca="false">D171/D172</f>
        <v>0.0539134147775104</v>
      </c>
      <c r="E173" s="78" t="n">
        <f aca="false">E171/E172</f>
        <v>0.0087794538357077</v>
      </c>
      <c r="F173" s="78" t="n">
        <f aca="false">F171/F172</f>
        <v>0.724869839693052</v>
      </c>
      <c r="G173" s="78" t="n">
        <f aca="false">G171/G172</f>
        <v>-0.340915615209477</v>
      </c>
      <c r="H173" s="78" t="n">
        <f aca="false">H171/H172</f>
        <v>0.137073920890326</v>
      </c>
      <c r="I173" s="78" t="n">
        <f aca="false">I171/I172</f>
        <v>0.0728764083018474</v>
      </c>
      <c r="J173" s="78" t="n">
        <f aca="false">J171/J172</f>
        <v>1.31597575104818</v>
      </c>
      <c r="K173" s="78" t="e">
        <f aca="false">K171/K172</f>
        <v>#DIV/0!</v>
      </c>
    </row>
    <row r="174" customFormat="false" ht="15.75" hidden="false" customHeight="true" outlineLevel="0" collapsed="false">
      <c r="B174" s="74"/>
      <c r="C174" s="74"/>
      <c r="D174" s="74"/>
      <c r="E174" s="74"/>
      <c r="F174" s="74"/>
      <c r="G174" s="74"/>
      <c r="H174" s="74"/>
      <c r="I174" s="74"/>
      <c r="J174" s="74"/>
      <c r="K174" s="74"/>
    </row>
    <row r="175" customFormat="false" ht="15.75" hidden="false" customHeight="true" outlineLevel="0" collapsed="false">
      <c r="A175" s="44" t="s">
        <v>577</v>
      </c>
      <c r="B175" s="74" t="n">
        <f aca="false">B167-B171</f>
        <v>-925339</v>
      </c>
      <c r="C175" s="74" t="n">
        <f aca="false">C167-C171</f>
        <v>-40913</v>
      </c>
      <c r="D175" s="74" t="n">
        <f aca="false">D167-D171</f>
        <v>6482168</v>
      </c>
      <c r="E175" s="74" t="n">
        <f aca="false">E167-E171</f>
        <v>20151642</v>
      </c>
      <c r="F175" s="74" t="n">
        <f aca="false">F167-F171</f>
        <v>-22253426</v>
      </c>
      <c r="G175" s="74" t="n">
        <f aca="false">G167-G171</f>
        <v>4346858</v>
      </c>
      <c r="H175" s="74" t="n">
        <f aca="false">H167-H171</f>
        <v>6305668</v>
      </c>
      <c r="I175" s="74" t="n">
        <f aca="false">I167-I171</f>
        <v>7400515</v>
      </c>
      <c r="J175" s="74" t="n">
        <f aca="false">J167-J171</f>
        <v>1706804</v>
      </c>
      <c r="K175" s="74" t="n">
        <f aca="false">K167-K171</f>
        <v>3551290</v>
      </c>
    </row>
    <row r="176" customFormat="false" ht="15.75" hidden="false" customHeight="true" outlineLevel="0" collapsed="false">
      <c r="B176" s="74"/>
      <c r="C176" s="74"/>
      <c r="D176" s="74"/>
      <c r="E176" s="74"/>
      <c r="F176" s="74"/>
      <c r="G176" s="74"/>
      <c r="H176" s="74"/>
      <c r="I176" s="74"/>
      <c r="J176" s="74"/>
      <c r="K176" s="74"/>
    </row>
    <row r="177" customFormat="false" ht="15.75" hidden="false" customHeight="true" outlineLevel="0" collapsed="false">
      <c r="A177" s="44" t="s">
        <v>578</v>
      </c>
      <c r="B177" s="74" t="n">
        <f aca="false">B175</f>
        <v>-925339</v>
      </c>
      <c r="C177" s="74" t="n">
        <f aca="false">C175</f>
        <v>-40913</v>
      </c>
      <c r="D177" s="74" t="n">
        <f aca="false">D175</f>
        <v>6482168</v>
      </c>
      <c r="E177" s="74" t="n">
        <f aca="false">E175</f>
        <v>20151642</v>
      </c>
      <c r="F177" s="74" t="n">
        <f aca="false">F175</f>
        <v>-22253426</v>
      </c>
      <c r="G177" s="74" t="n">
        <f aca="false">G175</f>
        <v>4346858</v>
      </c>
      <c r="H177" s="74" t="n">
        <f aca="false">H175</f>
        <v>6305668</v>
      </c>
      <c r="I177" s="74" t="n">
        <f aca="false">I175</f>
        <v>7400515</v>
      </c>
      <c r="J177" s="74" t="n">
        <f aca="false">J175</f>
        <v>1706804</v>
      </c>
      <c r="K177" s="74" t="n">
        <f aca="false">K175</f>
        <v>3551290</v>
      </c>
    </row>
    <row r="178" customFormat="false" ht="15.75" hidden="false" customHeight="true" outlineLevel="0" collapsed="false">
      <c r="A178" s="44" t="s">
        <v>579</v>
      </c>
      <c r="B178" s="74" t="n">
        <f aca="false">B171</f>
        <v>917977</v>
      </c>
      <c r="C178" s="74" t="n">
        <f aca="false">C171</f>
        <v>347814</v>
      </c>
      <c r="D178" s="74" t="n">
        <f aca="false">D171</f>
        <v>319192</v>
      </c>
      <c r="E178" s="74" t="n">
        <f aca="false">E171</f>
        <v>51526</v>
      </c>
      <c r="F178" s="74" t="n">
        <f aca="false">F171</f>
        <v>2466395</v>
      </c>
      <c r="G178" s="74" t="n">
        <f aca="false">G171</f>
        <v>-1759983</v>
      </c>
      <c r="H178" s="74" t="n">
        <f aca="false">H171</f>
        <v>622340</v>
      </c>
      <c r="I178" s="74" t="n">
        <f aca="false">I171</f>
        <v>308397</v>
      </c>
      <c r="J178" s="74" t="n">
        <f aca="false">J171</f>
        <v>2404568</v>
      </c>
      <c r="K178" s="74" t="n">
        <f aca="false">K171</f>
        <v>1827213</v>
      </c>
    </row>
    <row r="179" s="57" customFormat="true" ht="15.75" hidden="false" customHeight="true" outlineLevel="0" collapsed="false">
      <c r="A179" s="57" t="s">
        <v>580</v>
      </c>
      <c r="B179" s="78" t="n">
        <f aca="false">B177/B178</f>
        <v>-1.00801980877517</v>
      </c>
      <c r="C179" s="78" t="n">
        <f aca="false">C177/C178</f>
        <v>-0.117628962606451</v>
      </c>
      <c r="D179" s="78" t="n">
        <f aca="false">D177/D178</f>
        <v>20.3080528334043</v>
      </c>
      <c r="E179" s="78" t="n">
        <f aca="false">E177/E178</f>
        <v>391.096572604122</v>
      </c>
      <c r="F179" s="78" t="n">
        <f aca="false">F177/F178</f>
        <v>-9.02265290028564</v>
      </c>
      <c r="G179" s="78" t="n">
        <f aca="false">G177/G178</f>
        <v>-2.46982953812622</v>
      </c>
      <c r="H179" s="78" t="n">
        <f aca="false">H177/H178</f>
        <v>10.1321914066266</v>
      </c>
      <c r="I179" s="78" t="n">
        <f aca="false">I177/I178</f>
        <v>23.9967152728464</v>
      </c>
      <c r="J179" s="78" t="n">
        <f aca="false">J177/J178</f>
        <v>0.7098173143783</v>
      </c>
      <c r="K179" s="78" t="n">
        <f aca="false">K177/K178</f>
        <v>1.9435555679606</v>
      </c>
    </row>
    <row r="180" customFormat="false" ht="15.75" hidden="false" customHeight="true" outlineLevel="0" collapsed="false">
      <c r="B180" s="74"/>
      <c r="C180" s="74"/>
      <c r="D180" s="74"/>
      <c r="E180" s="74"/>
      <c r="F180" s="74"/>
      <c r="G180" s="74"/>
      <c r="H180" s="74"/>
      <c r="I180" s="74"/>
      <c r="J180" s="74"/>
      <c r="K180" s="74"/>
    </row>
    <row r="181" customFormat="false" ht="15.75" hidden="false" customHeight="true" outlineLevel="0" collapsed="false">
      <c r="A181" s="44" t="s">
        <v>581</v>
      </c>
      <c r="B181" s="74" t="n">
        <f aca="false">B169-B173</f>
        <v>-0.139567174916605</v>
      </c>
      <c r="C181" s="74" t="n">
        <f aca="false">C169-C173</f>
        <v>-0.0466977563091349</v>
      </c>
      <c r="D181" s="74" t="n">
        <f aca="false">D169-D173</f>
        <v>0.196783540051545</v>
      </c>
      <c r="E181" s="74" t="n">
        <f aca="false">E169-E173</f>
        <v>2.90795519914678</v>
      </c>
      <c r="F181" s="74" t="n">
        <f aca="false">F169-F173</f>
        <v>-1.46557791162776</v>
      </c>
      <c r="G181" s="74" t="n">
        <f aca="false">G169-G173</f>
        <v>0.44813561687153</v>
      </c>
      <c r="H181" s="74" t="n">
        <f aca="false">H169-H173</f>
        <v>0.26574565004802</v>
      </c>
      <c r="I181" s="74" t="n">
        <f aca="false">I169-I173</f>
        <v>0.739453785720729</v>
      </c>
      <c r="J181" s="74" t="n">
        <f aca="false">J169-J173</f>
        <v>-0.551567513291318</v>
      </c>
      <c r="K181" s="74" t="e">
        <f aca="false">K169-K173</f>
        <v>#DIV/0!</v>
      </c>
    </row>
    <row r="182" customFormat="false" ht="15.75" hidden="false" customHeight="true" outlineLevel="0" collapsed="false">
      <c r="B182" s="74"/>
      <c r="C182" s="74"/>
      <c r="D182" s="74"/>
      <c r="E182" s="74"/>
      <c r="F182" s="74"/>
      <c r="G182" s="74"/>
      <c r="H182" s="74"/>
      <c r="I182" s="74"/>
      <c r="J182" s="74"/>
      <c r="K182" s="74"/>
    </row>
    <row r="183" customFormat="false" ht="15.75" hidden="false" customHeight="true" outlineLevel="0" collapsed="false">
      <c r="B183" s="74"/>
      <c r="C183" s="74"/>
      <c r="D183" s="74"/>
      <c r="E183" s="74"/>
      <c r="F183" s="74"/>
      <c r="G183" s="74"/>
      <c r="H183" s="74"/>
      <c r="I183" s="74"/>
      <c r="J183" s="74"/>
      <c r="K183" s="74"/>
    </row>
    <row r="184" customFormat="false" ht="15.75" hidden="false" customHeight="true" outlineLevel="0" collapsed="false">
      <c r="A184" s="76" t="s">
        <v>582</v>
      </c>
      <c r="B184" s="74"/>
      <c r="C184" s="74"/>
      <c r="D184" s="74"/>
      <c r="E184" s="74"/>
      <c r="F184" s="74"/>
      <c r="G184" s="74"/>
      <c r="H184" s="74"/>
      <c r="I184" s="74"/>
      <c r="J184" s="74"/>
      <c r="K184" s="74"/>
    </row>
    <row r="185" customFormat="false" ht="15.75" hidden="false" customHeight="true" outlineLevel="0" collapsed="false">
      <c r="A185" s="44" t="s">
        <v>583</v>
      </c>
      <c r="B185" s="74" t="n">
        <f aca="false">(B7-B8)/B8</f>
        <v>0.216589013127272</v>
      </c>
      <c r="C185" s="74" t="n">
        <f aca="false">(C7-C8)/C8</f>
        <v>0.47031612233832</v>
      </c>
      <c r="D185" s="74" t="n">
        <f aca="false">(D7-D8)/D8</f>
        <v>0.144720924064858</v>
      </c>
      <c r="E185" s="74" t="n">
        <f aca="false">(E7-E8)/E8</f>
        <v>-0.649723576537071</v>
      </c>
      <c r="F185" s="74" t="n">
        <f aca="false">(F7-F8)/F8</f>
        <v>0.944619828357585</v>
      </c>
      <c r="G185" s="74" t="n">
        <f aca="false">(G7-G8)/G8</f>
        <v>0.149588353523991</v>
      </c>
      <c r="H185" s="74" t="n">
        <f aca="false">(H7-H8)/H8</f>
        <v>0.143592537050576</v>
      </c>
      <c r="I185" s="74" t="n">
        <f aca="false">(I7-I8)/I8</f>
        <v>0.027022225776812</v>
      </c>
      <c r="J185" s="74" t="n">
        <f aca="false">(J7-J8)/J8</f>
        <v>0.0321260243372845</v>
      </c>
      <c r="K185" s="74" t="e">
        <f aca="false">(K7-K8)/K8</f>
        <v>#DIV/0!</v>
      </c>
    </row>
    <row r="186" customFormat="false" ht="15.75" hidden="false" customHeight="true" outlineLevel="0" collapsed="false">
      <c r="A186" s="44" t="s">
        <v>584</v>
      </c>
      <c r="B186" s="74" t="n">
        <f aca="false">B167/(B7-B8)</f>
        <v>-0.00126529695378297</v>
      </c>
      <c r="C186" s="74" t="n">
        <f aca="false">C167/(C7-C8)</f>
        <v>0.0357151294218276</v>
      </c>
      <c r="D186" s="74" t="n">
        <f aca="false">D167/(D7-D8)</f>
        <v>2.9444748453594</v>
      </c>
      <c r="E186" s="74" t="n">
        <f aca="false">E167/(E7-E8)</f>
        <v>-0.68240966329715</v>
      </c>
      <c r="F186" s="74" t="n">
        <f aca="false">F167/(F7-F8)</f>
        <v>-0.893948717142455</v>
      </c>
      <c r="G186" s="74" t="n">
        <f aca="false">G167/(G7-G8)</f>
        <v>0.848416382344347</v>
      </c>
      <c r="H186" s="74" t="n">
        <f aca="false">H167/(H7-H8)</f>
        <v>2.70694360709978</v>
      </c>
      <c r="I186" s="74" t="n">
        <f aca="false">I167/(I7-I8)</f>
        <v>16.438209410977</v>
      </c>
      <c r="J186" s="74" t="n">
        <f aca="false">J167/(J7-J8)</f>
        <v>7.61105845415636</v>
      </c>
      <c r="K186" s="74" t="n">
        <f aca="false">K167/(K7-K8)</f>
        <v>0.319872336604116</v>
      </c>
    </row>
    <row r="187" customFormat="false" ht="15.75" hidden="false" customHeight="true" outlineLevel="0" collapsed="false">
      <c r="A187" s="44" t="s">
        <v>585</v>
      </c>
      <c r="B187" s="74" t="n">
        <f aca="false">B8/B15</f>
        <v>0.784616935745323</v>
      </c>
      <c r="C187" s="74" t="n">
        <f aca="false">C8/C15</f>
        <v>0.538464916340779</v>
      </c>
      <c r="D187" s="74" t="n">
        <f aca="false">D8/D15</f>
        <v>0.588314948204387</v>
      </c>
      <c r="E187" s="74" t="n">
        <f aca="false">E8/E15</f>
        <v>6.57844316702516</v>
      </c>
      <c r="F187" s="74" t="n">
        <f aca="false">F8/F15</f>
        <v>0.877157163354942</v>
      </c>
      <c r="G187" s="74" t="n">
        <f aca="false">G8/G15</f>
        <v>0.844829327724632</v>
      </c>
      <c r="H187" s="74" t="n">
        <f aca="false">H8/H15</f>
        <v>1.03633337630148</v>
      </c>
      <c r="I187" s="74" t="n">
        <f aca="false">I8/I15</f>
        <v>1.82876107430288</v>
      </c>
      <c r="J187" s="74" t="n">
        <f aca="false">J8/J15</f>
        <v>3.12624721042268</v>
      </c>
      <c r="K187" s="74" t="e">
        <f aca="false">K8/K15</f>
        <v>#DIV/0!</v>
      </c>
    </row>
    <row r="188" s="57" customFormat="true" ht="15.75" hidden="false" customHeight="true" outlineLevel="0" collapsed="false">
      <c r="A188" s="57" t="s">
        <v>586</v>
      </c>
      <c r="B188" s="78" t="n">
        <f aca="false">B185*B186*B187</f>
        <v>-0.000215023815011992</v>
      </c>
      <c r="C188" s="78" t="n">
        <f aca="false">C185*C186*C187</f>
        <v>0.00904481122031553</v>
      </c>
      <c r="D188" s="78" t="n">
        <f aca="false">D185*D186*D187</f>
        <v>0.250696954829056</v>
      </c>
      <c r="E188" s="78" t="n">
        <f aca="false">E185*E186*E187</f>
        <v>2.91673465298249</v>
      </c>
      <c r="F188" s="78" t="n">
        <f aca="false">F185*F186*F187</f>
        <v>-0.740708071934706</v>
      </c>
      <c r="G188" s="78" t="n">
        <f aca="false">G185*G186*G187</f>
        <v>0.107220001662053</v>
      </c>
      <c r="H188" s="78" t="n">
        <f aca="false">H185*H186*H187</f>
        <v>0.402819570938346</v>
      </c>
      <c r="I188" s="78" t="n">
        <f aca="false">I185*I186*I187</f>
        <v>0.812330194022577</v>
      </c>
      <c r="J188" s="78" t="n">
        <f aca="false">J185*J186*J187</f>
        <v>0.764408237756863</v>
      </c>
      <c r="K188" s="78" t="e">
        <f aca="false">K185*K186*K187</f>
        <v>#DIV/0!</v>
      </c>
    </row>
    <row r="189" customFormat="false" ht="15.75" hidden="false" customHeight="true" outlineLevel="0" collapsed="false">
      <c r="A189" s="44" t="s">
        <v>587</v>
      </c>
      <c r="B189" s="74" t="n">
        <f aca="false">B167/B168</f>
        <v>-0.000215023815011992</v>
      </c>
      <c r="C189" s="74" t="n">
        <f aca="false">C167/C168</f>
        <v>0.00904481122031553</v>
      </c>
      <c r="D189" s="74" t="n">
        <f aca="false">D167/D168</f>
        <v>0.250696954829056</v>
      </c>
      <c r="E189" s="74" t="n">
        <f aca="false">E167/E168</f>
        <v>2.91673465298249</v>
      </c>
      <c r="F189" s="74" t="n">
        <f aca="false">F167/F168</f>
        <v>-0.740708071934706</v>
      </c>
      <c r="G189" s="74" t="n">
        <f aca="false">G167/G168</f>
        <v>0.107220001662053</v>
      </c>
      <c r="H189" s="74" t="n">
        <f aca="false">H167/H168</f>
        <v>0.402819570938346</v>
      </c>
      <c r="I189" s="74" t="n">
        <f aca="false">I167/I168</f>
        <v>0.812330194022577</v>
      </c>
      <c r="J189" s="74" t="n">
        <f aca="false">J167/J168</f>
        <v>0.764408237756863</v>
      </c>
      <c r="K189" s="74" t="e">
        <f aca="false">K167/K168</f>
        <v>#DIV/0!</v>
      </c>
    </row>
    <row r="190" customFormat="false" ht="15.75" hidden="false" customHeight="true" outlineLevel="0" collapsed="false">
      <c r="A190" s="44" t="s">
        <v>588</v>
      </c>
      <c r="B190" s="74" t="n">
        <f aca="false">B188-B189</f>
        <v>0</v>
      </c>
      <c r="C190" s="74" t="n">
        <f aca="false">C188-C189</f>
        <v>0</v>
      </c>
      <c r="D190" s="74" t="n">
        <f aca="false">D188-D189</f>
        <v>0</v>
      </c>
      <c r="E190" s="74" t="n">
        <f aca="false">E188-E189</f>
        <v>0</v>
      </c>
      <c r="F190" s="74" t="n">
        <f aca="false">F188-F189</f>
        <v>0</v>
      </c>
      <c r="G190" s="74" t="n">
        <f aca="false">G188-G189</f>
        <v>0</v>
      </c>
      <c r="H190" s="74" t="n">
        <f aca="false">H188-H189</f>
        <v>0</v>
      </c>
      <c r="I190" s="74" t="n">
        <f aca="false">I188-I189</f>
        <v>0</v>
      </c>
      <c r="J190" s="74" t="n">
        <f aca="false">J188-J189</f>
        <v>0</v>
      </c>
      <c r="K190" s="74" t="e">
        <f aca="false">K188-K189</f>
        <v>#DIV/0!</v>
      </c>
    </row>
    <row r="191" customFormat="false" ht="15.75" hidden="false" customHeight="true" outlineLevel="0" collapsed="false">
      <c r="B191" s="74"/>
      <c r="C191" s="74"/>
      <c r="D191" s="74"/>
      <c r="E191" s="74"/>
      <c r="F191" s="74"/>
      <c r="G191" s="74"/>
      <c r="H191" s="74"/>
      <c r="I191" s="74"/>
      <c r="J191" s="74"/>
      <c r="K191" s="74"/>
    </row>
    <row r="192" customFormat="false" ht="15.75" hidden="false" customHeight="true" outlineLevel="0" collapsed="false">
      <c r="A192" s="76" t="s">
        <v>589</v>
      </c>
      <c r="B192" s="74"/>
      <c r="C192" s="74"/>
      <c r="D192" s="74"/>
      <c r="E192" s="74"/>
      <c r="F192" s="74"/>
      <c r="G192" s="74"/>
      <c r="H192" s="74"/>
      <c r="I192" s="74"/>
      <c r="J192" s="74"/>
      <c r="K192" s="74"/>
    </row>
    <row r="193" customFormat="false" ht="15.75" hidden="false" customHeight="true" outlineLevel="0" collapsed="false">
      <c r="A193" s="44" t="s">
        <v>590</v>
      </c>
      <c r="B193" s="74" t="n">
        <f aca="false">B6/B47</f>
        <v>0.0554806995471093</v>
      </c>
      <c r="C193" s="74" t="n">
        <f aca="false">C6/C47</f>
        <v>0.0557427277949013</v>
      </c>
      <c r="D193" s="74" t="n">
        <f aca="false">D6/D47</f>
        <v>0.0442014939389804</v>
      </c>
      <c r="E193" s="74" t="n">
        <f aca="false">E6/E47</f>
        <v>-0.050856288965791</v>
      </c>
      <c r="F193" s="74" t="n">
        <f aca="false">F6/F47</f>
        <v>0.699241888768227</v>
      </c>
      <c r="G193" s="74" t="n">
        <f aca="false">G6/G47</f>
        <v>-0.332585959022322</v>
      </c>
      <c r="H193" s="74" t="n">
        <f aca="false">H6/H47</f>
        <v>0.136191576629815</v>
      </c>
      <c r="I193" s="74" t="n">
        <f aca="false">I6/I47</f>
        <v>0.0816880646706434</v>
      </c>
      <c r="J193" s="74" t="n">
        <f aca="false">J6/J47</f>
        <v>0.270899999069621</v>
      </c>
      <c r="K193" s="74" t="e">
        <f aca="false">K6/K47</f>
        <v>#DIV/0!</v>
      </c>
    </row>
    <row r="194" customFormat="false" ht="15.75" hidden="false" customHeight="true" outlineLevel="0" collapsed="false">
      <c r="A194" s="44" t="s">
        <v>591</v>
      </c>
      <c r="B194" s="74" t="n">
        <f aca="false">B49/B6</f>
        <v>0</v>
      </c>
      <c r="C194" s="74" t="n">
        <f aca="false">C49/C6</f>
        <v>2.87509164354614E-006</v>
      </c>
      <c r="D194" s="74" t="n">
        <f aca="false">D49/D6</f>
        <v>3.82127148987554E-006</v>
      </c>
      <c r="E194" s="74" t="n">
        <f aca="false">E49/E6</f>
        <v>-6.70079605457128E-006</v>
      </c>
      <c r="F194" s="74" t="n">
        <f aca="false">F49/F6</f>
        <v>0</v>
      </c>
      <c r="G194" s="74" t="n">
        <f aca="false">G49/G6</f>
        <v>-1.16483525443788E-006</v>
      </c>
      <c r="H194" s="74" t="n">
        <f aca="false">H49/H6</f>
        <v>-9.703493581139E-006</v>
      </c>
      <c r="I194" s="74" t="n">
        <f aca="false">I49/I6</f>
        <v>2.89279866699837E-006</v>
      </c>
      <c r="J194" s="74" t="n">
        <f aca="false">J49/J6</f>
        <v>0</v>
      </c>
      <c r="K194" s="74" t="n">
        <f aca="false">K49/K6</f>
        <v>-1.52718862578608</v>
      </c>
    </row>
    <row r="195" customFormat="false" ht="15.75" hidden="false" customHeight="true" outlineLevel="0" collapsed="false">
      <c r="A195" s="44" t="s">
        <v>592</v>
      </c>
      <c r="B195" s="74" t="n">
        <f aca="false">B193*(1-B194)</f>
        <v>0.0554806995471093</v>
      </c>
      <c r="C195" s="74" t="n">
        <f aca="false">C193*(1-C194)</f>
        <v>0.0557425675294504</v>
      </c>
      <c r="D195" s="74" t="n">
        <f aca="false">D193*(1-D194)</f>
        <v>0.0442013250330718</v>
      </c>
      <c r="E195" s="74" t="n">
        <f aca="false">E193*(1-E194)</f>
        <v>-0.0508566297434115</v>
      </c>
      <c r="F195" s="74" t="n">
        <f aca="false">F193*(1-F194)</f>
        <v>0.699241888768227</v>
      </c>
      <c r="G195" s="74" t="n">
        <f aca="false">G193*(1-G194)</f>
        <v>-0.332586346430172</v>
      </c>
      <c r="H195" s="74" t="n">
        <f aca="false">H193*(1-H194)</f>
        <v>0.136192898163905</v>
      </c>
      <c r="I195" s="74" t="n">
        <f aca="false">I193*(1-I194)</f>
        <v>0.0816878283635188</v>
      </c>
      <c r="J195" s="74" t="n">
        <f aca="false">J193*(1-J194)</f>
        <v>0.270899999069621</v>
      </c>
      <c r="K195" s="74" t="e">
        <f aca="false">K193*(1-K194)</f>
        <v>#DIV/0!</v>
      </c>
    </row>
    <row r="196" customFormat="false" ht="15.75" hidden="false" customHeight="true" outlineLevel="0" collapsed="false">
      <c r="A196" s="44" t="s">
        <v>593</v>
      </c>
      <c r="B196" s="74" t="n">
        <f aca="false">B50/B6</f>
        <v>-2.31888737184556</v>
      </c>
      <c r="C196" s="74" t="n">
        <f aca="false">C50/C6</f>
        <v>0</v>
      </c>
      <c r="D196" s="74" t="n">
        <f aca="false">D50/D6</f>
        <v>0.219723110667844</v>
      </c>
      <c r="E196" s="74" t="n">
        <f aca="false">E50/E6</f>
        <v>-1.17263930954997</v>
      </c>
      <c r="F196" s="74" t="n">
        <f aca="false">F50/F6</f>
        <v>0.0366510521415857</v>
      </c>
      <c r="G196" s="74" t="n">
        <f aca="false">G50/G6</f>
        <v>0.0250439579704143</v>
      </c>
      <c r="H196" s="74" t="n">
        <f aca="false">H50/H6</f>
        <v>0.00646899572075933</v>
      </c>
      <c r="I196" s="74" t="n">
        <f aca="false">I50/I6</f>
        <v>-0.107866676695035</v>
      </c>
      <c r="J196" s="74" t="n">
        <f aca="false">J50/J6</f>
        <v>3.85779164107703</v>
      </c>
      <c r="K196" s="74" t="n">
        <f aca="false">K50/K6</f>
        <v>0.0676035009599697</v>
      </c>
    </row>
    <row r="197" s="57" customFormat="true" ht="15.75" hidden="false" customHeight="true" outlineLevel="0" collapsed="false">
      <c r="A197" s="57" t="s">
        <v>594</v>
      </c>
      <c r="B197" s="78" t="n">
        <f aca="false">B193*(1-B194+B196)</f>
        <v>-0.0731727940138402</v>
      </c>
      <c r="C197" s="78" t="n">
        <f aca="false">C193*(1-C194+C196)</f>
        <v>0.0557425675294504</v>
      </c>
      <c r="D197" s="78" t="n">
        <f aca="false">D193*(1-D194+D196)</f>
        <v>0.0539134147775104</v>
      </c>
      <c r="E197" s="78" t="n">
        <f aca="false">E193*(1-E194+E196)</f>
        <v>0.00877945383570771</v>
      </c>
      <c r="F197" s="78" t="n">
        <f aca="false">F193*(1-F194+F196)</f>
        <v>0.724869839693052</v>
      </c>
      <c r="G197" s="78" t="n">
        <f aca="false">G193*(1-G194+G196)</f>
        <v>-0.340915615209477</v>
      </c>
      <c r="H197" s="78" t="n">
        <f aca="false">H193*(1-H194+H196)</f>
        <v>0.137073920890326</v>
      </c>
      <c r="I197" s="78" t="n">
        <f aca="false">I193*(1-I194+I196)</f>
        <v>0.0728764083018474</v>
      </c>
      <c r="J197" s="78" t="n">
        <f aca="false">J193*(1-J194+J196)</f>
        <v>1.31597575104818</v>
      </c>
      <c r="K197" s="78" t="e">
        <f aca="false">K193*(1-K194+K196)</f>
        <v>#DIV/0!</v>
      </c>
    </row>
    <row r="198" customFormat="false" ht="15.75" hidden="false" customHeight="true" outlineLevel="0" collapsed="false">
      <c r="A198" s="44" t="s">
        <v>595</v>
      </c>
      <c r="B198" s="74" t="n">
        <f aca="false">B173</f>
        <v>0.139352151101593</v>
      </c>
      <c r="C198" s="74" t="n">
        <f aca="false">C173</f>
        <v>0.0557425675294504</v>
      </c>
      <c r="D198" s="74" t="n">
        <f aca="false">D173</f>
        <v>0.0539134147775104</v>
      </c>
      <c r="E198" s="74" t="n">
        <f aca="false">E173</f>
        <v>0.0087794538357077</v>
      </c>
      <c r="F198" s="74" t="n">
        <f aca="false">F173</f>
        <v>0.724869839693052</v>
      </c>
      <c r="G198" s="74" t="n">
        <f aca="false">G173</f>
        <v>-0.340915615209477</v>
      </c>
      <c r="H198" s="74" t="n">
        <f aca="false">H173</f>
        <v>0.137073920890326</v>
      </c>
      <c r="I198" s="74" t="n">
        <f aca="false">I173</f>
        <v>0.0728764083018474</v>
      </c>
      <c r="J198" s="74" t="n">
        <f aca="false">J173</f>
        <v>1.31597575104818</v>
      </c>
      <c r="K198" s="74" t="e">
        <f aca="false">K173</f>
        <v>#DIV/0!</v>
      </c>
    </row>
    <row r="199" customFormat="false" ht="15.75" hidden="false" customHeight="true" outlineLevel="0" collapsed="false">
      <c r="A199" s="44" t="s">
        <v>588</v>
      </c>
      <c r="B199" s="74" t="n">
        <f aca="false">B197-B198</f>
        <v>-0.212524945115433</v>
      </c>
      <c r="C199" s="74" t="n">
        <f aca="false">C197-C198</f>
        <v>0</v>
      </c>
      <c r="D199" s="74" t="n">
        <f aca="false">D197-D198</f>
        <v>0</v>
      </c>
      <c r="E199" s="74" t="n">
        <f aca="false">E197-E198</f>
        <v>0</v>
      </c>
      <c r="F199" s="74" t="n">
        <f aca="false">F197-F198</f>
        <v>0</v>
      </c>
      <c r="G199" s="74" t="n">
        <f aca="false">G197-G198</f>
        <v>0</v>
      </c>
      <c r="H199" s="74" t="n">
        <f aca="false">H197-H198</f>
        <v>0</v>
      </c>
      <c r="I199" s="74" t="n">
        <f aca="false">I197-I198</f>
        <v>0</v>
      </c>
      <c r="J199" s="74" t="n">
        <f aca="false">J197-J198</f>
        <v>0</v>
      </c>
      <c r="K199" s="74" t="e">
        <f aca="false">K197-K198</f>
        <v>#DIV/0!</v>
      </c>
    </row>
    <row r="200" customFormat="false" ht="15.75" hidden="false" customHeight="true" outlineLevel="0" collapsed="false">
      <c r="B200" s="74"/>
      <c r="C200" s="74"/>
      <c r="D200" s="74"/>
      <c r="E200" s="74"/>
      <c r="F200" s="74"/>
      <c r="G200" s="74"/>
      <c r="H200" s="74"/>
      <c r="I200" s="74"/>
      <c r="J200" s="74"/>
      <c r="K200" s="74"/>
    </row>
    <row r="201" customFormat="false" ht="15.75" hidden="false" customHeight="true" outlineLevel="0" collapsed="false">
      <c r="A201" s="44" t="s">
        <v>596</v>
      </c>
      <c r="B201" s="74"/>
      <c r="C201" s="74"/>
      <c r="D201" s="74"/>
      <c r="E201" s="74"/>
      <c r="F201" s="74"/>
      <c r="G201" s="74"/>
      <c r="H201" s="74"/>
      <c r="I201" s="74"/>
      <c r="J201" s="74"/>
      <c r="K201" s="74"/>
    </row>
    <row r="202" customFormat="false" ht="15.75" hidden="false" customHeight="true" outlineLevel="0" collapsed="false">
      <c r="A202" s="44" t="s">
        <v>597</v>
      </c>
      <c r="B202" s="74" t="n">
        <f aca="false">B24</f>
        <v>27191074.5</v>
      </c>
      <c r="C202" s="74" t="n">
        <f aca="false">C24</f>
        <v>27674200.5</v>
      </c>
      <c r="D202" s="74" t="n">
        <f aca="false">D24</f>
        <v>24453573</v>
      </c>
      <c r="E202" s="74" t="n">
        <f aca="false">E24</f>
        <v>11136668</v>
      </c>
      <c r="F202" s="74" t="n">
        <f aca="false">F24</f>
        <v>12187560</v>
      </c>
      <c r="G202" s="74" t="n">
        <f aca="false">G24</f>
        <v>21140844</v>
      </c>
      <c r="H202" s="74" t="n">
        <f aca="false">H24</f>
        <v>15814581</v>
      </c>
      <c r="I202" s="74" t="n">
        <f aca="false">I24</f>
        <v>8961489.5</v>
      </c>
      <c r="J202" s="74" t="n">
        <f aca="false">J24</f>
        <v>4398700</v>
      </c>
      <c r="K202" s="74" t="n">
        <f aca="false">K24</f>
        <v>3536168</v>
      </c>
    </row>
    <row r="203" customFormat="false" ht="15.75" hidden="false" customHeight="true" outlineLevel="0" collapsed="false">
      <c r="A203" s="44" t="s">
        <v>598</v>
      </c>
      <c r="B203" s="74" t="n">
        <f aca="false">B48</f>
        <v>7505439</v>
      </c>
      <c r="C203" s="74" t="n">
        <f aca="false">C48</f>
        <v>6587462</v>
      </c>
      <c r="D203" s="74" t="n">
        <f aca="false">D48</f>
        <v>6239648</v>
      </c>
      <c r="E203" s="74" t="n">
        <f aca="false">E48</f>
        <v>5920456</v>
      </c>
      <c r="F203" s="74" t="n">
        <f aca="false">F48</f>
        <v>5868930</v>
      </c>
      <c r="G203" s="74" t="n">
        <f aca="false">G48</f>
        <v>3402535</v>
      </c>
      <c r="H203" s="74" t="n">
        <f aca="false">H48</f>
        <v>5162518</v>
      </c>
      <c r="I203" s="74" t="n">
        <f aca="false">I48</f>
        <v>4540178</v>
      </c>
      <c r="J203" s="74" t="n">
        <f aca="false">J48</f>
        <v>4231781</v>
      </c>
      <c r="K203" s="74" t="n">
        <f aca="false">K48</f>
        <v>1827213</v>
      </c>
    </row>
    <row r="204" s="57" customFormat="true" ht="15.75" hidden="false" customHeight="true" outlineLevel="0" collapsed="false">
      <c r="A204" s="57" t="s">
        <v>599</v>
      </c>
      <c r="B204" s="78" t="n">
        <f aca="false">B202/B203</f>
        <v>3.62284930968062</v>
      </c>
      <c r="C204" s="78" t="n">
        <f aca="false">C202/C203</f>
        <v>4.20104138741142</v>
      </c>
      <c r="D204" s="78" t="n">
        <f aca="false">D202/D203</f>
        <v>3.91906290226628</v>
      </c>
      <c r="E204" s="78" t="n">
        <f aca="false">E202/E203</f>
        <v>1.88104902730465</v>
      </c>
      <c r="F204" s="78" t="n">
        <f aca="false">F202/F203</f>
        <v>2.07662384795866</v>
      </c>
      <c r="G204" s="78" t="n">
        <f aca="false">G202/G203</f>
        <v>6.21326275850212</v>
      </c>
      <c r="H204" s="78" t="n">
        <f aca="false">H202/H203</f>
        <v>3.06334641351372</v>
      </c>
      <c r="I204" s="78" t="n">
        <f aca="false">I202/I203</f>
        <v>1.97381897802245</v>
      </c>
      <c r="J204" s="78" t="n">
        <f aca="false">J202/J203</f>
        <v>1.03944414892926</v>
      </c>
      <c r="K204" s="78" t="n">
        <f aca="false">K202/K203</f>
        <v>1.9352795760538</v>
      </c>
    </row>
    <row r="205" customFormat="false" ht="15.75" hidden="false" customHeight="true" outlineLevel="0" collapsed="false">
      <c r="B205" s="74"/>
      <c r="C205" s="74"/>
      <c r="D205" s="74"/>
      <c r="E205" s="74"/>
      <c r="F205" s="74"/>
      <c r="G205" s="74"/>
      <c r="H205" s="74"/>
      <c r="I205" s="74"/>
      <c r="J205" s="74"/>
      <c r="K205" s="74"/>
    </row>
    <row r="206" customFormat="false" ht="15.75" hidden="false" customHeight="true" outlineLevel="0" collapsed="false">
      <c r="A206" s="44" t="s">
        <v>600</v>
      </c>
      <c r="B206" s="74" t="n">
        <f aca="false">B175/B48</f>
        <v>-0.123289124060565</v>
      </c>
      <c r="C206" s="74" t="n">
        <f aca="false">C175/C48</f>
        <v>-0.00621073791393408</v>
      </c>
      <c r="D206" s="74" t="n">
        <f aca="false">D175/D48</f>
        <v>1.03886757714538</v>
      </c>
      <c r="E206" s="74" t="n">
        <f aca="false">E175/E48</f>
        <v>3.4037314017704</v>
      </c>
      <c r="F206" s="74" t="n">
        <f aca="false">F175/F48</f>
        <v>-3.79173477959355</v>
      </c>
      <c r="G206" s="74" t="n">
        <f aca="false">G175/G48</f>
        <v>1.27753513189431</v>
      </c>
      <c r="H206" s="74" t="n">
        <f aca="false">H175/H48</f>
        <v>1.2214326419782</v>
      </c>
      <c r="I206" s="74" t="n">
        <f aca="false">I175/I48</f>
        <v>1.63000547555624</v>
      </c>
      <c r="J206" s="74" t="n">
        <f aca="false">J175/J48</f>
        <v>0.403329945476857</v>
      </c>
      <c r="K206" s="74" t="n">
        <f aca="false">K175/K48</f>
        <v>1.9435555679606</v>
      </c>
    </row>
    <row r="207" customFormat="false" ht="15.75" hidden="false" customHeight="true" outlineLevel="0" collapsed="false">
      <c r="A207" s="44" t="s">
        <v>601</v>
      </c>
      <c r="B207" s="74" t="n">
        <f aca="false">B169-B173</f>
        <v>-0.139567174916605</v>
      </c>
      <c r="C207" s="74" t="n">
        <f aca="false">C169-C173</f>
        <v>-0.0466977563091349</v>
      </c>
      <c r="D207" s="74" t="n">
        <f aca="false">D169-D173</f>
        <v>0.196783540051545</v>
      </c>
      <c r="E207" s="74" t="n">
        <f aca="false">E169-E173</f>
        <v>2.90795519914678</v>
      </c>
      <c r="F207" s="74" t="n">
        <f aca="false">F169-F173</f>
        <v>-1.46557791162776</v>
      </c>
      <c r="G207" s="74" t="n">
        <f aca="false">G169-G173</f>
        <v>0.44813561687153</v>
      </c>
      <c r="H207" s="74" t="n">
        <f aca="false">H169-H173</f>
        <v>0.26574565004802</v>
      </c>
      <c r="I207" s="74" t="n">
        <f aca="false">I169-I173</f>
        <v>0.739453785720729</v>
      </c>
      <c r="J207" s="74" t="n">
        <f aca="false">J169-J173</f>
        <v>-0.551567513291318</v>
      </c>
      <c r="K207" s="74" t="e">
        <f aca="false">K169-K173</f>
        <v>#DIV/0!</v>
      </c>
    </row>
    <row r="208" customFormat="false" ht="15.75" hidden="false" customHeight="true" outlineLevel="0" collapsed="false">
      <c r="B208" s="74"/>
      <c r="C208" s="74"/>
      <c r="D208" s="74"/>
      <c r="E208" s="74"/>
      <c r="F208" s="74"/>
      <c r="G208" s="74"/>
      <c r="H208" s="74"/>
      <c r="I208" s="74"/>
      <c r="J208" s="74"/>
      <c r="K208" s="74"/>
    </row>
    <row r="209" customFormat="false" ht="15.75" hidden="false" customHeight="true" outlineLevel="0" collapsed="false">
      <c r="A209" s="44" t="s">
        <v>602</v>
      </c>
      <c r="B209" s="74"/>
      <c r="C209" s="74"/>
      <c r="D209" s="74"/>
      <c r="E209" s="74"/>
      <c r="F209" s="74"/>
      <c r="G209" s="74"/>
      <c r="H209" s="74"/>
      <c r="I209" s="74"/>
      <c r="J209" s="74"/>
      <c r="K209" s="74"/>
    </row>
    <row r="210" customFormat="false" ht="15.75" hidden="false" customHeight="true" outlineLevel="0" collapsed="false">
      <c r="A210" s="57" t="s">
        <v>603</v>
      </c>
      <c r="B210" s="74" t="n">
        <f aca="false">RC!B94-RC!C94</f>
        <v>0</v>
      </c>
      <c r="C210" s="74" t="n">
        <f aca="false">RC!C94-RC!D94</f>
        <v>0</v>
      </c>
      <c r="D210" s="74" t="n">
        <f aca="false">RC!D94-RC!E94</f>
        <v>0</v>
      </c>
      <c r="E210" s="74" t="n">
        <f aca="false">RC!E94-RC!F94</f>
        <v>0</v>
      </c>
      <c r="F210" s="74" t="n">
        <f aca="false">RC!F94-RC!G94</f>
        <v>0</v>
      </c>
      <c r="G210" s="74" t="n">
        <f aca="false">RC!G94-RC!H94</f>
        <v>0</v>
      </c>
      <c r="H210" s="74" t="n">
        <f aca="false">RC!H94-RC!I94</f>
        <v>0</v>
      </c>
      <c r="I210" s="74" t="n">
        <f aca="false">RC!I94-RC!J94</f>
        <v>0</v>
      </c>
      <c r="J210" s="74" t="n">
        <f aca="false">RC!J94-RC!K94</f>
        <v>307</v>
      </c>
      <c r="K210" s="74" t="n">
        <f aca="false">RC!K94-RC!L94</f>
        <v>2831</v>
      </c>
    </row>
    <row r="211" customFormat="false" ht="15.75" hidden="false" customHeight="true" outlineLevel="0" collapsed="false">
      <c r="A211" s="57" t="s">
        <v>604</v>
      </c>
      <c r="B211" s="74" t="n">
        <f aca="false">RC!C94</f>
        <v>3138</v>
      </c>
      <c r="C211" s="74" t="n">
        <f aca="false">RC!D94</f>
        <v>3138</v>
      </c>
      <c r="D211" s="74" t="n">
        <f aca="false">RC!E94</f>
        <v>3138</v>
      </c>
      <c r="E211" s="74" t="n">
        <f aca="false">RC!F94</f>
        <v>3138</v>
      </c>
      <c r="F211" s="74" t="n">
        <f aca="false">RC!G94</f>
        <v>3138</v>
      </c>
      <c r="G211" s="74" t="n">
        <f aca="false">RC!H94</f>
        <v>3138</v>
      </c>
      <c r="H211" s="74" t="n">
        <f aca="false">RC!I94</f>
        <v>3138</v>
      </c>
      <c r="I211" s="74" t="n">
        <f aca="false">RC!J94</f>
        <v>3138</v>
      </c>
      <c r="J211" s="74" t="n">
        <f aca="false">RC!K94</f>
        <v>2831</v>
      </c>
      <c r="K211" s="74" t="n">
        <f aca="false">RC!L94</f>
        <v>0</v>
      </c>
    </row>
    <row r="212" s="57" customFormat="true" ht="15.75" hidden="false" customHeight="true" outlineLevel="0" collapsed="false">
      <c r="A212" s="57" t="s">
        <v>602</v>
      </c>
      <c r="B212" s="78" t="n">
        <f aca="false">(RC!B94-RC!C94)/RC!C94</f>
        <v>0</v>
      </c>
      <c r="C212" s="78" t="n">
        <f aca="false">(RC!C94-RC!D94)/RC!D94</f>
        <v>0</v>
      </c>
      <c r="D212" s="78" t="n">
        <f aca="false">(RC!D94-RC!E94)/RC!E94</f>
        <v>0</v>
      </c>
      <c r="E212" s="78" t="n">
        <f aca="false">(RC!E94-RC!F94)/RC!F94</f>
        <v>0</v>
      </c>
      <c r="F212" s="78" t="n">
        <f aca="false">(RC!F94-RC!G94)/RC!G94</f>
        <v>0</v>
      </c>
      <c r="G212" s="78" t="n">
        <f aca="false">(RC!G94-RC!H94)/RC!H94</f>
        <v>0</v>
      </c>
      <c r="H212" s="78" t="n">
        <f aca="false">(RC!H94-RC!I94)/RC!I94</f>
        <v>0</v>
      </c>
      <c r="I212" s="78" t="n">
        <f aca="false">(RC!I94-RC!J94)/RC!J94</f>
        <v>0</v>
      </c>
      <c r="J212" s="78" t="n">
        <f aca="false">(RC!J94-RC!K94)/RC!K94</f>
        <v>0.108442246555987</v>
      </c>
      <c r="K212" s="78" t="e">
        <f aca="false">(RC!K94-RC!L94)/RC!L94</f>
        <v>#DIV/0!</v>
      </c>
    </row>
    <row r="215" customFormat="false" ht="15.75" hidden="false" customHeight="true" outlineLevel="0" collapsed="false">
      <c r="A215" s="73" t="s">
        <v>454</v>
      </c>
    </row>
    <row r="216" customFormat="false" ht="15.75" hidden="false" customHeight="true" outlineLevel="0" collapsed="false">
      <c r="A216" s="73" t="s">
        <v>605</v>
      </c>
    </row>
    <row r="217" customFormat="false" ht="15.75" hidden="false" customHeight="true" outlineLevel="0" collapsed="false">
      <c r="A217" s="44" t="s">
        <v>457</v>
      </c>
      <c r="B217" s="74" t="n">
        <f aca="false">B4</f>
        <v>2250947</v>
      </c>
      <c r="C217" s="74" t="n">
        <f aca="false">C4</f>
        <v>1866122</v>
      </c>
      <c r="D217" s="74" t="n">
        <f aca="false">D4</f>
        <v>1034823</v>
      </c>
      <c r="E217" s="74" t="n">
        <f aca="false">E4</f>
        <v>-194384</v>
      </c>
      <c r="F217" s="74" t="n">
        <f aca="false">F4</f>
        <v>2930237</v>
      </c>
      <c r="G217" s="74" t="n">
        <f aca="false">G4</f>
        <v>-1450973</v>
      </c>
      <c r="H217" s="74" t="n">
        <f aca="false">H4</f>
        <v>846537</v>
      </c>
      <c r="I217" s="74" t="n">
        <f aca="false">I4</f>
        <v>560700</v>
      </c>
      <c r="J217" s="74" t="n">
        <f aca="false">J4</f>
        <v>782945</v>
      </c>
      <c r="K217" s="74" t="n">
        <f aca="false">K4</f>
        <v>933365</v>
      </c>
    </row>
    <row r="218" customFormat="false" ht="15.75" hidden="false" customHeight="true" outlineLevel="0" collapsed="false">
      <c r="A218" s="44" t="s">
        <v>606</v>
      </c>
      <c r="B218" s="74" t="n">
        <f aca="false">-B27</f>
        <v>1737633</v>
      </c>
      <c r="C218" s="74" t="n">
        <f aca="false">-C27</f>
        <v>1482342</v>
      </c>
      <c r="D218" s="74" t="n">
        <f aca="false">-D27</f>
        <v>790069</v>
      </c>
      <c r="E218" s="74" t="n">
        <f aca="false">-E27</f>
        <v>354881</v>
      </c>
      <c r="F218" s="74" t="n">
        <f aca="false">-F27</f>
        <v>523242</v>
      </c>
      <c r="G218" s="74" t="n">
        <f aca="false">-G27</f>
        <v>383676</v>
      </c>
      <c r="H218" s="74" t="n">
        <f aca="false">-H27</f>
        <v>317240</v>
      </c>
      <c r="I218" s="74" t="n">
        <f aca="false">-I27</f>
        <v>185920</v>
      </c>
      <c r="J218" s="74" t="n">
        <f aca="false">-J27</f>
        <v>109194</v>
      </c>
      <c r="K218" s="74" t="n">
        <f aca="false">-K27</f>
        <v>173205</v>
      </c>
    </row>
    <row r="219" s="57" customFormat="true" ht="15.75" hidden="false" customHeight="true" outlineLevel="0" collapsed="false">
      <c r="A219" s="57" t="s">
        <v>607</v>
      </c>
      <c r="B219" s="78" t="n">
        <f aca="false">B217/B218</f>
        <v>1.29540990531372</v>
      </c>
      <c r="C219" s="78" t="n">
        <f aca="false">C217/C218</f>
        <v>1.25890111728602</v>
      </c>
      <c r="D219" s="78" t="n">
        <f aca="false">D217/D218</f>
        <v>1.30978813242894</v>
      </c>
      <c r="E219" s="78" t="n">
        <f aca="false">E217/E218</f>
        <v>-0.54774417339897</v>
      </c>
      <c r="F219" s="78" t="n">
        <f aca="false">F217/F218</f>
        <v>5.60015633301608</v>
      </c>
      <c r="G219" s="78" t="n">
        <f aca="false">G217/G218</f>
        <v>-3.78176638622171</v>
      </c>
      <c r="H219" s="78" t="n">
        <f aca="false">H217/H218</f>
        <v>2.66844344975413</v>
      </c>
      <c r="I219" s="78" t="n">
        <f aca="false">I217/I218</f>
        <v>3.01581325301205</v>
      </c>
      <c r="J219" s="78" t="n">
        <f aca="false">J217/J218</f>
        <v>7.17021997545653</v>
      </c>
      <c r="K219" s="78" t="n">
        <f aca="false">K217/K218</f>
        <v>5.38878785254467</v>
      </c>
    </row>
    <row r="220" customFormat="false" ht="15.75" hidden="false" customHeight="true" outlineLevel="0" collapsed="false">
      <c r="B220" s="74"/>
      <c r="C220" s="74"/>
      <c r="D220" s="74"/>
      <c r="E220" s="74"/>
      <c r="F220" s="74"/>
      <c r="G220" s="74"/>
      <c r="H220" s="74"/>
      <c r="I220" s="74"/>
      <c r="J220" s="74"/>
      <c r="K220" s="74"/>
    </row>
    <row r="221" customFormat="false" ht="15.75" hidden="false" customHeight="true" outlineLevel="0" collapsed="false">
      <c r="A221" s="44" t="s">
        <v>608</v>
      </c>
      <c r="B221" s="74" t="n">
        <f aca="false">B25</f>
        <v>27191074.5</v>
      </c>
      <c r="C221" s="74" t="n">
        <f aca="false">C25</f>
        <v>27674200.5</v>
      </c>
      <c r="D221" s="74" t="n">
        <f aca="false">D25</f>
        <v>24453573</v>
      </c>
      <c r="E221" s="74" t="n">
        <f aca="false">E25</f>
        <v>11136668</v>
      </c>
      <c r="F221" s="74" t="n">
        <f aca="false">F25</f>
        <v>12187560</v>
      </c>
      <c r="G221" s="74" t="n">
        <f aca="false">G25</f>
        <v>21140844</v>
      </c>
      <c r="H221" s="74" t="n">
        <f aca="false">H25</f>
        <v>15814581</v>
      </c>
      <c r="I221" s="74" t="n">
        <f aca="false">I25</f>
        <v>8961489.5</v>
      </c>
      <c r="J221" s="74" t="n">
        <f aca="false">J25</f>
        <v>4398700</v>
      </c>
      <c r="K221" s="74" t="n">
        <f aca="false">K25</f>
        <v>3536168</v>
      </c>
    </row>
    <row r="222" customFormat="false" ht="15.75" hidden="false" customHeight="true" outlineLevel="0" collapsed="false">
      <c r="A222" s="44" t="s">
        <v>609</v>
      </c>
      <c r="B222" s="74" t="n">
        <f aca="false">B5</f>
        <v>3135807</v>
      </c>
      <c r="C222" s="74" t="n">
        <f aca="false">C5</f>
        <v>2882835</v>
      </c>
      <c r="D222" s="74" t="n">
        <f aca="false">D5</f>
        <v>1369643</v>
      </c>
      <c r="E222" s="74" t="n">
        <f aca="false">E5</f>
        <v>-47495</v>
      </c>
      <c r="F222" s="74" t="n">
        <f aca="false">F5</f>
        <v>21091669</v>
      </c>
      <c r="G222" s="74" t="n">
        <f aca="false">G5</f>
        <v>148748</v>
      </c>
      <c r="H222" s="74" t="n">
        <f aca="false">H5</f>
        <v>1651634</v>
      </c>
      <c r="I222" s="74" t="n">
        <f aca="false">I5</f>
        <v>1169536</v>
      </c>
      <c r="J222" s="74" t="n">
        <f aca="false">J5</f>
        <v>1382592</v>
      </c>
      <c r="K222" s="74" t="n">
        <f aca="false">K5</f>
        <v>1367822</v>
      </c>
    </row>
    <row r="223" s="57" customFormat="true" ht="15.75" hidden="false" customHeight="true" outlineLevel="0" collapsed="false">
      <c r="A223" s="57" t="s">
        <v>610</v>
      </c>
      <c r="B223" s="78" t="n">
        <f aca="false">B221/B222</f>
        <v>8.67115689836779</v>
      </c>
      <c r="C223" s="78" t="n">
        <f aca="false">C221/C222</f>
        <v>9.59964774258672</v>
      </c>
      <c r="D223" s="78" t="n">
        <f aca="false">D221/D222</f>
        <v>17.853975817056</v>
      </c>
      <c r="E223" s="78" t="n">
        <f aca="false">E221/E222</f>
        <v>-234.480850615854</v>
      </c>
      <c r="F223" s="78" t="n">
        <f aca="false">F221/F222</f>
        <v>0.577837628686473</v>
      </c>
      <c r="G223" s="78" t="n">
        <f aca="false">G221/G222</f>
        <v>142.125231935892</v>
      </c>
      <c r="H223" s="78" t="n">
        <f aca="false">H221/H222</f>
        <v>9.57511228274545</v>
      </c>
      <c r="I223" s="78" t="n">
        <f aca="false">I221/I222</f>
        <v>7.66243151130021</v>
      </c>
      <c r="J223" s="78" t="n">
        <f aca="false">J221/J222</f>
        <v>3.18148810350414</v>
      </c>
      <c r="K223" s="78" t="n">
        <f aca="false">K221/K222</f>
        <v>2.58525451411075</v>
      </c>
    </row>
  </sheetData>
  <conditionalFormatting sqref="B58:K223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B218"/>
  <sheetViews>
    <sheetView showFormulas="false" showGridLines="true" showRowColHeaders="true" showZeros="true" rightToLeft="false" tabSelected="false" showOutlineSymbols="true" defaultGridColor="true" view="normal" topLeftCell="A224" colorId="64" zoomScale="100" zoomScaleNormal="100" zoomScalePageLayoutView="100" workbookViewId="0">
      <selection pane="topLeft" activeCell="P39" activeCellId="0" sqref="P39"/>
    </sheetView>
  </sheetViews>
  <sheetFormatPr defaultColWidth="10.6796875" defaultRowHeight="12.75" customHeight="true" zeroHeight="false" outlineLevelRow="0" outlineLevelCol="0"/>
  <sheetData>
    <row r="3" customFormat="false" ht="24.75" hidden="false" customHeight="true" outlineLevel="0" collapsed="false">
      <c r="B3" s="79" t="s">
        <v>507</v>
      </c>
    </row>
    <row r="80" customFormat="false" ht="24.75" hidden="false" customHeight="true" outlineLevel="0" collapsed="false">
      <c r="B80" s="79" t="s">
        <v>541</v>
      </c>
    </row>
    <row r="135" customFormat="false" ht="24.75" hidden="false" customHeight="true" outlineLevel="0" collapsed="false">
      <c r="B135" s="79" t="s">
        <v>558</v>
      </c>
    </row>
    <row r="218" customFormat="false" ht="24.75" hidden="false" customHeight="true" outlineLevel="0" collapsed="false">
      <c r="B218" s="79" t="s">
        <v>605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2026-01-23T13:33:09Z</dcterms:created>
  <dc:creator>openpyxl</dc:creator>
  <dc:description/>
  <dc:language>it-IT</dc:language>
  <cp:lastModifiedBy>Box, Alif Mahajan Fuhad</cp:lastModifiedBy>
  <dcterms:modified xsi:type="dcterms:W3CDTF">2026-01-23T13:33:09Z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