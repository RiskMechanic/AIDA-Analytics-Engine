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output/results mod 2lpf/"/>
    </mc:Choice>
  </mc:AlternateContent>
  <xr:revisionPtr revIDLastSave="0" documentId="13_ncr:1_{79776D26-AB63-4F42-8357-08E72EF06CE6}" xr6:coauthVersionLast="47" xr6:coauthVersionMax="47" xr10:uidLastSave="{00000000-0000-0000-0000-000000000000}"/>
  <bookViews>
    <workbookView xWindow="0" yWindow="500" windowWidth="16380" windowHeight="8200" activeTab="3" xr2:uid="{00000000-000D-0000-FFFF-FFFF00000000}"/>
  </bookViews>
  <sheets>
    <sheet name="input" sheetId="1" r:id="rId1"/>
    <sheet name="case" sheetId="2" r:id="rId2"/>
    <sheet name="RC" sheetId="3" r:id="rId3"/>
    <sheet name="RF" sheetId="4" r:id="rId4"/>
    <sheet name="ind" sheetId="5" r:id="rId5"/>
    <sheet name="grph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11" i="5" l="1"/>
  <c r="K47" i="5"/>
  <c r="K172" i="5" s="1"/>
  <c r="K15" i="5"/>
  <c r="K168" i="5" s="1"/>
  <c r="K8" i="5"/>
  <c r="K128" i="3"/>
  <c r="J128" i="3"/>
  <c r="I128" i="3"/>
  <c r="H128" i="3"/>
  <c r="G128" i="3"/>
  <c r="F128" i="3"/>
  <c r="E128" i="3"/>
  <c r="D128" i="3"/>
  <c r="C128" i="3"/>
  <c r="B128" i="3"/>
  <c r="I127" i="3"/>
  <c r="J113" i="3"/>
  <c r="K71" i="3"/>
  <c r="L53" i="4" s="1"/>
  <c r="J71" i="3"/>
  <c r="I71" i="3"/>
  <c r="J53" i="4" s="1"/>
  <c r="H71" i="3"/>
  <c r="I53" i="4" s="1"/>
  <c r="G71" i="3"/>
  <c r="F71" i="3"/>
  <c r="E71" i="3"/>
  <c r="F53" i="4" s="1"/>
  <c r="D71" i="3"/>
  <c r="E53" i="4" s="1"/>
  <c r="C71" i="3"/>
  <c r="B71" i="3"/>
  <c r="K52" i="3"/>
  <c r="J52" i="3"/>
  <c r="I52" i="3"/>
  <c r="H52" i="3"/>
  <c r="G52" i="3"/>
  <c r="G40" i="5" s="1"/>
  <c r="F52" i="3"/>
  <c r="E52" i="3"/>
  <c r="D52" i="3"/>
  <c r="C52" i="3"/>
  <c r="B52" i="3"/>
  <c r="K49" i="3"/>
  <c r="J49" i="3"/>
  <c r="I49" i="3"/>
  <c r="H49" i="3"/>
  <c r="G49" i="3"/>
  <c r="F49" i="3"/>
  <c r="E49" i="3"/>
  <c r="D49" i="3"/>
  <c r="C49" i="3"/>
  <c r="B49" i="3"/>
  <c r="K47" i="3"/>
  <c r="J47" i="3"/>
  <c r="I47" i="3"/>
  <c r="H47" i="3"/>
  <c r="G47" i="3"/>
  <c r="F47" i="3"/>
  <c r="E47" i="3"/>
  <c r="D47" i="3"/>
  <c r="C47" i="3"/>
  <c r="B47" i="3"/>
  <c r="K24" i="3"/>
  <c r="J24" i="3"/>
  <c r="I24" i="3"/>
  <c r="H24" i="3"/>
  <c r="G24" i="3"/>
  <c r="F24" i="3"/>
  <c r="E24" i="3"/>
  <c r="D24" i="3"/>
  <c r="C24" i="3"/>
  <c r="B24" i="3"/>
  <c r="A252" i="2"/>
  <c r="A251" i="2"/>
  <c r="K250" i="2"/>
  <c r="J250" i="2"/>
  <c r="I250" i="2"/>
  <c r="H250" i="2"/>
  <c r="G250" i="2"/>
  <c r="F250" i="2"/>
  <c r="E250" i="2"/>
  <c r="D250" i="2"/>
  <c r="C250" i="2"/>
  <c r="B250" i="2"/>
  <c r="A250" i="2"/>
  <c r="K249" i="2"/>
  <c r="K152" i="3" s="1"/>
  <c r="J249" i="2"/>
  <c r="J152" i="3" s="1"/>
  <c r="I249" i="2"/>
  <c r="I152" i="3" s="1"/>
  <c r="H249" i="2"/>
  <c r="H152" i="3" s="1"/>
  <c r="G249" i="2"/>
  <c r="G152" i="3" s="1"/>
  <c r="F249" i="2"/>
  <c r="F152" i="3" s="1"/>
  <c r="E249" i="2"/>
  <c r="E152" i="3" s="1"/>
  <c r="D249" i="2"/>
  <c r="D152" i="3" s="1"/>
  <c r="C249" i="2"/>
  <c r="C152" i="3" s="1"/>
  <c r="B249" i="2"/>
  <c r="B152" i="3" s="1"/>
  <c r="A249" i="2"/>
  <c r="K248" i="2"/>
  <c r="J248" i="2"/>
  <c r="I248" i="2"/>
  <c r="H248" i="2"/>
  <c r="G248" i="2"/>
  <c r="F248" i="2"/>
  <c r="E248" i="2"/>
  <c r="D248" i="2"/>
  <c r="C248" i="2"/>
  <c r="B248" i="2"/>
  <c r="A248" i="2"/>
  <c r="K247" i="2"/>
  <c r="J247" i="2"/>
  <c r="I247" i="2"/>
  <c r="H247" i="2"/>
  <c r="G247" i="2"/>
  <c r="F247" i="2"/>
  <c r="E247" i="2"/>
  <c r="D247" i="2"/>
  <c r="C247" i="2"/>
  <c r="B247" i="2"/>
  <c r="A247" i="2"/>
  <c r="K246" i="2"/>
  <c r="J246" i="2"/>
  <c r="I246" i="2"/>
  <c r="H246" i="2"/>
  <c r="G246" i="2"/>
  <c r="F246" i="2"/>
  <c r="E246" i="2"/>
  <c r="D246" i="2"/>
  <c r="C246" i="2"/>
  <c r="B246" i="2"/>
  <c r="A246" i="2"/>
  <c r="K245" i="2"/>
  <c r="J245" i="2"/>
  <c r="I245" i="2"/>
  <c r="H245" i="2"/>
  <c r="G245" i="2"/>
  <c r="F245" i="2"/>
  <c r="E245" i="2"/>
  <c r="D245" i="2"/>
  <c r="C245" i="2"/>
  <c r="B245" i="2"/>
  <c r="A245" i="2"/>
  <c r="K244" i="2"/>
  <c r="J244" i="2"/>
  <c r="I244" i="2"/>
  <c r="H244" i="2"/>
  <c r="G244" i="2"/>
  <c r="F244" i="2"/>
  <c r="E244" i="2"/>
  <c r="D244" i="2"/>
  <c r="C244" i="2"/>
  <c r="B244" i="2"/>
  <c r="A244" i="2"/>
  <c r="K243" i="2"/>
  <c r="J243" i="2"/>
  <c r="I243" i="2"/>
  <c r="H243" i="2"/>
  <c r="G243" i="2"/>
  <c r="F243" i="2"/>
  <c r="E243" i="2"/>
  <c r="D243" i="2"/>
  <c r="C243" i="2"/>
  <c r="B243" i="2"/>
  <c r="A243" i="2"/>
  <c r="K242" i="2"/>
  <c r="K149" i="3" s="1"/>
  <c r="J242" i="2"/>
  <c r="J149" i="3" s="1"/>
  <c r="I242" i="2"/>
  <c r="I149" i="3" s="1"/>
  <c r="H242" i="2"/>
  <c r="H149" i="3" s="1"/>
  <c r="G242" i="2"/>
  <c r="G149" i="3" s="1"/>
  <c r="F242" i="2"/>
  <c r="F149" i="3" s="1"/>
  <c r="E242" i="2"/>
  <c r="E149" i="3" s="1"/>
  <c r="D242" i="2"/>
  <c r="D149" i="3" s="1"/>
  <c r="C242" i="2"/>
  <c r="C149" i="3" s="1"/>
  <c r="B242" i="2"/>
  <c r="B149" i="3" s="1"/>
  <c r="A242" i="2"/>
  <c r="K241" i="2"/>
  <c r="J241" i="2"/>
  <c r="I241" i="2"/>
  <c r="H241" i="2"/>
  <c r="G241" i="2"/>
  <c r="F241" i="2"/>
  <c r="E241" i="2"/>
  <c r="D241" i="2"/>
  <c r="C241" i="2"/>
  <c r="B241" i="2"/>
  <c r="A241" i="2"/>
  <c r="K240" i="2"/>
  <c r="J240" i="2"/>
  <c r="I240" i="2"/>
  <c r="H240" i="2"/>
  <c r="G240" i="2"/>
  <c r="F240" i="2"/>
  <c r="E240" i="2"/>
  <c r="D240" i="2"/>
  <c r="C240" i="2"/>
  <c r="B240" i="2"/>
  <c r="A240" i="2"/>
  <c r="K239" i="2"/>
  <c r="J239" i="2"/>
  <c r="I239" i="2"/>
  <c r="H239" i="2"/>
  <c r="G239" i="2"/>
  <c r="F239" i="2"/>
  <c r="E239" i="2"/>
  <c r="D239" i="2"/>
  <c r="C239" i="2"/>
  <c r="B239" i="2"/>
  <c r="A239" i="2"/>
  <c r="K238" i="2"/>
  <c r="J238" i="2"/>
  <c r="I238" i="2"/>
  <c r="H238" i="2"/>
  <c r="G238" i="2"/>
  <c r="F238" i="2"/>
  <c r="E238" i="2"/>
  <c r="D238" i="2"/>
  <c r="C238" i="2"/>
  <c r="B238" i="2"/>
  <c r="A238" i="2"/>
  <c r="K237" i="2"/>
  <c r="J237" i="2"/>
  <c r="I237" i="2"/>
  <c r="H237" i="2"/>
  <c r="G237" i="2"/>
  <c r="F237" i="2"/>
  <c r="E237" i="2"/>
  <c r="D237" i="2"/>
  <c r="C237" i="2"/>
  <c r="B237" i="2"/>
  <c r="A237" i="2"/>
  <c r="K236" i="2"/>
  <c r="J236" i="2"/>
  <c r="I236" i="2"/>
  <c r="H236" i="2"/>
  <c r="G236" i="2"/>
  <c r="F236" i="2"/>
  <c r="E236" i="2"/>
  <c r="D236" i="2"/>
  <c r="C236" i="2"/>
  <c r="B236" i="2"/>
  <c r="A236" i="2"/>
  <c r="K235" i="2"/>
  <c r="J235" i="2"/>
  <c r="I235" i="2"/>
  <c r="H235" i="2"/>
  <c r="G235" i="2"/>
  <c r="F235" i="2"/>
  <c r="E235" i="2"/>
  <c r="D235" i="2"/>
  <c r="C235" i="2"/>
  <c r="B235" i="2"/>
  <c r="A235" i="2"/>
  <c r="K234" i="2"/>
  <c r="J234" i="2"/>
  <c r="I234" i="2"/>
  <c r="H234" i="2"/>
  <c r="G234" i="2"/>
  <c r="F234" i="2"/>
  <c r="E234" i="2"/>
  <c r="D234" i="2"/>
  <c r="C234" i="2"/>
  <c r="B234" i="2"/>
  <c r="A234" i="2"/>
  <c r="K233" i="2"/>
  <c r="J233" i="2"/>
  <c r="I233" i="2"/>
  <c r="H233" i="2"/>
  <c r="G233" i="2"/>
  <c r="F233" i="2"/>
  <c r="E233" i="2"/>
  <c r="D233" i="2"/>
  <c r="C233" i="2"/>
  <c r="B233" i="2"/>
  <c r="A233" i="2"/>
  <c r="K232" i="2"/>
  <c r="J232" i="2"/>
  <c r="I232" i="2"/>
  <c r="H232" i="2"/>
  <c r="G232" i="2"/>
  <c r="F232" i="2"/>
  <c r="E232" i="2"/>
  <c r="D232" i="2"/>
  <c r="C232" i="2"/>
  <c r="B232" i="2"/>
  <c r="A232" i="2"/>
  <c r="K231" i="2"/>
  <c r="J231" i="2"/>
  <c r="I231" i="2"/>
  <c r="H231" i="2"/>
  <c r="G231" i="2"/>
  <c r="F231" i="2"/>
  <c r="E231" i="2"/>
  <c r="D231" i="2"/>
  <c r="C231" i="2"/>
  <c r="B231" i="2"/>
  <c r="A231" i="2"/>
  <c r="K230" i="2"/>
  <c r="J230" i="2"/>
  <c r="I230" i="2"/>
  <c r="H230" i="2"/>
  <c r="G230" i="2"/>
  <c r="F230" i="2"/>
  <c r="E230" i="2"/>
  <c r="D230" i="2"/>
  <c r="C230" i="2"/>
  <c r="B230" i="2"/>
  <c r="A230" i="2"/>
  <c r="K229" i="2"/>
  <c r="J229" i="2"/>
  <c r="I229" i="2"/>
  <c r="H229" i="2"/>
  <c r="G229" i="2"/>
  <c r="F229" i="2"/>
  <c r="E229" i="2"/>
  <c r="D229" i="2"/>
  <c r="C229" i="2"/>
  <c r="B229" i="2"/>
  <c r="A229" i="2"/>
  <c r="K228" i="2"/>
  <c r="J228" i="2"/>
  <c r="I228" i="2"/>
  <c r="H228" i="2"/>
  <c r="G228" i="2"/>
  <c r="F228" i="2"/>
  <c r="E228" i="2"/>
  <c r="D228" i="2"/>
  <c r="C228" i="2"/>
  <c r="B228" i="2"/>
  <c r="A228" i="2"/>
  <c r="K227" i="2"/>
  <c r="J227" i="2"/>
  <c r="I227" i="2"/>
  <c r="H227" i="2"/>
  <c r="G227" i="2"/>
  <c r="F227" i="2"/>
  <c r="E227" i="2"/>
  <c r="D227" i="2"/>
  <c r="C227" i="2"/>
  <c r="B227" i="2"/>
  <c r="A227" i="2"/>
  <c r="K226" i="2"/>
  <c r="J226" i="2"/>
  <c r="I226" i="2"/>
  <c r="H226" i="2"/>
  <c r="G226" i="2"/>
  <c r="F226" i="2"/>
  <c r="E226" i="2"/>
  <c r="D226" i="2"/>
  <c r="C226" i="2"/>
  <c r="B226" i="2"/>
  <c r="A226" i="2"/>
  <c r="K225" i="2"/>
  <c r="J225" i="2"/>
  <c r="I225" i="2"/>
  <c r="H225" i="2"/>
  <c r="G225" i="2"/>
  <c r="F225" i="2"/>
  <c r="E225" i="2"/>
  <c r="D225" i="2"/>
  <c r="C225" i="2"/>
  <c r="B225" i="2"/>
  <c r="A225" i="2"/>
  <c r="K224" i="2"/>
  <c r="J224" i="2"/>
  <c r="I224" i="2"/>
  <c r="H224" i="2"/>
  <c r="G224" i="2"/>
  <c r="F224" i="2"/>
  <c r="E224" i="2"/>
  <c r="D224" i="2"/>
  <c r="C224" i="2"/>
  <c r="B224" i="2"/>
  <c r="A224" i="2"/>
  <c r="K223" i="2"/>
  <c r="J223" i="2"/>
  <c r="I223" i="2"/>
  <c r="H223" i="2"/>
  <c r="H145" i="3" s="1"/>
  <c r="H23" i="5" s="1"/>
  <c r="G223" i="2"/>
  <c r="F223" i="2"/>
  <c r="E223" i="2"/>
  <c r="D223" i="2"/>
  <c r="C223" i="2"/>
  <c r="B223" i="2"/>
  <c r="A223" i="2"/>
  <c r="K222" i="2"/>
  <c r="J222" i="2"/>
  <c r="I222" i="2"/>
  <c r="H222" i="2"/>
  <c r="G222" i="2"/>
  <c r="F222" i="2"/>
  <c r="E222" i="2"/>
  <c r="D222" i="2"/>
  <c r="C222" i="2"/>
  <c r="B222" i="2"/>
  <c r="A222" i="2"/>
  <c r="K221" i="2"/>
  <c r="K139" i="3" s="1"/>
  <c r="J221" i="2"/>
  <c r="J139" i="3" s="1"/>
  <c r="I221" i="2"/>
  <c r="I139" i="3" s="1"/>
  <c r="H221" i="2"/>
  <c r="H139" i="3" s="1"/>
  <c r="G221" i="2"/>
  <c r="G139" i="3" s="1"/>
  <c r="F221" i="2"/>
  <c r="F139" i="3" s="1"/>
  <c r="E221" i="2"/>
  <c r="E139" i="3" s="1"/>
  <c r="D221" i="2"/>
  <c r="D139" i="3" s="1"/>
  <c r="C221" i="2"/>
  <c r="C139" i="3" s="1"/>
  <c r="B221" i="2"/>
  <c r="B139" i="3" s="1"/>
  <c r="A221" i="2"/>
  <c r="K220" i="2"/>
  <c r="J220" i="2"/>
  <c r="I220" i="2"/>
  <c r="H220" i="2"/>
  <c r="G220" i="2"/>
  <c r="F220" i="2"/>
  <c r="E220" i="2"/>
  <c r="D220" i="2"/>
  <c r="C220" i="2"/>
  <c r="B220" i="2"/>
  <c r="A220" i="2"/>
  <c r="K219" i="2"/>
  <c r="J219" i="2"/>
  <c r="I219" i="2"/>
  <c r="H219" i="2"/>
  <c r="G219" i="2"/>
  <c r="F219" i="2"/>
  <c r="E219" i="2"/>
  <c r="D219" i="2"/>
  <c r="C219" i="2"/>
  <c r="B219" i="2"/>
  <c r="A219" i="2"/>
  <c r="K218" i="2"/>
  <c r="K138" i="3" s="1"/>
  <c r="K27" i="5" s="1"/>
  <c r="J218" i="2"/>
  <c r="J138" i="3" s="1"/>
  <c r="J27" i="5" s="1"/>
  <c r="I218" i="2"/>
  <c r="I138" i="3" s="1"/>
  <c r="I27" i="5" s="1"/>
  <c r="H218" i="2"/>
  <c r="H138" i="3" s="1"/>
  <c r="H27" i="5" s="1"/>
  <c r="G218" i="2"/>
  <c r="G138" i="3" s="1"/>
  <c r="G27" i="5" s="1"/>
  <c r="F218" i="2"/>
  <c r="F138" i="3" s="1"/>
  <c r="F27" i="5" s="1"/>
  <c r="E218" i="2"/>
  <c r="E138" i="3" s="1"/>
  <c r="E27" i="5" s="1"/>
  <c r="D218" i="2"/>
  <c r="D138" i="3" s="1"/>
  <c r="D27" i="5" s="1"/>
  <c r="C218" i="2"/>
  <c r="C138" i="3" s="1"/>
  <c r="C27" i="5" s="1"/>
  <c r="B218" i="2"/>
  <c r="B138" i="3" s="1"/>
  <c r="B27" i="5" s="1"/>
  <c r="A218" i="2"/>
  <c r="K217" i="2"/>
  <c r="J217" i="2"/>
  <c r="I217" i="2"/>
  <c r="H217" i="2"/>
  <c r="G217" i="2"/>
  <c r="F217" i="2"/>
  <c r="E217" i="2"/>
  <c r="D217" i="2"/>
  <c r="C217" i="2"/>
  <c r="B217" i="2"/>
  <c r="A217" i="2"/>
  <c r="K216" i="2"/>
  <c r="J216" i="2"/>
  <c r="I216" i="2"/>
  <c r="H216" i="2"/>
  <c r="G216" i="2"/>
  <c r="F216" i="2"/>
  <c r="E216" i="2"/>
  <c r="D216" i="2"/>
  <c r="C216" i="2"/>
  <c r="B216" i="2"/>
  <c r="A216" i="2"/>
  <c r="K215" i="2"/>
  <c r="J215" i="2"/>
  <c r="I215" i="2"/>
  <c r="H215" i="2"/>
  <c r="G215" i="2"/>
  <c r="F215" i="2"/>
  <c r="E215" i="2"/>
  <c r="D215" i="2"/>
  <c r="C215" i="2"/>
  <c r="B215" i="2"/>
  <c r="A215" i="2"/>
  <c r="K214" i="2"/>
  <c r="J214" i="2"/>
  <c r="I214" i="2"/>
  <c r="H214" i="2"/>
  <c r="G214" i="2"/>
  <c r="F214" i="2"/>
  <c r="E214" i="2"/>
  <c r="D214" i="2"/>
  <c r="C214" i="2"/>
  <c r="B214" i="2"/>
  <c r="A214" i="2"/>
  <c r="K213" i="2"/>
  <c r="J213" i="2"/>
  <c r="I213" i="2"/>
  <c r="H213" i="2"/>
  <c r="G213" i="2"/>
  <c r="F213" i="2"/>
  <c r="E213" i="2"/>
  <c r="D213" i="2"/>
  <c r="C213" i="2"/>
  <c r="B213" i="2"/>
  <c r="A213" i="2"/>
  <c r="K212" i="2"/>
  <c r="J212" i="2"/>
  <c r="I212" i="2"/>
  <c r="H212" i="2"/>
  <c r="G212" i="2"/>
  <c r="F212" i="2"/>
  <c r="E212" i="2"/>
  <c r="D212" i="2"/>
  <c r="C212" i="2"/>
  <c r="B212" i="2"/>
  <c r="A212" i="2"/>
  <c r="K211" i="2"/>
  <c r="J211" i="2"/>
  <c r="I211" i="2"/>
  <c r="H211" i="2"/>
  <c r="G211" i="2"/>
  <c r="F211" i="2"/>
  <c r="E211" i="2"/>
  <c r="D211" i="2"/>
  <c r="C211" i="2"/>
  <c r="B211" i="2"/>
  <c r="A211" i="2"/>
  <c r="K210" i="2"/>
  <c r="J210" i="2"/>
  <c r="I210" i="2"/>
  <c r="H210" i="2"/>
  <c r="G210" i="2"/>
  <c r="F210" i="2"/>
  <c r="E210" i="2"/>
  <c r="D210" i="2"/>
  <c r="C210" i="2"/>
  <c r="B210" i="2"/>
  <c r="A210" i="2"/>
  <c r="K209" i="2"/>
  <c r="K137" i="3" s="1"/>
  <c r="J209" i="2"/>
  <c r="I209" i="2"/>
  <c r="H209" i="2"/>
  <c r="G209" i="2"/>
  <c r="F209" i="2"/>
  <c r="E209" i="2"/>
  <c r="E137" i="3" s="1"/>
  <c r="D209" i="2"/>
  <c r="C209" i="2"/>
  <c r="C137" i="3" s="1"/>
  <c r="B209" i="2"/>
  <c r="A209" i="2"/>
  <c r="K208" i="2"/>
  <c r="J208" i="2"/>
  <c r="I208" i="2"/>
  <c r="H208" i="2"/>
  <c r="G208" i="2"/>
  <c r="F208" i="2"/>
  <c r="E208" i="2"/>
  <c r="D208" i="2"/>
  <c r="C208" i="2"/>
  <c r="B208" i="2"/>
  <c r="A208" i="2"/>
  <c r="K207" i="2"/>
  <c r="J207" i="2"/>
  <c r="I207" i="2"/>
  <c r="H207" i="2"/>
  <c r="G207" i="2"/>
  <c r="F207" i="2"/>
  <c r="E207" i="2"/>
  <c r="D207" i="2"/>
  <c r="C207" i="2"/>
  <c r="B207" i="2"/>
  <c r="A207" i="2"/>
  <c r="K206" i="2"/>
  <c r="J206" i="2"/>
  <c r="I206" i="2"/>
  <c r="H206" i="2"/>
  <c r="G206" i="2"/>
  <c r="F206" i="2"/>
  <c r="E206" i="2"/>
  <c r="D206" i="2"/>
  <c r="C206" i="2"/>
  <c r="B206" i="2"/>
  <c r="A206" i="2"/>
  <c r="K205" i="2"/>
  <c r="J205" i="2"/>
  <c r="I205" i="2"/>
  <c r="H205" i="2"/>
  <c r="G205" i="2"/>
  <c r="F205" i="2"/>
  <c r="E205" i="2"/>
  <c r="D205" i="2"/>
  <c r="C205" i="2"/>
  <c r="B205" i="2"/>
  <c r="A205" i="2"/>
  <c r="K204" i="2"/>
  <c r="K144" i="3" s="1"/>
  <c r="J204" i="2"/>
  <c r="J144" i="3" s="1"/>
  <c r="I204" i="2"/>
  <c r="I144" i="3" s="1"/>
  <c r="H204" i="2"/>
  <c r="H144" i="3" s="1"/>
  <c r="G204" i="2"/>
  <c r="G144" i="3" s="1"/>
  <c r="F204" i="2"/>
  <c r="F144" i="3" s="1"/>
  <c r="E204" i="2"/>
  <c r="E144" i="3" s="1"/>
  <c r="D204" i="2"/>
  <c r="D144" i="3" s="1"/>
  <c r="C204" i="2"/>
  <c r="C144" i="3" s="1"/>
  <c r="B204" i="2"/>
  <c r="B144" i="3" s="1"/>
  <c r="A204" i="2"/>
  <c r="K203" i="2"/>
  <c r="J203" i="2"/>
  <c r="I203" i="2"/>
  <c r="H203" i="2"/>
  <c r="G203" i="2"/>
  <c r="F203" i="2"/>
  <c r="E203" i="2"/>
  <c r="D203" i="2"/>
  <c r="C203" i="2"/>
  <c r="B203" i="2"/>
  <c r="A203" i="2"/>
  <c r="K202" i="2"/>
  <c r="J202" i="2"/>
  <c r="I202" i="2"/>
  <c r="H202" i="2"/>
  <c r="G202" i="2"/>
  <c r="F202" i="2"/>
  <c r="E202" i="2"/>
  <c r="D202" i="2"/>
  <c r="C202" i="2"/>
  <c r="B202" i="2"/>
  <c r="A202" i="2"/>
  <c r="K201" i="2"/>
  <c r="K133" i="3" s="1"/>
  <c r="J201" i="2"/>
  <c r="J133" i="3" s="1"/>
  <c r="I201" i="2"/>
  <c r="I133" i="3" s="1"/>
  <c r="H201" i="2"/>
  <c r="H133" i="3" s="1"/>
  <c r="G201" i="2"/>
  <c r="G133" i="3" s="1"/>
  <c r="F201" i="2"/>
  <c r="F133" i="3" s="1"/>
  <c r="E201" i="2"/>
  <c r="E133" i="3" s="1"/>
  <c r="D201" i="2"/>
  <c r="D133" i="3" s="1"/>
  <c r="C201" i="2"/>
  <c r="C133" i="3" s="1"/>
  <c r="B201" i="2"/>
  <c r="B133" i="3" s="1"/>
  <c r="A201" i="2"/>
  <c r="K200" i="2"/>
  <c r="K130" i="3" s="1"/>
  <c r="J200" i="2"/>
  <c r="J130" i="3" s="1"/>
  <c r="I200" i="2"/>
  <c r="I130" i="3" s="1"/>
  <c r="H200" i="2"/>
  <c r="H130" i="3" s="1"/>
  <c r="G200" i="2"/>
  <c r="G130" i="3" s="1"/>
  <c r="F200" i="2"/>
  <c r="F130" i="3" s="1"/>
  <c r="E200" i="2"/>
  <c r="E130" i="3" s="1"/>
  <c r="D200" i="2"/>
  <c r="D130" i="3" s="1"/>
  <c r="C200" i="2"/>
  <c r="C130" i="3" s="1"/>
  <c r="B200" i="2"/>
  <c r="B130" i="3" s="1"/>
  <c r="A200" i="2"/>
  <c r="K199" i="2"/>
  <c r="J199" i="2"/>
  <c r="I199" i="2"/>
  <c r="H199" i="2"/>
  <c r="G199" i="2"/>
  <c r="F199" i="2"/>
  <c r="E199" i="2"/>
  <c r="D199" i="2"/>
  <c r="C199" i="2"/>
  <c r="B199" i="2"/>
  <c r="A199" i="2"/>
  <c r="K198" i="2"/>
  <c r="J198" i="2"/>
  <c r="I198" i="2"/>
  <c r="H198" i="2"/>
  <c r="G198" i="2"/>
  <c r="F198" i="2"/>
  <c r="E198" i="2"/>
  <c r="D198" i="2"/>
  <c r="C198" i="2"/>
  <c r="B198" i="2"/>
  <c r="A198" i="2"/>
  <c r="K197" i="2"/>
  <c r="K117" i="3" s="1"/>
  <c r="J197" i="2"/>
  <c r="J117" i="3" s="1"/>
  <c r="I197" i="2"/>
  <c r="I117" i="3" s="1"/>
  <c r="H197" i="2"/>
  <c r="H117" i="3" s="1"/>
  <c r="G197" i="2"/>
  <c r="G117" i="3" s="1"/>
  <c r="F197" i="2"/>
  <c r="F117" i="3" s="1"/>
  <c r="E197" i="2"/>
  <c r="E117" i="3" s="1"/>
  <c r="D197" i="2"/>
  <c r="D117" i="3" s="1"/>
  <c r="C197" i="2"/>
  <c r="C117" i="3" s="1"/>
  <c r="B197" i="2"/>
  <c r="B117" i="3" s="1"/>
  <c r="A197" i="2"/>
  <c r="K196" i="2"/>
  <c r="J196" i="2"/>
  <c r="I196" i="2"/>
  <c r="H196" i="2"/>
  <c r="G196" i="2"/>
  <c r="F196" i="2"/>
  <c r="E196" i="2"/>
  <c r="D196" i="2"/>
  <c r="C196" i="2"/>
  <c r="B196" i="2"/>
  <c r="A196" i="2"/>
  <c r="K195" i="2"/>
  <c r="J195" i="2"/>
  <c r="I195" i="2"/>
  <c r="H195" i="2"/>
  <c r="G195" i="2"/>
  <c r="F195" i="2"/>
  <c r="E195" i="2"/>
  <c r="D195" i="2"/>
  <c r="C195" i="2"/>
  <c r="B195" i="2"/>
  <c r="A195" i="2"/>
  <c r="K194" i="2"/>
  <c r="J194" i="2"/>
  <c r="I194" i="2"/>
  <c r="H194" i="2"/>
  <c r="H129" i="3" s="1"/>
  <c r="G194" i="2"/>
  <c r="G129" i="3" s="1"/>
  <c r="F194" i="2"/>
  <c r="E194" i="2"/>
  <c r="E129" i="3" s="1"/>
  <c r="D194" i="2"/>
  <c r="D129" i="3" s="1"/>
  <c r="C194" i="2"/>
  <c r="B194" i="2"/>
  <c r="A194" i="2"/>
  <c r="K193" i="2"/>
  <c r="J193" i="2"/>
  <c r="I193" i="2"/>
  <c r="H193" i="2"/>
  <c r="G193" i="2"/>
  <c r="F193" i="2"/>
  <c r="E193" i="2"/>
  <c r="D193" i="2"/>
  <c r="C193" i="2"/>
  <c r="B193" i="2"/>
  <c r="A193" i="2"/>
  <c r="K192" i="2"/>
  <c r="J192" i="2"/>
  <c r="I192" i="2"/>
  <c r="H192" i="2"/>
  <c r="G192" i="2"/>
  <c r="G124" i="3" s="1"/>
  <c r="F192" i="2"/>
  <c r="F124" i="3" s="1"/>
  <c r="E192" i="2"/>
  <c r="E124" i="3" s="1"/>
  <c r="D192" i="2"/>
  <c r="C192" i="2"/>
  <c r="B192" i="2"/>
  <c r="A192" i="2"/>
  <c r="K191" i="2"/>
  <c r="J191" i="2"/>
  <c r="I191" i="2"/>
  <c r="H191" i="2"/>
  <c r="G191" i="2"/>
  <c r="F191" i="2"/>
  <c r="E191" i="2"/>
  <c r="D191" i="2"/>
  <c r="C191" i="2"/>
  <c r="B191" i="2"/>
  <c r="A191" i="2"/>
  <c r="K190" i="2"/>
  <c r="J190" i="2"/>
  <c r="I190" i="2"/>
  <c r="H190" i="2"/>
  <c r="G190" i="2"/>
  <c r="F190" i="2"/>
  <c r="E190" i="2"/>
  <c r="D190" i="2"/>
  <c r="C190" i="2"/>
  <c r="B190" i="2"/>
  <c r="A190" i="2"/>
  <c r="K189" i="2"/>
  <c r="J189" i="2"/>
  <c r="I189" i="2"/>
  <c r="H189" i="2"/>
  <c r="G189" i="2"/>
  <c r="F189" i="2"/>
  <c r="E189" i="2"/>
  <c r="D189" i="2"/>
  <c r="C189" i="2"/>
  <c r="B189" i="2"/>
  <c r="A189" i="2"/>
  <c r="K188" i="2"/>
  <c r="J188" i="2"/>
  <c r="I188" i="2"/>
  <c r="H188" i="2"/>
  <c r="G188" i="2"/>
  <c r="F188" i="2"/>
  <c r="E188" i="2"/>
  <c r="D188" i="2"/>
  <c r="C188" i="2"/>
  <c r="B188" i="2"/>
  <c r="A188" i="2"/>
  <c r="K187" i="2"/>
  <c r="J187" i="2"/>
  <c r="I187" i="2"/>
  <c r="H187" i="2"/>
  <c r="G187" i="2"/>
  <c r="F187" i="2"/>
  <c r="E187" i="2"/>
  <c r="D187" i="2"/>
  <c r="C187" i="2"/>
  <c r="B187" i="2"/>
  <c r="A187" i="2"/>
  <c r="K186" i="2"/>
  <c r="J186" i="2"/>
  <c r="I186" i="2"/>
  <c r="H186" i="2"/>
  <c r="G186" i="2"/>
  <c r="F186" i="2"/>
  <c r="E186" i="2"/>
  <c r="D186" i="2"/>
  <c r="C186" i="2"/>
  <c r="B186" i="2"/>
  <c r="A186" i="2"/>
  <c r="K185" i="2"/>
  <c r="J185" i="2"/>
  <c r="I185" i="2"/>
  <c r="H185" i="2"/>
  <c r="G185" i="2"/>
  <c r="F185" i="2"/>
  <c r="E185" i="2"/>
  <c r="D185" i="2"/>
  <c r="C185" i="2"/>
  <c r="B185" i="2"/>
  <c r="A185" i="2"/>
  <c r="K184" i="2"/>
  <c r="K122" i="3" s="1"/>
  <c r="K13" i="5" s="1"/>
  <c r="K125" i="5" s="1"/>
  <c r="J184" i="2"/>
  <c r="J122" i="3" s="1"/>
  <c r="I184" i="2"/>
  <c r="I122" i="3" s="1"/>
  <c r="H184" i="2"/>
  <c r="H122" i="3" s="1"/>
  <c r="H13" i="5" s="1"/>
  <c r="H125" i="5" s="1"/>
  <c r="G184" i="2"/>
  <c r="G122" i="3" s="1"/>
  <c r="G13" i="5" s="1"/>
  <c r="G125" i="5" s="1"/>
  <c r="F184" i="2"/>
  <c r="F122" i="3" s="1"/>
  <c r="F13" i="5" s="1"/>
  <c r="F125" i="5" s="1"/>
  <c r="E184" i="2"/>
  <c r="E122" i="3" s="1"/>
  <c r="D184" i="2"/>
  <c r="D122" i="3" s="1"/>
  <c r="C184" i="2"/>
  <c r="C122" i="3" s="1"/>
  <c r="C13" i="5" s="1"/>
  <c r="C125" i="5" s="1"/>
  <c r="B184" i="2"/>
  <c r="B122" i="3" s="1"/>
  <c r="A184" i="2"/>
  <c r="K183" i="2"/>
  <c r="K115" i="3" s="1"/>
  <c r="J183" i="2"/>
  <c r="J115" i="3" s="1"/>
  <c r="I183" i="2"/>
  <c r="I115" i="3" s="1"/>
  <c r="H183" i="2"/>
  <c r="H115" i="3" s="1"/>
  <c r="G183" i="2"/>
  <c r="G115" i="3" s="1"/>
  <c r="F183" i="2"/>
  <c r="F115" i="3" s="1"/>
  <c r="E183" i="2"/>
  <c r="E115" i="3" s="1"/>
  <c r="D183" i="2"/>
  <c r="D115" i="3" s="1"/>
  <c r="C183" i="2"/>
  <c r="C115" i="3" s="1"/>
  <c r="B183" i="2"/>
  <c r="B115" i="3" s="1"/>
  <c r="A183" i="2"/>
  <c r="K182" i="2"/>
  <c r="K114" i="3" s="1"/>
  <c r="J182" i="2"/>
  <c r="J114" i="3" s="1"/>
  <c r="I182" i="2"/>
  <c r="I114" i="3" s="1"/>
  <c r="H182" i="2"/>
  <c r="H114" i="3" s="1"/>
  <c r="G182" i="2"/>
  <c r="G114" i="3" s="1"/>
  <c r="F182" i="2"/>
  <c r="F114" i="3" s="1"/>
  <c r="E182" i="2"/>
  <c r="E114" i="3" s="1"/>
  <c r="D182" i="2"/>
  <c r="D114" i="3" s="1"/>
  <c r="C182" i="2"/>
  <c r="C114" i="3" s="1"/>
  <c r="B182" i="2"/>
  <c r="B114" i="3" s="1"/>
  <c r="A182" i="2"/>
  <c r="K181" i="2"/>
  <c r="K113" i="3" s="1"/>
  <c r="J181" i="2"/>
  <c r="I181" i="2"/>
  <c r="I113" i="3" s="1"/>
  <c r="H181" i="2"/>
  <c r="H113" i="3" s="1"/>
  <c r="G181" i="2"/>
  <c r="G113" i="3" s="1"/>
  <c r="G116" i="3" s="1"/>
  <c r="F181" i="2"/>
  <c r="F113" i="3" s="1"/>
  <c r="E181" i="2"/>
  <c r="E113" i="3" s="1"/>
  <c r="D181" i="2"/>
  <c r="D113" i="3" s="1"/>
  <c r="C181" i="2"/>
  <c r="C113" i="3" s="1"/>
  <c r="B181" i="2"/>
  <c r="B113" i="3" s="1"/>
  <c r="A181" i="2"/>
  <c r="K180" i="2"/>
  <c r="J180" i="2"/>
  <c r="I180" i="2"/>
  <c r="H180" i="2"/>
  <c r="G180" i="2"/>
  <c r="F180" i="2"/>
  <c r="E180" i="2"/>
  <c r="D180" i="2"/>
  <c r="C180" i="2"/>
  <c r="B180" i="2"/>
  <c r="A180" i="2"/>
  <c r="K179" i="2"/>
  <c r="K127" i="3" s="1"/>
  <c r="J179" i="2"/>
  <c r="J127" i="3" s="1"/>
  <c r="J111" i="3" s="1"/>
  <c r="I179" i="2"/>
  <c r="H179" i="2"/>
  <c r="H127" i="3" s="1"/>
  <c r="G179" i="2"/>
  <c r="G127" i="3" s="1"/>
  <c r="F179" i="2"/>
  <c r="F127" i="3" s="1"/>
  <c r="E179" i="2"/>
  <c r="E127" i="3" s="1"/>
  <c r="E111" i="3" s="1"/>
  <c r="D179" i="2"/>
  <c r="D127" i="3" s="1"/>
  <c r="D111" i="3" s="1"/>
  <c r="C179" i="2"/>
  <c r="C127" i="3" s="1"/>
  <c r="B179" i="2"/>
  <c r="B127" i="3" s="1"/>
  <c r="B111" i="3" s="1"/>
  <c r="A179" i="2"/>
  <c r="K178" i="2"/>
  <c r="J178" i="2"/>
  <c r="I178" i="2"/>
  <c r="H178" i="2"/>
  <c r="G178" i="2"/>
  <c r="F178" i="2"/>
  <c r="E178" i="2"/>
  <c r="D178" i="2"/>
  <c r="C178" i="2"/>
  <c r="B178" i="2"/>
  <c r="A178" i="2"/>
  <c r="K177" i="2"/>
  <c r="K126" i="3" s="1"/>
  <c r="J177" i="2"/>
  <c r="J126" i="3" s="1"/>
  <c r="I177" i="2"/>
  <c r="I126" i="3" s="1"/>
  <c r="H177" i="2"/>
  <c r="H126" i="3" s="1"/>
  <c r="G177" i="2"/>
  <c r="G126" i="3" s="1"/>
  <c r="F177" i="2"/>
  <c r="F126" i="3" s="1"/>
  <c r="E177" i="2"/>
  <c r="E126" i="3" s="1"/>
  <c r="D177" i="2"/>
  <c r="D126" i="3" s="1"/>
  <c r="C177" i="2"/>
  <c r="C126" i="3" s="1"/>
  <c r="B177" i="2"/>
  <c r="B126" i="3" s="1"/>
  <c r="A177" i="2"/>
  <c r="K176" i="2"/>
  <c r="J176" i="2"/>
  <c r="I176" i="2"/>
  <c r="H176" i="2"/>
  <c r="G176" i="2"/>
  <c r="F176" i="2"/>
  <c r="E176" i="2"/>
  <c r="D176" i="2"/>
  <c r="C176" i="2"/>
  <c r="B176" i="2"/>
  <c r="A176" i="2"/>
  <c r="K175" i="2"/>
  <c r="K119" i="3" s="1"/>
  <c r="J175" i="2"/>
  <c r="J119" i="3" s="1"/>
  <c r="I175" i="2"/>
  <c r="I119" i="3" s="1"/>
  <c r="H175" i="2"/>
  <c r="H119" i="3" s="1"/>
  <c r="G175" i="2"/>
  <c r="G119" i="3" s="1"/>
  <c r="F175" i="2"/>
  <c r="F119" i="3" s="1"/>
  <c r="E175" i="2"/>
  <c r="E119" i="3" s="1"/>
  <c r="D175" i="2"/>
  <c r="D119" i="3" s="1"/>
  <c r="C175" i="2"/>
  <c r="C119" i="3" s="1"/>
  <c r="B175" i="2"/>
  <c r="B119" i="3" s="1"/>
  <c r="A175" i="2"/>
  <c r="K174" i="2"/>
  <c r="K118" i="3" s="1"/>
  <c r="J174" i="2"/>
  <c r="J118" i="3" s="1"/>
  <c r="I174" i="2"/>
  <c r="I118" i="3" s="1"/>
  <c r="H174" i="2"/>
  <c r="H118" i="3" s="1"/>
  <c r="G174" i="2"/>
  <c r="G118" i="3" s="1"/>
  <c r="F174" i="2"/>
  <c r="F118" i="3" s="1"/>
  <c r="E174" i="2"/>
  <c r="E118" i="3" s="1"/>
  <c r="D174" i="2"/>
  <c r="D118" i="3" s="1"/>
  <c r="C174" i="2"/>
  <c r="C118" i="3" s="1"/>
  <c r="B174" i="2"/>
  <c r="B118" i="3" s="1"/>
  <c r="A174" i="2"/>
  <c r="K173" i="2"/>
  <c r="J173" i="2"/>
  <c r="I173" i="2"/>
  <c r="H173" i="2"/>
  <c r="G173" i="2"/>
  <c r="F173" i="2"/>
  <c r="E173" i="2"/>
  <c r="D173" i="2"/>
  <c r="C173" i="2"/>
  <c r="B173" i="2"/>
  <c r="A173" i="2"/>
  <c r="K172" i="2"/>
  <c r="J172" i="2"/>
  <c r="I172" i="2"/>
  <c r="H172" i="2"/>
  <c r="G172" i="2"/>
  <c r="F172" i="2"/>
  <c r="E172" i="2"/>
  <c r="D172" i="2"/>
  <c r="C172" i="2"/>
  <c r="B172" i="2"/>
  <c r="A172" i="2"/>
  <c r="A171" i="2"/>
  <c r="K169" i="2"/>
  <c r="J169" i="2"/>
  <c r="I169" i="2"/>
  <c r="H169" i="2"/>
  <c r="G169" i="2"/>
  <c r="F169" i="2"/>
  <c r="E169" i="2"/>
  <c r="D169" i="2"/>
  <c r="C169" i="2"/>
  <c r="B169" i="2"/>
  <c r="A169" i="2"/>
  <c r="K168" i="2"/>
  <c r="K88" i="3" s="1"/>
  <c r="J168" i="2"/>
  <c r="J88" i="3" s="1"/>
  <c r="I168" i="2"/>
  <c r="I88" i="3" s="1"/>
  <c r="H168" i="2"/>
  <c r="H88" i="3" s="1"/>
  <c r="G168" i="2"/>
  <c r="G88" i="3" s="1"/>
  <c r="F168" i="2"/>
  <c r="F88" i="3" s="1"/>
  <c r="E168" i="2"/>
  <c r="E88" i="3" s="1"/>
  <c r="D168" i="2"/>
  <c r="D88" i="3" s="1"/>
  <c r="C168" i="2"/>
  <c r="C88" i="3" s="1"/>
  <c r="B168" i="2"/>
  <c r="B88" i="3" s="1"/>
  <c r="A168" i="2"/>
  <c r="K167" i="2"/>
  <c r="J167" i="2"/>
  <c r="I167" i="2"/>
  <c r="H167" i="2"/>
  <c r="G167" i="2"/>
  <c r="F167" i="2"/>
  <c r="E167" i="2"/>
  <c r="D167" i="2"/>
  <c r="C167" i="2"/>
  <c r="B167" i="2"/>
  <c r="A167" i="2"/>
  <c r="K166" i="2"/>
  <c r="J166" i="2"/>
  <c r="I166" i="2"/>
  <c r="H166" i="2"/>
  <c r="G166" i="2"/>
  <c r="F166" i="2"/>
  <c r="E166" i="2"/>
  <c r="D166" i="2"/>
  <c r="C166" i="2"/>
  <c r="B166" i="2"/>
  <c r="A166" i="2"/>
  <c r="K165" i="2"/>
  <c r="J165" i="2"/>
  <c r="I165" i="2"/>
  <c r="H165" i="2"/>
  <c r="G165" i="2"/>
  <c r="F165" i="2"/>
  <c r="E165" i="2"/>
  <c r="D165" i="2"/>
  <c r="C165" i="2"/>
  <c r="B165" i="2"/>
  <c r="A165" i="2"/>
  <c r="K164" i="2"/>
  <c r="J164" i="2"/>
  <c r="I164" i="2"/>
  <c r="H164" i="2"/>
  <c r="G164" i="2"/>
  <c r="F164" i="2"/>
  <c r="E164" i="2"/>
  <c r="D164" i="2"/>
  <c r="C164" i="2"/>
  <c r="B164" i="2"/>
  <c r="A164" i="2"/>
  <c r="K163" i="2"/>
  <c r="J163" i="2"/>
  <c r="I163" i="2"/>
  <c r="H163" i="2"/>
  <c r="G163" i="2"/>
  <c r="F163" i="2"/>
  <c r="E163" i="2"/>
  <c r="D163" i="2"/>
  <c r="C163" i="2"/>
  <c r="B163" i="2"/>
  <c r="A163" i="2"/>
  <c r="K162" i="2"/>
  <c r="J162" i="2"/>
  <c r="I162" i="2"/>
  <c r="H162" i="2"/>
  <c r="G162" i="2"/>
  <c r="F162" i="2"/>
  <c r="E162" i="2"/>
  <c r="D162" i="2"/>
  <c r="C162" i="2"/>
  <c r="B162" i="2"/>
  <c r="A162" i="2"/>
  <c r="K161" i="2"/>
  <c r="J161" i="2"/>
  <c r="I161" i="2"/>
  <c r="H161" i="2"/>
  <c r="G161" i="2"/>
  <c r="G54" i="3" s="1"/>
  <c r="F161" i="2"/>
  <c r="E161" i="2"/>
  <c r="D161" i="2"/>
  <c r="C161" i="2"/>
  <c r="B161" i="2"/>
  <c r="A161" i="2"/>
  <c r="K160" i="2"/>
  <c r="K50" i="3" s="1"/>
  <c r="L15" i="4" s="1"/>
  <c r="J160" i="2"/>
  <c r="I160" i="2"/>
  <c r="H160" i="2"/>
  <c r="G160" i="2"/>
  <c r="F160" i="2"/>
  <c r="E160" i="2"/>
  <c r="D160" i="2"/>
  <c r="C160" i="2"/>
  <c r="C50" i="3" s="1"/>
  <c r="D15" i="4" s="1"/>
  <c r="B160" i="2"/>
  <c r="A160" i="2"/>
  <c r="K159" i="2"/>
  <c r="J159" i="2"/>
  <c r="I159" i="2"/>
  <c r="H159" i="2"/>
  <c r="G159" i="2"/>
  <c r="F159" i="2"/>
  <c r="E159" i="2"/>
  <c r="D159" i="2"/>
  <c r="C159" i="2"/>
  <c r="B159" i="2"/>
  <c r="A159" i="2"/>
  <c r="K158" i="2"/>
  <c r="J158" i="2"/>
  <c r="I158" i="2"/>
  <c r="H158" i="2"/>
  <c r="G158" i="2"/>
  <c r="F158" i="2"/>
  <c r="E158" i="2"/>
  <c r="D158" i="2"/>
  <c r="C158" i="2"/>
  <c r="B158" i="2"/>
  <c r="A158" i="2"/>
  <c r="K157" i="2"/>
  <c r="J157" i="2"/>
  <c r="I157" i="2"/>
  <c r="H157" i="2"/>
  <c r="G157" i="2"/>
  <c r="F157" i="2"/>
  <c r="E157" i="2"/>
  <c r="D157" i="2"/>
  <c r="C157" i="2"/>
  <c r="B157" i="2"/>
  <c r="A157" i="2"/>
  <c r="K156" i="2"/>
  <c r="J156" i="2"/>
  <c r="J59" i="3" s="1"/>
  <c r="J62" i="3" s="1"/>
  <c r="I156" i="2"/>
  <c r="H156" i="2"/>
  <c r="G156" i="2"/>
  <c r="F156" i="2"/>
  <c r="E156" i="2"/>
  <c r="E59" i="3" s="1"/>
  <c r="D156" i="2"/>
  <c r="C156" i="2"/>
  <c r="B156" i="2"/>
  <c r="A156" i="2"/>
  <c r="K155" i="2"/>
  <c r="J155" i="2"/>
  <c r="I155" i="2"/>
  <c r="H155" i="2"/>
  <c r="G155" i="2"/>
  <c r="F155" i="2"/>
  <c r="E155" i="2"/>
  <c r="D155" i="2"/>
  <c r="C155" i="2"/>
  <c r="B155" i="2"/>
  <c r="A155" i="2"/>
  <c r="K154" i="2"/>
  <c r="J154" i="2"/>
  <c r="I154" i="2"/>
  <c r="H154" i="2"/>
  <c r="G154" i="2"/>
  <c r="F154" i="2"/>
  <c r="E154" i="2"/>
  <c r="D154" i="2"/>
  <c r="C154" i="2"/>
  <c r="B154" i="2"/>
  <c r="A154" i="2"/>
  <c r="K153" i="2"/>
  <c r="J153" i="2"/>
  <c r="I153" i="2"/>
  <c r="H153" i="2"/>
  <c r="G153" i="2"/>
  <c r="F153" i="2"/>
  <c r="E153" i="2"/>
  <c r="D153" i="2"/>
  <c r="C153" i="2"/>
  <c r="B153" i="2"/>
  <c r="A153" i="2"/>
  <c r="K152" i="2"/>
  <c r="J152" i="2"/>
  <c r="I152" i="2"/>
  <c r="H152" i="2"/>
  <c r="G152" i="2"/>
  <c r="F152" i="2"/>
  <c r="E152" i="2"/>
  <c r="D152" i="2"/>
  <c r="C152" i="2"/>
  <c r="B152" i="2"/>
  <c r="A152" i="2"/>
  <c r="K151" i="2"/>
  <c r="J151" i="2"/>
  <c r="I151" i="2"/>
  <c r="H151" i="2"/>
  <c r="G151" i="2"/>
  <c r="F151" i="2"/>
  <c r="E151" i="2"/>
  <c r="D151" i="2"/>
  <c r="C151" i="2"/>
  <c r="B151" i="2"/>
  <c r="A151" i="2"/>
  <c r="K150" i="2"/>
  <c r="J150" i="2"/>
  <c r="I150" i="2"/>
  <c r="H150" i="2"/>
  <c r="G150" i="2"/>
  <c r="F150" i="2"/>
  <c r="E150" i="2"/>
  <c r="D150" i="2"/>
  <c r="C150" i="2"/>
  <c r="B150" i="2"/>
  <c r="A150" i="2"/>
  <c r="K149" i="2"/>
  <c r="J149" i="2"/>
  <c r="I149" i="2"/>
  <c r="H149" i="2"/>
  <c r="G149" i="2"/>
  <c r="F149" i="2"/>
  <c r="E149" i="2"/>
  <c r="D149" i="2"/>
  <c r="C149" i="2"/>
  <c r="B149" i="2"/>
  <c r="A149" i="2"/>
  <c r="K148" i="2"/>
  <c r="J148" i="2"/>
  <c r="I148" i="2"/>
  <c r="H148" i="2"/>
  <c r="G148" i="2"/>
  <c r="F148" i="2"/>
  <c r="E148" i="2"/>
  <c r="E65" i="3" s="1"/>
  <c r="E66" i="3" s="1"/>
  <c r="D148" i="2"/>
  <c r="C148" i="2"/>
  <c r="B148" i="2"/>
  <c r="A148" i="2"/>
  <c r="K147" i="2"/>
  <c r="J147" i="2"/>
  <c r="I147" i="2"/>
  <c r="H147" i="2"/>
  <c r="G147" i="2"/>
  <c r="F147" i="2"/>
  <c r="E147" i="2"/>
  <c r="D147" i="2"/>
  <c r="C147" i="2"/>
  <c r="B147" i="2"/>
  <c r="A147" i="2"/>
  <c r="K146" i="2"/>
  <c r="J146" i="2"/>
  <c r="I146" i="2"/>
  <c r="H146" i="2"/>
  <c r="G146" i="2"/>
  <c r="F146" i="2"/>
  <c r="E146" i="2"/>
  <c r="D146" i="2"/>
  <c r="C146" i="2"/>
  <c r="B146" i="2"/>
  <c r="A146" i="2"/>
  <c r="K145" i="2"/>
  <c r="J145" i="2"/>
  <c r="I145" i="2"/>
  <c r="H145" i="2"/>
  <c r="G145" i="2"/>
  <c r="G48" i="3" s="1"/>
  <c r="F145" i="2"/>
  <c r="E145" i="2"/>
  <c r="D145" i="2"/>
  <c r="C145" i="2"/>
  <c r="B145" i="2"/>
  <c r="A145" i="2"/>
  <c r="K144" i="2"/>
  <c r="J144" i="2"/>
  <c r="J48" i="3" s="1"/>
  <c r="I144" i="2"/>
  <c r="I48" i="3" s="1"/>
  <c r="H144" i="2"/>
  <c r="H48" i="3" s="1"/>
  <c r="G144" i="2"/>
  <c r="F144" i="2"/>
  <c r="E144" i="2"/>
  <c r="D144" i="2"/>
  <c r="D48" i="3" s="1"/>
  <c r="C144" i="2"/>
  <c r="B144" i="2"/>
  <c r="B48" i="3" s="1"/>
  <c r="A144" i="2"/>
  <c r="K143" i="2"/>
  <c r="J143" i="2"/>
  <c r="J54" i="3" s="1"/>
  <c r="I143" i="2"/>
  <c r="I54" i="3" s="1"/>
  <c r="J21" i="4" s="1"/>
  <c r="H143" i="2"/>
  <c r="G143" i="2"/>
  <c r="F143" i="2"/>
  <c r="E143" i="2"/>
  <c r="D143" i="2"/>
  <c r="D54" i="3" s="1"/>
  <c r="C143" i="2"/>
  <c r="B143" i="2"/>
  <c r="B54" i="3" s="1"/>
  <c r="A143" i="2"/>
  <c r="K142" i="2"/>
  <c r="J142" i="2"/>
  <c r="I142" i="2"/>
  <c r="H142" i="2"/>
  <c r="H50" i="3" s="1"/>
  <c r="G142" i="2"/>
  <c r="G50" i="3" s="1"/>
  <c r="H15" i="4" s="1"/>
  <c r="F142" i="2"/>
  <c r="E142" i="2"/>
  <c r="E50" i="3" s="1"/>
  <c r="D142" i="2"/>
  <c r="D50" i="3" s="1"/>
  <c r="E15" i="4" s="1"/>
  <c r="C142" i="2"/>
  <c r="B142" i="2"/>
  <c r="A142" i="2"/>
  <c r="K141" i="2"/>
  <c r="J141" i="2"/>
  <c r="I141" i="2"/>
  <c r="H141" i="2"/>
  <c r="G141" i="2"/>
  <c r="F141" i="2"/>
  <c r="E141" i="2"/>
  <c r="D141" i="2"/>
  <c r="C141" i="2"/>
  <c r="B141" i="2"/>
  <c r="A141" i="2"/>
  <c r="K140" i="2"/>
  <c r="J140" i="2"/>
  <c r="I140" i="2"/>
  <c r="H140" i="2"/>
  <c r="G140" i="2"/>
  <c r="F140" i="2"/>
  <c r="E140" i="2"/>
  <c r="D140" i="2"/>
  <c r="C140" i="2"/>
  <c r="B140" i="2"/>
  <c r="A140" i="2"/>
  <c r="K139" i="2"/>
  <c r="J139" i="2"/>
  <c r="I139" i="2"/>
  <c r="H139" i="2"/>
  <c r="G139" i="2"/>
  <c r="F139" i="2"/>
  <c r="E139" i="2"/>
  <c r="D139" i="2"/>
  <c r="C139" i="2"/>
  <c r="B139" i="2"/>
  <c r="A139" i="2"/>
  <c r="K138" i="2"/>
  <c r="K70" i="3" s="1"/>
  <c r="L38" i="4" s="1"/>
  <c r="J138" i="2"/>
  <c r="I138" i="2"/>
  <c r="H138" i="2"/>
  <c r="H70" i="3" s="1"/>
  <c r="G138" i="2"/>
  <c r="F138" i="2"/>
  <c r="E138" i="2"/>
  <c r="D138" i="2"/>
  <c r="C138" i="2"/>
  <c r="C70" i="3" s="1"/>
  <c r="B138" i="2"/>
  <c r="A138" i="2"/>
  <c r="K137" i="2"/>
  <c r="J137" i="2"/>
  <c r="I137" i="2"/>
  <c r="H137" i="2"/>
  <c r="G137" i="2"/>
  <c r="F137" i="2"/>
  <c r="E137" i="2"/>
  <c r="D137" i="2"/>
  <c r="C137" i="2"/>
  <c r="B137" i="2"/>
  <c r="A137" i="2"/>
  <c r="K136" i="2"/>
  <c r="J136" i="2"/>
  <c r="I136" i="2"/>
  <c r="H136" i="2"/>
  <c r="G136" i="2"/>
  <c r="F136" i="2"/>
  <c r="E136" i="2"/>
  <c r="D136" i="2"/>
  <c r="C136" i="2"/>
  <c r="B136" i="2"/>
  <c r="A136" i="2"/>
  <c r="K135" i="2"/>
  <c r="J135" i="2"/>
  <c r="I135" i="2"/>
  <c r="H135" i="2"/>
  <c r="G135" i="2"/>
  <c r="F135" i="2"/>
  <c r="E135" i="2"/>
  <c r="D135" i="2"/>
  <c r="C135" i="2"/>
  <c r="B135" i="2"/>
  <c r="A135" i="2"/>
  <c r="K134" i="2"/>
  <c r="J134" i="2"/>
  <c r="I134" i="2"/>
  <c r="H134" i="2"/>
  <c r="G134" i="2"/>
  <c r="F134" i="2"/>
  <c r="E134" i="2"/>
  <c r="D134" i="2"/>
  <c r="C134" i="2"/>
  <c r="B134" i="2"/>
  <c r="A134" i="2"/>
  <c r="K133" i="2"/>
  <c r="J133" i="2"/>
  <c r="I133" i="2"/>
  <c r="H133" i="2"/>
  <c r="G133" i="2"/>
  <c r="F133" i="2"/>
  <c r="E133" i="2"/>
  <c r="D133" i="2"/>
  <c r="C133" i="2"/>
  <c r="B133" i="2"/>
  <c r="A133" i="2"/>
  <c r="K132" i="2"/>
  <c r="J132" i="2"/>
  <c r="I132" i="2"/>
  <c r="H132" i="2"/>
  <c r="G132" i="2"/>
  <c r="F132" i="2"/>
  <c r="E132" i="2"/>
  <c r="E69" i="3" s="1"/>
  <c r="D132" i="2"/>
  <c r="C132" i="2"/>
  <c r="B132" i="2"/>
  <c r="A132" i="2"/>
  <c r="K131" i="2"/>
  <c r="J131" i="2"/>
  <c r="I131" i="2"/>
  <c r="H131" i="2"/>
  <c r="G131" i="2"/>
  <c r="F131" i="2"/>
  <c r="E131" i="2"/>
  <c r="D131" i="2"/>
  <c r="C131" i="2"/>
  <c r="B131" i="2"/>
  <c r="A131" i="2"/>
  <c r="K130" i="2"/>
  <c r="J130" i="2"/>
  <c r="I130" i="2"/>
  <c r="H130" i="2"/>
  <c r="G130" i="2"/>
  <c r="F130" i="2"/>
  <c r="E130" i="2"/>
  <c r="D130" i="2"/>
  <c r="C130" i="2"/>
  <c r="B130" i="2"/>
  <c r="A130" i="2"/>
  <c r="K129" i="2"/>
  <c r="K53" i="3" s="1"/>
  <c r="J129" i="2"/>
  <c r="J53" i="3" s="1"/>
  <c r="I129" i="2"/>
  <c r="I53" i="3" s="1"/>
  <c r="H129" i="2"/>
  <c r="H53" i="3" s="1"/>
  <c r="G129" i="2"/>
  <c r="G53" i="3" s="1"/>
  <c r="F129" i="2"/>
  <c r="F53" i="3" s="1"/>
  <c r="E129" i="2"/>
  <c r="E53" i="3" s="1"/>
  <c r="D129" i="2"/>
  <c r="D53" i="3" s="1"/>
  <c r="C129" i="2"/>
  <c r="C53" i="3" s="1"/>
  <c r="B129" i="2"/>
  <c r="B53" i="3" s="1"/>
  <c r="A129" i="2"/>
  <c r="K128" i="2"/>
  <c r="J128" i="2"/>
  <c r="I128" i="2"/>
  <c r="H128" i="2"/>
  <c r="G128" i="2"/>
  <c r="F128" i="2"/>
  <c r="E128" i="2"/>
  <c r="D128" i="2"/>
  <c r="C128" i="2"/>
  <c r="B128" i="2"/>
  <c r="A128" i="2"/>
  <c r="K127" i="2"/>
  <c r="J127" i="2"/>
  <c r="I127" i="2"/>
  <c r="H127" i="2"/>
  <c r="G127" i="2"/>
  <c r="F127" i="2"/>
  <c r="E127" i="2"/>
  <c r="D127" i="2"/>
  <c r="C127" i="2"/>
  <c r="B127" i="2"/>
  <c r="A127" i="2"/>
  <c r="K126" i="2"/>
  <c r="K72" i="3" s="1"/>
  <c r="L72" i="4" s="1"/>
  <c r="J126" i="2"/>
  <c r="J72" i="3" s="1"/>
  <c r="K72" i="4" s="1"/>
  <c r="I126" i="2"/>
  <c r="I72" i="3" s="1"/>
  <c r="J72" i="4" s="1"/>
  <c r="H126" i="2"/>
  <c r="H72" i="3" s="1"/>
  <c r="I72" i="4" s="1"/>
  <c r="G126" i="2"/>
  <c r="G72" i="3" s="1"/>
  <c r="H72" i="4" s="1"/>
  <c r="F126" i="2"/>
  <c r="F72" i="3" s="1"/>
  <c r="G72" i="4" s="1"/>
  <c r="E126" i="2"/>
  <c r="E72" i="3" s="1"/>
  <c r="D126" i="2"/>
  <c r="D72" i="3" s="1"/>
  <c r="E72" i="4" s="1"/>
  <c r="C126" i="2"/>
  <c r="C72" i="3" s="1"/>
  <c r="B126" i="2"/>
  <c r="B72" i="3" s="1"/>
  <c r="C72" i="4" s="1"/>
  <c r="A126" i="2"/>
  <c r="K125" i="2"/>
  <c r="K60" i="3" s="1"/>
  <c r="J125" i="2"/>
  <c r="J60" i="3" s="1"/>
  <c r="I125" i="2"/>
  <c r="I60" i="3" s="1"/>
  <c r="H125" i="2"/>
  <c r="H60" i="3" s="1"/>
  <c r="G125" i="2"/>
  <c r="G60" i="3" s="1"/>
  <c r="F125" i="2"/>
  <c r="F60" i="3" s="1"/>
  <c r="E125" i="2"/>
  <c r="E60" i="3" s="1"/>
  <c r="D125" i="2"/>
  <c r="D60" i="3" s="1"/>
  <c r="C125" i="2"/>
  <c r="C60" i="3" s="1"/>
  <c r="B125" i="2"/>
  <c r="B60" i="3" s="1"/>
  <c r="A125" i="2"/>
  <c r="K124" i="2"/>
  <c r="J124" i="2"/>
  <c r="J61" i="3" s="1"/>
  <c r="I124" i="2"/>
  <c r="H124" i="2"/>
  <c r="H61" i="3" s="1"/>
  <c r="G124" i="2"/>
  <c r="G61" i="3" s="1"/>
  <c r="F124" i="2"/>
  <c r="F61" i="3" s="1"/>
  <c r="E124" i="2"/>
  <c r="E61" i="3" s="1"/>
  <c r="D124" i="2"/>
  <c r="C124" i="2"/>
  <c r="B124" i="2"/>
  <c r="B61" i="3" s="1"/>
  <c r="A124" i="2"/>
  <c r="K123" i="2"/>
  <c r="J123" i="2"/>
  <c r="I123" i="2"/>
  <c r="H123" i="2"/>
  <c r="G123" i="2"/>
  <c r="F123" i="2"/>
  <c r="E123" i="2"/>
  <c r="D123" i="2"/>
  <c r="C123" i="2"/>
  <c r="B123" i="2"/>
  <c r="A123" i="2"/>
  <c r="K122" i="2"/>
  <c r="K83" i="3" s="1"/>
  <c r="L47" i="4" s="1"/>
  <c r="J122" i="2"/>
  <c r="J83" i="3" s="1"/>
  <c r="I122" i="2"/>
  <c r="I83" i="3" s="1"/>
  <c r="H122" i="2"/>
  <c r="H83" i="3" s="1"/>
  <c r="I47" i="4" s="1"/>
  <c r="G122" i="2"/>
  <c r="G83" i="3" s="1"/>
  <c r="F122" i="2"/>
  <c r="F83" i="3" s="1"/>
  <c r="G47" i="4" s="1"/>
  <c r="E122" i="2"/>
  <c r="E83" i="3" s="1"/>
  <c r="F47" i="4" s="1"/>
  <c r="D122" i="2"/>
  <c r="D83" i="3" s="1"/>
  <c r="E47" i="4" s="1"/>
  <c r="C122" i="2"/>
  <c r="C83" i="3" s="1"/>
  <c r="D47" i="4" s="1"/>
  <c r="B122" i="2"/>
  <c r="B83" i="3" s="1"/>
  <c r="A122" i="2"/>
  <c r="K121" i="2"/>
  <c r="J121" i="2"/>
  <c r="I121" i="2"/>
  <c r="H121" i="2"/>
  <c r="G121" i="2"/>
  <c r="F121" i="2"/>
  <c r="E121" i="2"/>
  <c r="D121" i="2"/>
  <c r="C121" i="2"/>
  <c r="B121" i="2"/>
  <c r="A121" i="2"/>
  <c r="K120" i="2"/>
  <c r="J120" i="2"/>
  <c r="I120" i="2"/>
  <c r="H120" i="2"/>
  <c r="G120" i="2"/>
  <c r="F120" i="2"/>
  <c r="E120" i="2"/>
  <c r="D120" i="2"/>
  <c r="C120" i="2"/>
  <c r="B120" i="2"/>
  <c r="A120" i="2"/>
  <c r="K119" i="2"/>
  <c r="J119" i="2"/>
  <c r="I119" i="2"/>
  <c r="H119" i="2"/>
  <c r="G119" i="2"/>
  <c r="F119" i="2"/>
  <c r="E119" i="2"/>
  <c r="D119" i="2"/>
  <c r="C119" i="2"/>
  <c r="B119" i="2"/>
  <c r="A119" i="2"/>
  <c r="K118" i="2"/>
  <c r="J118" i="2"/>
  <c r="I118" i="2"/>
  <c r="H118" i="2"/>
  <c r="G118" i="2"/>
  <c r="F118" i="2"/>
  <c r="E118" i="2"/>
  <c r="D118" i="2"/>
  <c r="C118" i="2"/>
  <c r="B118" i="2"/>
  <c r="A118" i="2"/>
  <c r="K117" i="2"/>
  <c r="J117" i="2"/>
  <c r="I117" i="2"/>
  <c r="H117" i="2"/>
  <c r="G117" i="2"/>
  <c r="F117" i="2"/>
  <c r="E117" i="2"/>
  <c r="D117" i="2"/>
  <c r="C117" i="2"/>
  <c r="B117" i="2"/>
  <c r="A117" i="2"/>
  <c r="K116" i="2"/>
  <c r="J116" i="2"/>
  <c r="I116" i="2"/>
  <c r="H116" i="2"/>
  <c r="G116" i="2"/>
  <c r="F116" i="2"/>
  <c r="E116" i="2"/>
  <c r="D116" i="2"/>
  <c r="C116" i="2"/>
  <c r="B116" i="2"/>
  <c r="A116" i="2"/>
  <c r="K115" i="2"/>
  <c r="J115" i="2"/>
  <c r="I115" i="2"/>
  <c r="H115" i="2"/>
  <c r="G115" i="2"/>
  <c r="F115" i="2"/>
  <c r="E115" i="2"/>
  <c r="D115" i="2"/>
  <c r="C115" i="2"/>
  <c r="B115" i="2"/>
  <c r="A115" i="2"/>
  <c r="K114" i="2"/>
  <c r="K82" i="3" s="1"/>
  <c r="J114" i="2"/>
  <c r="J82" i="3" s="1"/>
  <c r="I114" i="2"/>
  <c r="I82" i="3" s="1"/>
  <c r="H114" i="2"/>
  <c r="H82" i="3" s="1"/>
  <c r="G114" i="2"/>
  <c r="G82" i="3" s="1"/>
  <c r="F114" i="2"/>
  <c r="F82" i="3" s="1"/>
  <c r="E114" i="2"/>
  <c r="E82" i="3" s="1"/>
  <c r="D114" i="2"/>
  <c r="D82" i="3" s="1"/>
  <c r="C114" i="2"/>
  <c r="C82" i="3" s="1"/>
  <c r="B114" i="2"/>
  <c r="B82" i="3" s="1"/>
  <c r="A114" i="2"/>
  <c r="K113" i="2"/>
  <c r="J113" i="2"/>
  <c r="I113" i="2"/>
  <c r="H113" i="2"/>
  <c r="G113" i="2"/>
  <c r="F113" i="2"/>
  <c r="E113" i="2"/>
  <c r="D113" i="2"/>
  <c r="C113" i="2"/>
  <c r="B113" i="2"/>
  <c r="A113" i="2"/>
  <c r="K112" i="2"/>
  <c r="J112" i="2"/>
  <c r="I112" i="2"/>
  <c r="H112" i="2"/>
  <c r="G112" i="2"/>
  <c r="F112" i="2"/>
  <c r="E112" i="2"/>
  <c r="D112" i="2"/>
  <c r="C112" i="2"/>
  <c r="B112" i="2"/>
  <c r="A112" i="2"/>
  <c r="K111" i="2"/>
  <c r="J111" i="2"/>
  <c r="I111" i="2"/>
  <c r="H111" i="2"/>
  <c r="G111" i="2"/>
  <c r="F111" i="2"/>
  <c r="E111" i="2"/>
  <c r="D111" i="2"/>
  <c r="C111" i="2"/>
  <c r="B111" i="2"/>
  <c r="A111" i="2"/>
  <c r="K110" i="2"/>
  <c r="J110" i="2"/>
  <c r="I110" i="2"/>
  <c r="H110" i="2"/>
  <c r="G110" i="2"/>
  <c r="F110" i="2"/>
  <c r="E110" i="2"/>
  <c r="D110" i="2"/>
  <c r="C110" i="2"/>
  <c r="B110" i="2"/>
  <c r="A110" i="2"/>
  <c r="K109" i="2"/>
  <c r="J109" i="2"/>
  <c r="I109" i="2"/>
  <c r="H109" i="2"/>
  <c r="G109" i="2"/>
  <c r="F109" i="2"/>
  <c r="E109" i="2"/>
  <c r="D109" i="2"/>
  <c r="C109" i="2"/>
  <c r="B109" i="2"/>
  <c r="A109" i="2"/>
  <c r="K108" i="2"/>
  <c r="J108" i="2"/>
  <c r="I108" i="2"/>
  <c r="H108" i="2"/>
  <c r="G108" i="2"/>
  <c r="F108" i="2"/>
  <c r="E108" i="2"/>
  <c r="D108" i="2"/>
  <c r="C108" i="2"/>
  <c r="B108" i="2"/>
  <c r="A108" i="2"/>
  <c r="K107" i="2"/>
  <c r="J107" i="2"/>
  <c r="I107" i="2"/>
  <c r="I79" i="3" s="1"/>
  <c r="J43" i="4" s="1"/>
  <c r="H107" i="2"/>
  <c r="H79" i="3" s="1"/>
  <c r="I43" i="4" s="1"/>
  <c r="G107" i="2"/>
  <c r="F107" i="2"/>
  <c r="E107" i="2"/>
  <c r="D107" i="2"/>
  <c r="D79" i="3" s="1"/>
  <c r="E43" i="4" s="1"/>
  <c r="C107" i="2"/>
  <c r="B107" i="2"/>
  <c r="A107" i="2"/>
  <c r="K106" i="2"/>
  <c r="K80" i="3" s="1"/>
  <c r="J106" i="2"/>
  <c r="J80" i="3" s="1"/>
  <c r="I106" i="2"/>
  <c r="H106" i="2"/>
  <c r="H80" i="3" s="1"/>
  <c r="G106" i="2"/>
  <c r="F106" i="2"/>
  <c r="E106" i="2"/>
  <c r="E80" i="3" s="1"/>
  <c r="D106" i="2"/>
  <c r="D80" i="3" s="1"/>
  <c r="C106" i="2"/>
  <c r="C80" i="3" s="1"/>
  <c r="B106" i="2"/>
  <c r="B80" i="3" s="1"/>
  <c r="A106" i="2"/>
  <c r="K105" i="2"/>
  <c r="J105" i="2"/>
  <c r="I105" i="2"/>
  <c r="H105" i="2"/>
  <c r="G105" i="2"/>
  <c r="F105" i="2"/>
  <c r="E105" i="2"/>
  <c r="D105" i="2"/>
  <c r="C105" i="2"/>
  <c r="B105" i="2"/>
  <c r="A105" i="2"/>
  <c r="K104" i="2"/>
  <c r="J104" i="2"/>
  <c r="I104" i="2"/>
  <c r="H104" i="2"/>
  <c r="G104" i="2"/>
  <c r="F104" i="2"/>
  <c r="E104" i="2"/>
  <c r="D104" i="2"/>
  <c r="C104" i="2"/>
  <c r="B104" i="2"/>
  <c r="A104" i="2"/>
  <c r="K103" i="2"/>
  <c r="J103" i="2"/>
  <c r="I103" i="2"/>
  <c r="H103" i="2"/>
  <c r="G103" i="2"/>
  <c r="F103" i="2"/>
  <c r="E103" i="2"/>
  <c r="D103" i="2"/>
  <c r="C103" i="2"/>
  <c r="B103" i="2"/>
  <c r="A103" i="2"/>
  <c r="K102" i="2"/>
  <c r="J102" i="2"/>
  <c r="I102" i="2"/>
  <c r="H102" i="2"/>
  <c r="G102" i="2"/>
  <c r="F102" i="2"/>
  <c r="E102" i="2"/>
  <c r="D102" i="2"/>
  <c r="C102" i="2"/>
  <c r="B102" i="2"/>
  <c r="A102" i="2"/>
  <c r="K101" i="2"/>
  <c r="J101" i="2"/>
  <c r="I101" i="2"/>
  <c r="H101" i="2"/>
  <c r="G101" i="2"/>
  <c r="F101" i="2"/>
  <c r="E101" i="2"/>
  <c r="D101" i="2"/>
  <c r="C101" i="2"/>
  <c r="B101" i="2"/>
  <c r="A101" i="2"/>
  <c r="K100" i="2"/>
  <c r="J100" i="2"/>
  <c r="J78" i="3" s="1"/>
  <c r="I100" i="2"/>
  <c r="I78" i="3" s="1"/>
  <c r="H100" i="2"/>
  <c r="G100" i="2"/>
  <c r="F100" i="2"/>
  <c r="E100" i="2"/>
  <c r="E78" i="3" s="1"/>
  <c r="D100" i="2"/>
  <c r="D78" i="3" s="1"/>
  <c r="C100" i="2"/>
  <c r="B100" i="2"/>
  <c r="B78" i="3" s="1"/>
  <c r="A100" i="2"/>
  <c r="K99" i="2"/>
  <c r="J99" i="2"/>
  <c r="I99" i="2"/>
  <c r="H99" i="2"/>
  <c r="G99" i="2"/>
  <c r="F99" i="2"/>
  <c r="E99" i="2"/>
  <c r="D99" i="2"/>
  <c r="C99" i="2"/>
  <c r="B99" i="2"/>
  <c r="A99" i="2"/>
  <c r="K98" i="2"/>
  <c r="J98" i="2"/>
  <c r="I98" i="2"/>
  <c r="H98" i="2"/>
  <c r="G98" i="2"/>
  <c r="F98" i="2"/>
  <c r="E98" i="2"/>
  <c r="D98" i="2"/>
  <c r="C98" i="2"/>
  <c r="B98" i="2"/>
  <c r="A98" i="2"/>
  <c r="A97" i="2"/>
  <c r="K95" i="2"/>
  <c r="K37" i="3" s="1"/>
  <c r="J95" i="2"/>
  <c r="J37" i="3" s="1"/>
  <c r="I95" i="2"/>
  <c r="I37" i="3" s="1"/>
  <c r="H95" i="2"/>
  <c r="H37" i="3" s="1"/>
  <c r="G95" i="2"/>
  <c r="G37" i="3" s="1"/>
  <c r="F95" i="2"/>
  <c r="F37" i="3" s="1"/>
  <c r="E95" i="2"/>
  <c r="E37" i="3" s="1"/>
  <c r="D95" i="2"/>
  <c r="D37" i="3" s="1"/>
  <c r="C95" i="2"/>
  <c r="C37" i="3" s="1"/>
  <c r="B95" i="2"/>
  <c r="B37" i="3" s="1"/>
  <c r="A95" i="2"/>
  <c r="K94" i="2"/>
  <c r="J94" i="2"/>
  <c r="I94" i="2"/>
  <c r="H94" i="2"/>
  <c r="G94" i="2"/>
  <c r="F94" i="2"/>
  <c r="E94" i="2"/>
  <c r="D94" i="2"/>
  <c r="C94" i="2"/>
  <c r="B94" i="2"/>
  <c r="A94" i="2"/>
  <c r="K93" i="2"/>
  <c r="J93" i="2"/>
  <c r="I93" i="2"/>
  <c r="H93" i="2"/>
  <c r="G93" i="2"/>
  <c r="F93" i="2"/>
  <c r="E93" i="2"/>
  <c r="D93" i="2"/>
  <c r="C93" i="2"/>
  <c r="B93" i="2"/>
  <c r="A93" i="2"/>
  <c r="K92" i="2"/>
  <c r="J92" i="2"/>
  <c r="I92" i="2"/>
  <c r="H92" i="2"/>
  <c r="G92" i="2"/>
  <c r="F92" i="2"/>
  <c r="E92" i="2"/>
  <c r="D92" i="2"/>
  <c r="C92" i="2"/>
  <c r="B92" i="2"/>
  <c r="A92" i="2"/>
  <c r="K91" i="2"/>
  <c r="J91" i="2"/>
  <c r="I91" i="2"/>
  <c r="H91" i="2"/>
  <c r="G91" i="2"/>
  <c r="F91" i="2"/>
  <c r="E91" i="2"/>
  <c r="D91" i="2"/>
  <c r="C91" i="2"/>
  <c r="B91" i="2"/>
  <c r="A91" i="2"/>
  <c r="K90" i="2"/>
  <c r="J90" i="2"/>
  <c r="I90" i="2"/>
  <c r="H90" i="2"/>
  <c r="G90" i="2"/>
  <c r="F90" i="2"/>
  <c r="E90" i="2"/>
  <c r="D90" i="2"/>
  <c r="C90" i="2"/>
  <c r="B90" i="2"/>
  <c r="A90" i="2"/>
  <c r="K89" i="2"/>
  <c r="J89" i="2"/>
  <c r="I89" i="2"/>
  <c r="H89" i="2"/>
  <c r="G89" i="2"/>
  <c r="F89" i="2"/>
  <c r="E89" i="2"/>
  <c r="D89" i="2"/>
  <c r="C89" i="2"/>
  <c r="B89" i="2"/>
  <c r="A89" i="2"/>
  <c r="K88" i="2"/>
  <c r="K31" i="3" s="1"/>
  <c r="L52" i="4" s="1"/>
  <c r="L54" i="4" s="1"/>
  <c r="J88" i="2"/>
  <c r="I88" i="2"/>
  <c r="I31" i="3" s="1"/>
  <c r="H88" i="2"/>
  <c r="G88" i="2"/>
  <c r="F88" i="2"/>
  <c r="E88" i="2"/>
  <c r="D88" i="2"/>
  <c r="D31" i="3" s="1"/>
  <c r="C88" i="2"/>
  <c r="C31" i="3" s="1"/>
  <c r="D52" i="4" s="1"/>
  <c r="B88" i="2"/>
  <c r="A88" i="2"/>
  <c r="K87" i="2"/>
  <c r="K30" i="3" s="1"/>
  <c r="J87" i="2"/>
  <c r="J30" i="3" s="1"/>
  <c r="I87" i="2"/>
  <c r="I30" i="3" s="1"/>
  <c r="H87" i="2"/>
  <c r="H30" i="3" s="1"/>
  <c r="G87" i="2"/>
  <c r="G30" i="3" s="1"/>
  <c r="H39" i="4" s="1"/>
  <c r="F87" i="2"/>
  <c r="F30" i="3" s="1"/>
  <c r="E87" i="2"/>
  <c r="E30" i="3" s="1"/>
  <c r="D87" i="2"/>
  <c r="D30" i="3" s="1"/>
  <c r="C87" i="2"/>
  <c r="C30" i="3" s="1"/>
  <c r="B87" i="2"/>
  <c r="B30" i="3" s="1"/>
  <c r="A87" i="2"/>
  <c r="K86" i="2"/>
  <c r="J86" i="2"/>
  <c r="I86" i="2"/>
  <c r="H86" i="2"/>
  <c r="G86" i="2"/>
  <c r="F86" i="2"/>
  <c r="E86" i="2"/>
  <c r="D86" i="2"/>
  <c r="C86" i="2"/>
  <c r="B86" i="2"/>
  <c r="A86" i="2"/>
  <c r="K85" i="2"/>
  <c r="J85" i="2"/>
  <c r="I85" i="2"/>
  <c r="H85" i="2"/>
  <c r="G85" i="2"/>
  <c r="F85" i="2"/>
  <c r="E85" i="2"/>
  <c r="D85" i="2"/>
  <c r="C85" i="2"/>
  <c r="B85" i="2"/>
  <c r="A85" i="2"/>
  <c r="K84" i="2"/>
  <c r="J84" i="2"/>
  <c r="I84" i="2"/>
  <c r="H84" i="2"/>
  <c r="G84" i="2"/>
  <c r="F84" i="2"/>
  <c r="E84" i="2"/>
  <c r="D84" i="2"/>
  <c r="C84" i="2"/>
  <c r="B84" i="2"/>
  <c r="A84" i="2"/>
  <c r="K83" i="2"/>
  <c r="J83" i="2"/>
  <c r="I83" i="2"/>
  <c r="H83" i="2"/>
  <c r="G83" i="2"/>
  <c r="F83" i="2"/>
  <c r="E83" i="2"/>
  <c r="D83" i="2"/>
  <c r="C83" i="2"/>
  <c r="B83" i="2"/>
  <c r="A83" i="2"/>
  <c r="K82" i="2"/>
  <c r="J82" i="2"/>
  <c r="I82" i="2"/>
  <c r="H82" i="2"/>
  <c r="G82" i="2"/>
  <c r="F82" i="2"/>
  <c r="E82" i="2"/>
  <c r="D82" i="2"/>
  <c r="C82" i="2"/>
  <c r="B82" i="2"/>
  <c r="A82" i="2"/>
  <c r="K81" i="2"/>
  <c r="J81" i="2"/>
  <c r="I81" i="2"/>
  <c r="H81" i="2"/>
  <c r="G81" i="2"/>
  <c r="F81" i="2"/>
  <c r="E81" i="2"/>
  <c r="D81" i="2"/>
  <c r="C81" i="2"/>
  <c r="B81" i="2"/>
  <c r="A81" i="2"/>
  <c r="K80" i="2"/>
  <c r="J80" i="2"/>
  <c r="I80" i="2"/>
  <c r="H80" i="2"/>
  <c r="G80" i="2"/>
  <c r="F80" i="2"/>
  <c r="E80" i="2"/>
  <c r="D80" i="2"/>
  <c r="C80" i="2"/>
  <c r="B80" i="2"/>
  <c r="A80" i="2"/>
  <c r="K79" i="2"/>
  <c r="J79" i="2"/>
  <c r="I79" i="2"/>
  <c r="H79" i="2"/>
  <c r="G79" i="2"/>
  <c r="F79" i="2"/>
  <c r="E79" i="2"/>
  <c r="D79" i="2"/>
  <c r="C79" i="2"/>
  <c r="B79" i="2"/>
  <c r="A79" i="2"/>
  <c r="K78" i="2"/>
  <c r="J78" i="2"/>
  <c r="I78" i="2"/>
  <c r="H78" i="2"/>
  <c r="G78" i="2"/>
  <c r="F78" i="2"/>
  <c r="E78" i="2"/>
  <c r="D78" i="2"/>
  <c r="C78" i="2"/>
  <c r="B78" i="2"/>
  <c r="A78" i="2"/>
  <c r="K77" i="2"/>
  <c r="J77" i="2"/>
  <c r="I77" i="2"/>
  <c r="H77" i="2"/>
  <c r="G77" i="2"/>
  <c r="F77" i="2"/>
  <c r="E77" i="2"/>
  <c r="D77" i="2"/>
  <c r="C77" i="2"/>
  <c r="B77" i="2"/>
  <c r="A77" i="2"/>
  <c r="K76" i="2"/>
  <c r="J76" i="2"/>
  <c r="I76" i="2"/>
  <c r="H76" i="2"/>
  <c r="G76" i="2"/>
  <c r="F76" i="2"/>
  <c r="E76" i="2"/>
  <c r="D76" i="2"/>
  <c r="C76" i="2"/>
  <c r="B76" i="2"/>
  <c r="A76" i="2"/>
  <c r="K75" i="2"/>
  <c r="J75" i="2"/>
  <c r="I75" i="2"/>
  <c r="H75" i="2"/>
  <c r="G75" i="2"/>
  <c r="F75" i="2"/>
  <c r="E75" i="2"/>
  <c r="D75" i="2"/>
  <c r="C75" i="2"/>
  <c r="B75" i="2"/>
  <c r="A75" i="2"/>
  <c r="K74" i="2"/>
  <c r="J74" i="2"/>
  <c r="I74" i="2"/>
  <c r="H74" i="2"/>
  <c r="G74" i="2"/>
  <c r="F74" i="2"/>
  <c r="E74" i="2"/>
  <c r="D74" i="2"/>
  <c r="C74" i="2"/>
  <c r="B74" i="2"/>
  <c r="A74" i="2"/>
  <c r="K73" i="2"/>
  <c r="J73" i="2"/>
  <c r="I73" i="2"/>
  <c r="H73" i="2"/>
  <c r="G73" i="2"/>
  <c r="F73" i="2"/>
  <c r="E73" i="2"/>
  <c r="D73" i="2"/>
  <c r="C73" i="2"/>
  <c r="B73" i="2"/>
  <c r="A73" i="2"/>
  <c r="K72" i="2"/>
  <c r="J72" i="2"/>
  <c r="I72" i="2"/>
  <c r="H72" i="2"/>
  <c r="G72" i="2"/>
  <c r="F72" i="2"/>
  <c r="E72" i="2"/>
  <c r="D72" i="2"/>
  <c r="C72" i="2"/>
  <c r="B72" i="2"/>
  <c r="A72" i="2"/>
  <c r="K71" i="2"/>
  <c r="J71" i="2"/>
  <c r="I71" i="2"/>
  <c r="I20" i="3" s="1"/>
  <c r="H71" i="2"/>
  <c r="H20" i="3" s="1"/>
  <c r="G71" i="2"/>
  <c r="G20" i="3" s="1"/>
  <c r="F71" i="2"/>
  <c r="F20" i="3" s="1"/>
  <c r="E71" i="2"/>
  <c r="D71" i="2"/>
  <c r="C71" i="2"/>
  <c r="B71" i="2"/>
  <c r="A71" i="2"/>
  <c r="K70" i="2"/>
  <c r="J70" i="2"/>
  <c r="I70" i="2"/>
  <c r="H70" i="2"/>
  <c r="G70" i="2"/>
  <c r="F70" i="2"/>
  <c r="E70" i="2"/>
  <c r="D70" i="2"/>
  <c r="C70" i="2"/>
  <c r="B70" i="2"/>
  <c r="A70" i="2"/>
  <c r="K69" i="2"/>
  <c r="K19" i="3" s="1"/>
  <c r="J69" i="2"/>
  <c r="J19" i="3" s="1"/>
  <c r="I69" i="2"/>
  <c r="H69" i="2"/>
  <c r="G69" i="2"/>
  <c r="F69" i="2"/>
  <c r="F19" i="3" s="1"/>
  <c r="E69" i="2"/>
  <c r="E19" i="3" s="1"/>
  <c r="D69" i="2"/>
  <c r="D19" i="3" s="1"/>
  <c r="C69" i="2"/>
  <c r="C19" i="3" s="1"/>
  <c r="B69" i="2"/>
  <c r="B19" i="3" s="1"/>
  <c r="A69" i="2"/>
  <c r="K68" i="2"/>
  <c r="J68" i="2"/>
  <c r="I68" i="2"/>
  <c r="H68" i="2"/>
  <c r="G68" i="2"/>
  <c r="F68" i="2"/>
  <c r="E68" i="2"/>
  <c r="D68" i="2"/>
  <c r="C68" i="2"/>
  <c r="B68" i="2"/>
  <c r="A68" i="2"/>
  <c r="K67" i="2"/>
  <c r="J67" i="2"/>
  <c r="I67" i="2"/>
  <c r="H67" i="2"/>
  <c r="G67" i="2"/>
  <c r="F67" i="2"/>
  <c r="E67" i="2"/>
  <c r="D67" i="2"/>
  <c r="C67" i="2"/>
  <c r="B67" i="2"/>
  <c r="A67" i="2"/>
  <c r="K66" i="2"/>
  <c r="J66" i="2"/>
  <c r="I66" i="2"/>
  <c r="H66" i="2"/>
  <c r="G66" i="2"/>
  <c r="F66" i="2"/>
  <c r="E66" i="2"/>
  <c r="D66" i="2"/>
  <c r="C66" i="2"/>
  <c r="B66" i="2"/>
  <c r="A66" i="2"/>
  <c r="K65" i="2"/>
  <c r="J65" i="2"/>
  <c r="I65" i="2"/>
  <c r="H65" i="2"/>
  <c r="G65" i="2"/>
  <c r="F65" i="2"/>
  <c r="E65" i="2"/>
  <c r="D65" i="2"/>
  <c r="C65" i="2"/>
  <c r="B65" i="2"/>
  <c r="A65" i="2"/>
  <c r="K64" i="2"/>
  <c r="J64" i="2"/>
  <c r="I64" i="2"/>
  <c r="H64" i="2"/>
  <c r="G64" i="2"/>
  <c r="F64" i="2"/>
  <c r="E64" i="2"/>
  <c r="D64" i="2"/>
  <c r="C64" i="2"/>
  <c r="B64" i="2"/>
  <c r="A64" i="2"/>
  <c r="K63" i="2"/>
  <c r="J63" i="2"/>
  <c r="I63" i="2"/>
  <c r="H63" i="2"/>
  <c r="G63" i="2"/>
  <c r="F63" i="2"/>
  <c r="E63" i="2"/>
  <c r="D63" i="2"/>
  <c r="C63" i="2"/>
  <c r="B63" i="2"/>
  <c r="A63" i="2"/>
  <c r="K62" i="2"/>
  <c r="J62" i="2"/>
  <c r="I62" i="2"/>
  <c r="H62" i="2"/>
  <c r="G62" i="2"/>
  <c r="F62" i="2"/>
  <c r="E62" i="2"/>
  <c r="D62" i="2"/>
  <c r="C62" i="2"/>
  <c r="B62" i="2"/>
  <c r="A62" i="2"/>
  <c r="K61" i="2"/>
  <c r="J61" i="2"/>
  <c r="I61" i="2"/>
  <c r="H61" i="2"/>
  <c r="G61" i="2"/>
  <c r="F61" i="2"/>
  <c r="E61" i="2"/>
  <c r="D61" i="2"/>
  <c r="C61" i="2"/>
  <c r="B61" i="2"/>
  <c r="A61" i="2"/>
  <c r="K60" i="2"/>
  <c r="J60" i="2"/>
  <c r="I60" i="2"/>
  <c r="H60" i="2"/>
  <c r="G60" i="2"/>
  <c r="F60" i="2"/>
  <c r="E60" i="2"/>
  <c r="D60" i="2"/>
  <c r="C60" i="2"/>
  <c r="B60" i="2"/>
  <c r="A60" i="2"/>
  <c r="K59" i="2"/>
  <c r="K5" i="3" s="1"/>
  <c r="J59" i="2"/>
  <c r="J5" i="3" s="1"/>
  <c r="I59" i="2"/>
  <c r="H59" i="2"/>
  <c r="H5" i="3" s="1"/>
  <c r="G59" i="2"/>
  <c r="G5" i="3" s="1"/>
  <c r="F59" i="2"/>
  <c r="E59" i="2"/>
  <c r="D59" i="2"/>
  <c r="D5" i="3" s="1"/>
  <c r="C59" i="2"/>
  <c r="C5" i="3" s="1"/>
  <c r="B59" i="2"/>
  <c r="B5" i="3" s="1"/>
  <c r="A59" i="2"/>
  <c r="K58" i="2"/>
  <c r="J58" i="2"/>
  <c r="I58" i="2"/>
  <c r="H58" i="2"/>
  <c r="G58" i="2"/>
  <c r="F58" i="2"/>
  <c r="E58" i="2"/>
  <c r="D58" i="2"/>
  <c r="C58" i="2"/>
  <c r="B58" i="2"/>
  <c r="A58" i="2"/>
  <c r="K57" i="2"/>
  <c r="J57" i="2"/>
  <c r="I57" i="2"/>
  <c r="H57" i="2"/>
  <c r="G57" i="2"/>
  <c r="F57" i="2"/>
  <c r="E57" i="2"/>
  <c r="D57" i="2"/>
  <c r="C57" i="2"/>
  <c r="B57" i="2"/>
  <c r="A57" i="2"/>
  <c r="K56" i="2"/>
  <c r="K7" i="3" s="1"/>
  <c r="L13" i="4" s="1"/>
  <c r="J56" i="2"/>
  <c r="I56" i="2"/>
  <c r="I7" i="3" s="1"/>
  <c r="H56" i="2"/>
  <c r="G56" i="2"/>
  <c r="F56" i="2"/>
  <c r="E56" i="2"/>
  <c r="D56" i="2"/>
  <c r="D7" i="3" s="1"/>
  <c r="C56" i="2"/>
  <c r="C7" i="3" s="1"/>
  <c r="D13" i="4" s="1"/>
  <c r="B56" i="2"/>
  <c r="A56" i="2"/>
  <c r="K55" i="2"/>
  <c r="J55" i="2"/>
  <c r="I55" i="2"/>
  <c r="H55" i="2"/>
  <c r="G55" i="2"/>
  <c r="F55" i="2"/>
  <c r="E55" i="2"/>
  <c r="D55" i="2"/>
  <c r="C55" i="2"/>
  <c r="B55" i="2"/>
  <c r="A55" i="2"/>
  <c r="K54" i="2"/>
  <c r="J54" i="2"/>
  <c r="I54" i="2"/>
  <c r="H54" i="2"/>
  <c r="G54" i="2"/>
  <c r="F54" i="2"/>
  <c r="E54" i="2"/>
  <c r="D54" i="2"/>
  <c r="C54" i="2"/>
  <c r="B54" i="2"/>
  <c r="A54" i="2"/>
  <c r="K53" i="2"/>
  <c r="J53" i="2"/>
  <c r="I53" i="2"/>
  <c r="H53" i="2"/>
  <c r="G53" i="2"/>
  <c r="F53" i="2"/>
  <c r="E53" i="2"/>
  <c r="D53" i="2"/>
  <c r="C53" i="2"/>
  <c r="B53" i="2"/>
  <c r="A53" i="2"/>
  <c r="K52" i="2"/>
  <c r="J52" i="2"/>
  <c r="I52" i="2"/>
  <c r="H52" i="2"/>
  <c r="H6" i="3" s="1"/>
  <c r="G52" i="2"/>
  <c r="F52" i="2"/>
  <c r="E52" i="2"/>
  <c r="E6" i="3" s="1"/>
  <c r="D52" i="2"/>
  <c r="C52" i="2"/>
  <c r="B52" i="2"/>
  <c r="A52" i="2"/>
  <c r="K51" i="2"/>
  <c r="J51" i="2"/>
  <c r="I51" i="2"/>
  <c r="H51" i="2"/>
  <c r="G51" i="2"/>
  <c r="F51" i="2"/>
  <c r="E51" i="2"/>
  <c r="D51" i="2"/>
  <c r="C51" i="2"/>
  <c r="B51" i="2"/>
  <c r="A51" i="2"/>
  <c r="K50" i="2"/>
  <c r="J50" i="2"/>
  <c r="I50" i="2"/>
  <c r="H50" i="2"/>
  <c r="G50" i="2"/>
  <c r="F50" i="2"/>
  <c r="E50" i="2"/>
  <c r="D50" i="2"/>
  <c r="C50" i="2"/>
  <c r="B50" i="2"/>
  <c r="A50" i="2"/>
  <c r="K48" i="2"/>
  <c r="J48" i="2"/>
  <c r="I48" i="2"/>
  <c r="H48" i="2"/>
  <c r="G48" i="2"/>
  <c r="F48" i="2"/>
  <c r="E48" i="2"/>
  <c r="D48" i="2"/>
  <c r="C48" i="2"/>
  <c r="B48" i="2"/>
  <c r="A48" i="2"/>
  <c r="K47" i="2"/>
  <c r="K32" i="3" s="1"/>
  <c r="J47" i="2"/>
  <c r="I47" i="2"/>
  <c r="I32" i="3" s="1"/>
  <c r="H47" i="2"/>
  <c r="G47" i="2"/>
  <c r="F47" i="2"/>
  <c r="F32" i="3" s="1"/>
  <c r="E47" i="2"/>
  <c r="E32" i="3" s="1"/>
  <c r="D47" i="2"/>
  <c r="D32" i="3" s="1"/>
  <c r="C47" i="2"/>
  <c r="C32" i="3" s="1"/>
  <c r="B47" i="2"/>
  <c r="A47" i="2"/>
  <c r="K46" i="2"/>
  <c r="J46" i="2"/>
  <c r="I46" i="2"/>
  <c r="H46" i="2"/>
  <c r="G46" i="2"/>
  <c r="F46" i="2"/>
  <c r="E46" i="2"/>
  <c r="D46" i="2"/>
  <c r="C46" i="2"/>
  <c r="B46" i="2"/>
  <c r="A46" i="2"/>
  <c r="K45" i="2"/>
  <c r="J45" i="2"/>
  <c r="I45" i="2"/>
  <c r="H45" i="2"/>
  <c r="G45" i="2"/>
  <c r="F45" i="2"/>
  <c r="E45" i="2"/>
  <c r="D45" i="2"/>
  <c r="C45" i="2"/>
  <c r="B45" i="2"/>
  <c r="A45" i="2"/>
  <c r="K44" i="2"/>
  <c r="J44" i="2"/>
  <c r="I44" i="2"/>
  <c r="H44" i="2"/>
  <c r="G44" i="2"/>
  <c r="F44" i="2"/>
  <c r="E44" i="2"/>
  <c r="D44" i="2"/>
  <c r="C44" i="2"/>
  <c r="B44" i="2"/>
  <c r="A44" i="2"/>
  <c r="K43" i="2"/>
  <c r="J43" i="2"/>
  <c r="I43" i="2"/>
  <c r="H43" i="2"/>
  <c r="G43" i="2"/>
  <c r="F43" i="2"/>
  <c r="E43" i="2"/>
  <c r="D43" i="2"/>
  <c r="C43" i="2"/>
  <c r="B43" i="2"/>
  <c r="A43" i="2"/>
  <c r="K42" i="2"/>
  <c r="J42" i="2"/>
  <c r="I42" i="2"/>
  <c r="H42" i="2"/>
  <c r="G42" i="2"/>
  <c r="F42" i="2"/>
  <c r="E42" i="2"/>
  <c r="D42" i="2"/>
  <c r="C42" i="2"/>
  <c r="B42" i="2"/>
  <c r="A42" i="2"/>
  <c r="K41" i="2"/>
  <c r="K14" i="3" s="1"/>
  <c r="K15" i="3" s="1"/>
  <c r="L20" i="4" s="1"/>
  <c r="J41" i="2"/>
  <c r="I41" i="2"/>
  <c r="I14" i="3" s="1"/>
  <c r="I15" i="3" s="1"/>
  <c r="H41" i="2"/>
  <c r="G41" i="2"/>
  <c r="G14" i="3" s="1"/>
  <c r="G15" i="3" s="1"/>
  <c r="F41" i="2"/>
  <c r="F14" i="3" s="1"/>
  <c r="F15" i="3" s="1"/>
  <c r="E41" i="2"/>
  <c r="E14" i="3" s="1"/>
  <c r="E15" i="3" s="1"/>
  <c r="F20" i="4" s="1"/>
  <c r="D41" i="2"/>
  <c r="C41" i="2"/>
  <c r="C14" i="3" s="1"/>
  <c r="C15" i="3" s="1"/>
  <c r="B41" i="2"/>
  <c r="A41" i="2"/>
  <c r="K40" i="2"/>
  <c r="J40" i="2"/>
  <c r="I40" i="2"/>
  <c r="H40" i="2"/>
  <c r="G40" i="2"/>
  <c r="F40" i="2"/>
  <c r="E40" i="2"/>
  <c r="D40" i="2"/>
  <c r="C40" i="2"/>
  <c r="B40" i="2"/>
  <c r="A40" i="2"/>
  <c r="K39" i="2"/>
  <c r="J39" i="2"/>
  <c r="I39" i="2"/>
  <c r="H39" i="2"/>
  <c r="G39" i="2"/>
  <c r="F39" i="2"/>
  <c r="E39" i="2"/>
  <c r="D39" i="2"/>
  <c r="C39" i="2"/>
  <c r="B39" i="2"/>
  <c r="A39" i="2"/>
  <c r="K38" i="2"/>
  <c r="J38" i="2"/>
  <c r="I38" i="2"/>
  <c r="H38" i="2"/>
  <c r="G38" i="2"/>
  <c r="F38" i="2"/>
  <c r="E38" i="2"/>
  <c r="D38" i="2"/>
  <c r="C38" i="2"/>
  <c r="B38" i="2"/>
  <c r="A38" i="2"/>
  <c r="K37" i="2"/>
  <c r="J37" i="2"/>
  <c r="I37" i="2"/>
  <c r="H37" i="2"/>
  <c r="G37" i="2"/>
  <c r="F37" i="2"/>
  <c r="E37" i="2"/>
  <c r="D37" i="2"/>
  <c r="C37" i="2"/>
  <c r="B37" i="2"/>
  <c r="A37" i="2"/>
  <c r="K36" i="2"/>
  <c r="J36" i="2"/>
  <c r="I36" i="2"/>
  <c r="H36" i="2"/>
  <c r="G36" i="2"/>
  <c r="F36" i="2"/>
  <c r="E36" i="2"/>
  <c r="D36" i="2"/>
  <c r="C36" i="2"/>
  <c r="B36" i="2"/>
  <c r="A36" i="2"/>
  <c r="K35" i="2"/>
  <c r="J35" i="2"/>
  <c r="I35" i="2"/>
  <c r="H35" i="2"/>
  <c r="G35" i="2"/>
  <c r="F35" i="2"/>
  <c r="E35" i="2"/>
  <c r="D35" i="2"/>
  <c r="C35" i="2"/>
  <c r="B35" i="2"/>
  <c r="A35" i="2"/>
  <c r="K34" i="2"/>
  <c r="J34" i="2"/>
  <c r="I34" i="2"/>
  <c r="H34" i="2"/>
  <c r="G34" i="2"/>
  <c r="F34" i="2"/>
  <c r="E34" i="2"/>
  <c r="D34" i="2"/>
  <c r="C34" i="2"/>
  <c r="B34" i="2"/>
  <c r="A34" i="2"/>
  <c r="K33" i="2"/>
  <c r="K26" i="3" s="1"/>
  <c r="J33" i="2"/>
  <c r="I33" i="2"/>
  <c r="I26" i="3" s="1"/>
  <c r="H33" i="2"/>
  <c r="G33" i="2"/>
  <c r="F33" i="2"/>
  <c r="F26" i="3" s="1"/>
  <c r="E33" i="2"/>
  <c r="D33" i="2"/>
  <c r="C33" i="2"/>
  <c r="C26" i="3" s="1"/>
  <c r="B33" i="2"/>
  <c r="A33" i="2"/>
  <c r="K32" i="2"/>
  <c r="J32" i="2"/>
  <c r="I32" i="2"/>
  <c r="H32" i="2"/>
  <c r="G32" i="2"/>
  <c r="F32" i="2"/>
  <c r="E32" i="2"/>
  <c r="D32" i="2"/>
  <c r="C32" i="2"/>
  <c r="B32" i="2"/>
  <c r="A32" i="2"/>
  <c r="K31" i="2"/>
  <c r="J31" i="2"/>
  <c r="I31" i="2"/>
  <c r="H31" i="2"/>
  <c r="G31" i="2"/>
  <c r="F31" i="2"/>
  <c r="E31" i="2"/>
  <c r="D31" i="2"/>
  <c r="C31" i="2"/>
  <c r="B31" i="2"/>
  <c r="A31" i="2"/>
  <c r="K30" i="2"/>
  <c r="J30" i="2"/>
  <c r="I30" i="2"/>
  <c r="H30" i="2"/>
  <c r="G30" i="2"/>
  <c r="F30" i="2"/>
  <c r="E30" i="2"/>
  <c r="D30" i="2"/>
  <c r="C30" i="2"/>
  <c r="B30" i="2"/>
  <c r="A30" i="2"/>
  <c r="K29" i="2"/>
  <c r="J29" i="2"/>
  <c r="J81" i="3" s="1"/>
  <c r="I29" i="2"/>
  <c r="I81" i="3" s="1"/>
  <c r="J44" i="4" s="1"/>
  <c r="H29" i="2"/>
  <c r="G29" i="2"/>
  <c r="G81" i="3" s="1"/>
  <c r="F29" i="2"/>
  <c r="E29" i="2"/>
  <c r="D29" i="2"/>
  <c r="C29" i="2"/>
  <c r="B29" i="2"/>
  <c r="B81" i="3" s="1"/>
  <c r="A29" i="2"/>
  <c r="K28" i="2"/>
  <c r="J28" i="2"/>
  <c r="I28" i="2"/>
  <c r="H28" i="2"/>
  <c r="G28" i="2"/>
  <c r="F28" i="2"/>
  <c r="E28" i="2"/>
  <c r="D28" i="2"/>
  <c r="C28" i="2"/>
  <c r="B28" i="2"/>
  <c r="A28" i="2"/>
  <c r="K27" i="2"/>
  <c r="K25" i="3" s="1"/>
  <c r="K27" i="3" s="1"/>
  <c r="J27" i="2"/>
  <c r="I27" i="2"/>
  <c r="H27" i="2"/>
  <c r="H25" i="3" s="1"/>
  <c r="G27" i="2"/>
  <c r="G25" i="3" s="1"/>
  <c r="F27" i="2"/>
  <c r="E27" i="2"/>
  <c r="E25" i="3" s="1"/>
  <c r="D27" i="2"/>
  <c r="C27" i="2"/>
  <c r="C25" i="3" s="1"/>
  <c r="C27" i="3" s="1"/>
  <c r="B27" i="2"/>
  <c r="A27" i="2"/>
  <c r="K26" i="2"/>
  <c r="J26" i="2"/>
  <c r="I26" i="2"/>
  <c r="H26" i="2"/>
  <c r="G26" i="2"/>
  <c r="F26" i="2"/>
  <c r="E26" i="2"/>
  <c r="D26" i="2"/>
  <c r="C26" i="2"/>
  <c r="B26" i="2"/>
  <c r="A26" i="2"/>
  <c r="K25" i="2"/>
  <c r="J25" i="2"/>
  <c r="I25" i="2"/>
  <c r="H25" i="2"/>
  <c r="G25" i="2"/>
  <c r="F25" i="2"/>
  <c r="E25" i="2"/>
  <c r="D25" i="2"/>
  <c r="C25" i="2"/>
  <c r="B25" i="2"/>
  <c r="A25" i="2"/>
  <c r="K24" i="2"/>
  <c r="J24" i="2"/>
  <c r="I24" i="2"/>
  <c r="H24" i="2"/>
  <c r="G24" i="2"/>
  <c r="F24" i="2"/>
  <c r="E24" i="2"/>
  <c r="D24" i="2"/>
  <c r="C24" i="2"/>
  <c r="B24" i="2"/>
  <c r="A24" i="2"/>
  <c r="K23" i="2"/>
  <c r="J23" i="2"/>
  <c r="I23" i="2"/>
  <c r="H23" i="2"/>
  <c r="G23" i="2"/>
  <c r="F23" i="2"/>
  <c r="E23" i="2"/>
  <c r="D23" i="2"/>
  <c r="C23" i="2"/>
  <c r="B23" i="2"/>
  <c r="A23" i="2"/>
  <c r="K22" i="2"/>
  <c r="J22" i="2"/>
  <c r="I22" i="2"/>
  <c r="H22" i="2"/>
  <c r="G22" i="2"/>
  <c r="F22" i="2"/>
  <c r="E22" i="2"/>
  <c r="D22" i="2"/>
  <c r="C22" i="2"/>
  <c r="B22" i="2"/>
  <c r="A22" i="2"/>
  <c r="K21" i="2"/>
  <c r="J21" i="2"/>
  <c r="I21" i="2"/>
  <c r="H21" i="2"/>
  <c r="G21" i="2"/>
  <c r="F21" i="2"/>
  <c r="E21" i="2"/>
  <c r="D21" i="2"/>
  <c r="C21" i="2"/>
  <c r="B21" i="2"/>
  <c r="A21" i="2"/>
  <c r="K20" i="2"/>
  <c r="J20" i="2"/>
  <c r="I20" i="2"/>
  <c r="H20" i="2"/>
  <c r="G20" i="2"/>
  <c r="F20" i="2"/>
  <c r="E20" i="2"/>
  <c r="D20" i="2"/>
  <c r="C20" i="2"/>
  <c r="B20" i="2"/>
  <c r="A20" i="2"/>
  <c r="K19" i="2"/>
  <c r="J19" i="2"/>
  <c r="I19" i="2"/>
  <c r="H19" i="2"/>
  <c r="G19" i="2"/>
  <c r="F19" i="2"/>
  <c r="E19" i="2"/>
  <c r="D19" i="2"/>
  <c r="C19" i="2"/>
  <c r="B19" i="2"/>
  <c r="A19" i="2"/>
  <c r="K18" i="2"/>
  <c r="J18" i="2"/>
  <c r="I18" i="2"/>
  <c r="H18" i="2"/>
  <c r="G18" i="2"/>
  <c r="F18" i="2"/>
  <c r="E18" i="2"/>
  <c r="D18" i="2"/>
  <c r="C18" i="2"/>
  <c r="B18" i="2"/>
  <c r="A18" i="2"/>
  <c r="K17" i="2"/>
  <c r="J17" i="2"/>
  <c r="I17" i="2"/>
  <c r="H17" i="2"/>
  <c r="G17" i="2"/>
  <c r="F17" i="2"/>
  <c r="E17" i="2"/>
  <c r="D17" i="2"/>
  <c r="C17" i="2"/>
  <c r="B17" i="2"/>
  <c r="A17" i="2"/>
  <c r="K16" i="2"/>
  <c r="K10" i="3" s="1"/>
  <c r="K12" i="3" s="1"/>
  <c r="J16" i="2"/>
  <c r="J10" i="3" s="1"/>
  <c r="J12" i="3" s="1"/>
  <c r="I16" i="2"/>
  <c r="I10" i="3" s="1"/>
  <c r="I12" i="3" s="1"/>
  <c r="H16" i="2"/>
  <c r="H10" i="3" s="1"/>
  <c r="H12" i="3" s="1"/>
  <c r="G16" i="2"/>
  <c r="G10" i="3" s="1"/>
  <c r="G12" i="3" s="1"/>
  <c r="F16" i="2"/>
  <c r="F10" i="3" s="1"/>
  <c r="F12" i="3" s="1"/>
  <c r="E16" i="2"/>
  <c r="E10" i="3" s="1"/>
  <c r="D16" i="2"/>
  <c r="D10" i="3" s="1"/>
  <c r="C16" i="2"/>
  <c r="C10" i="3" s="1"/>
  <c r="C12" i="3" s="1"/>
  <c r="B16" i="2"/>
  <c r="B10" i="3" s="1"/>
  <c r="B12" i="3" s="1"/>
  <c r="A16" i="2"/>
  <c r="K15" i="2"/>
  <c r="J15" i="2"/>
  <c r="I15" i="2"/>
  <c r="H15" i="2"/>
  <c r="G15" i="2"/>
  <c r="F15" i="2"/>
  <c r="E15" i="2"/>
  <c r="D15" i="2"/>
  <c r="C15" i="2"/>
  <c r="B15" i="2"/>
  <c r="A15" i="2"/>
  <c r="K14" i="2"/>
  <c r="J14" i="2"/>
  <c r="I14" i="2"/>
  <c r="H14" i="2"/>
  <c r="G14" i="2"/>
  <c r="F14" i="2"/>
  <c r="E14" i="2"/>
  <c r="D14" i="2"/>
  <c r="C14" i="2"/>
  <c r="B14" i="2"/>
  <c r="A14" i="2"/>
  <c r="K13" i="2"/>
  <c r="J13" i="2"/>
  <c r="I13" i="2"/>
  <c r="H13" i="2"/>
  <c r="G13" i="2"/>
  <c r="F13" i="2"/>
  <c r="E13" i="2"/>
  <c r="D13" i="2"/>
  <c r="C13" i="2"/>
  <c r="B13" i="2"/>
  <c r="A13" i="2"/>
  <c r="K12" i="2"/>
  <c r="J12" i="2"/>
  <c r="I12" i="2"/>
  <c r="H12" i="2"/>
  <c r="G12" i="2"/>
  <c r="F12" i="2"/>
  <c r="E12" i="2"/>
  <c r="D12" i="2"/>
  <c r="C12" i="2"/>
  <c r="B12" i="2"/>
  <c r="A12" i="2"/>
  <c r="K11" i="2"/>
  <c r="J11" i="2"/>
  <c r="I11" i="2"/>
  <c r="H11" i="2"/>
  <c r="G11" i="2"/>
  <c r="F11" i="2"/>
  <c r="E11" i="2"/>
  <c r="D11" i="2"/>
  <c r="C11" i="2"/>
  <c r="B11" i="2"/>
  <c r="A11" i="2"/>
  <c r="K10" i="2"/>
  <c r="J10" i="2"/>
  <c r="I10" i="2"/>
  <c r="H10" i="2"/>
  <c r="G10" i="2"/>
  <c r="F10" i="2"/>
  <c r="E10" i="2"/>
  <c r="D10" i="2"/>
  <c r="C10" i="2"/>
  <c r="B10" i="2"/>
  <c r="A10" i="2"/>
  <c r="K9" i="2"/>
  <c r="J9" i="2"/>
  <c r="I9" i="2"/>
  <c r="H9" i="2"/>
  <c r="G9" i="2"/>
  <c r="F9" i="2"/>
  <c r="E9" i="2"/>
  <c r="D9" i="2"/>
  <c r="C9" i="2"/>
  <c r="B9" i="2"/>
  <c r="A9" i="2"/>
  <c r="K8" i="2"/>
  <c r="J8" i="2"/>
  <c r="I8" i="2"/>
  <c r="H8" i="2"/>
  <c r="G8" i="2"/>
  <c r="F8" i="2"/>
  <c r="E8" i="2"/>
  <c r="D8" i="2"/>
  <c r="C8" i="2"/>
  <c r="B8" i="2"/>
  <c r="A8" i="2"/>
  <c r="K7" i="2"/>
  <c r="J7" i="2"/>
  <c r="I7" i="2"/>
  <c r="H7" i="2"/>
  <c r="G7" i="2"/>
  <c r="F7" i="2"/>
  <c r="E7" i="2"/>
  <c r="D7" i="2"/>
  <c r="C7" i="2"/>
  <c r="B7" i="2"/>
  <c r="A7" i="2"/>
  <c r="K6" i="2"/>
  <c r="K11" i="3" s="1"/>
  <c r="J6" i="2"/>
  <c r="J11" i="3" s="1"/>
  <c r="I6" i="2"/>
  <c r="I11" i="3" s="1"/>
  <c r="H6" i="2"/>
  <c r="H11" i="3" s="1"/>
  <c r="G6" i="2"/>
  <c r="G11" i="3" s="1"/>
  <c r="F6" i="2"/>
  <c r="F11" i="3" s="1"/>
  <c r="E6" i="2"/>
  <c r="E11" i="3" s="1"/>
  <c r="D6" i="2"/>
  <c r="D11" i="3" s="1"/>
  <c r="C6" i="2"/>
  <c r="C11" i="3" s="1"/>
  <c r="B6" i="2"/>
  <c r="B11" i="3" s="1"/>
  <c r="A6" i="2"/>
  <c r="K5" i="2"/>
  <c r="J5" i="2"/>
  <c r="I5" i="2"/>
  <c r="H5" i="2"/>
  <c r="G5" i="2"/>
  <c r="F5" i="2"/>
  <c r="E5" i="2"/>
  <c r="D5" i="2"/>
  <c r="C5" i="2"/>
  <c r="B5" i="2"/>
  <c r="A5" i="2"/>
  <c r="K3" i="2"/>
  <c r="J3" i="2"/>
  <c r="I3" i="2"/>
  <c r="H3" i="2"/>
  <c r="G3" i="2"/>
  <c r="F3" i="2"/>
  <c r="E3" i="2"/>
  <c r="D3" i="2"/>
  <c r="C3" i="2"/>
  <c r="B3" i="2"/>
  <c r="A3" i="2"/>
  <c r="K2" i="2"/>
  <c r="J2" i="2"/>
  <c r="I2" i="2"/>
  <c r="H2" i="2"/>
  <c r="G2" i="2"/>
  <c r="G76" i="3" s="1"/>
  <c r="F2" i="2"/>
  <c r="E2" i="2"/>
  <c r="D2" i="2"/>
  <c r="C2" i="2"/>
  <c r="B2" i="2"/>
  <c r="B39" i="3" s="1"/>
  <c r="A2" i="2"/>
  <c r="K1" i="2"/>
  <c r="J1" i="2"/>
  <c r="I1" i="2"/>
  <c r="J1" i="4" s="1"/>
  <c r="I1" i="5" s="1"/>
  <c r="I56" i="5" s="1"/>
  <c r="H1" i="2"/>
  <c r="G1" i="2"/>
  <c r="F1" i="2"/>
  <c r="E1" i="2"/>
  <c r="D1" i="2"/>
  <c r="C1" i="2"/>
  <c r="B1" i="2"/>
  <c r="H14" i="4" l="1"/>
  <c r="G33" i="5"/>
  <c r="G119" i="5" s="1"/>
  <c r="G51" i="3"/>
  <c r="H28" i="4"/>
  <c r="H6" i="4"/>
  <c r="H59" i="4" s="1"/>
  <c r="C20" i="5"/>
  <c r="F52" i="5"/>
  <c r="H19" i="4"/>
  <c r="G55" i="3"/>
  <c r="C45" i="5"/>
  <c r="K45" i="5"/>
  <c r="K156" i="5" s="1"/>
  <c r="K161" i="5" s="1"/>
  <c r="L25" i="4"/>
  <c r="K44" i="5"/>
  <c r="L61" i="4"/>
  <c r="K20" i="5"/>
  <c r="L26" i="4"/>
  <c r="K19" i="5"/>
  <c r="H11" i="4"/>
  <c r="G32" i="5"/>
  <c r="G115" i="5" s="1"/>
  <c r="E35" i="5"/>
  <c r="G45" i="5"/>
  <c r="H25" i="4"/>
  <c r="F39" i="4"/>
  <c r="K63" i="4"/>
  <c r="K29" i="4"/>
  <c r="C8" i="5"/>
  <c r="D7" i="5"/>
  <c r="D20" i="3"/>
  <c r="E79" i="3"/>
  <c r="F43" i="4" s="1"/>
  <c r="L19" i="4"/>
  <c r="J69" i="3"/>
  <c r="B65" i="3"/>
  <c r="B66" i="3" s="1"/>
  <c r="F39" i="3"/>
  <c r="F76" i="3"/>
  <c r="F25" i="3"/>
  <c r="F27" i="3" s="1"/>
  <c r="H81" i="3"/>
  <c r="I44" i="4" s="1"/>
  <c r="D26" i="3"/>
  <c r="D14" i="3"/>
  <c r="D15" i="3" s="1"/>
  <c r="E20" i="4" s="1"/>
  <c r="B32" i="3"/>
  <c r="J32" i="3"/>
  <c r="J73" i="4" s="1"/>
  <c r="F6" i="3"/>
  <c r="B7" i="3"/>
  <c r="C13" i="4" s="1"/>
  <c r="J7" i="3"/>
  <c r="K13" i="4" s="1"/>
  <c r="I5" i="3"/>
  <c r="I11" i="4" s="1"/>
  <c r="E20" i="3"/>
  <c r="B31" i="3"/>
  <c r="C52" i="4" s="1"/>
  <c r="J31" i="3"/>
  <c r="K52" i="4" s="1"/>
  <c r="C78" i="3"/>
  <c r="K78" i="3"/>
  <c r="I80" i="3"/>
  <c r="F79" i="3"/>
  <c r="G43" i="4" s="1"/>
  <c r="H49" i="5"/>
  <c r="I52" i="5"/>
  <c r="J47" i="4"/>
  <c r="E19" i="4"/>
  <c r="D55" i="3"/>
  <c r="C21" i="4"/>
  <c r="C65" i="3"/>
  <c r="C66" i="3" s="1"/>
  <c r="C94" i="3" s="1"/>
  <c r="K65" i="3"/>
  <c r="K66" i="3" s="1"/>
  <c r="K94" i="3" s="1"/>
  <c r="C59" i="3"/>
  <c r="K59" i="3"/>
  <c r="E116" i="3"/>
  <c r="D124" i="3"/>
  <c r="I1" i="3"/>
  <c r="G39" i="3"/>
  <c r="E26" i="3"/>
  <c r="D73" i="4"/>
  <c r="D36" i="4"/>
  <c r="L73" i="4"/>
  <c r="L36" i="4"/>
  <c r="G6" i="3"/>
  <c r="B32" i="5"/>
  <c r="B115" i="5" s="1"/>
  <c r="C11" i="4"/>
  <c r="J32" i="5"/>
  <c r="J115" i="5" s="1"/>
  <c r="K11" i="4"/>
  <c r="D21" i="3"/>
  <c r="G39" i="4"/>
  <c r="E46" i="4"/>
  <c r="C63" i="4"/>
  <c r="C29" i="4"/>
  <c r="G79" i="3"/>
  <c r="H43" i="4" s="1"/>
  <c r="B52" i="5"/>
  <c r="J52" i="5"/>
  <c r="C47" i="4"/>
  <c r="K47" i="4"/>
  <c r="D61" i="3"/>
  <c r="F19" i="4"/>
  <c r="E55" i="3"/>
  <c r="D69" i="3"/>
  <c r="B70" i="3"/>
  <c r="C38" i="4" s="1"/>
  <c r="J70" i="3"/>
  <c r="K38" i="4" s="1"/>
  <c r="F50" i="3"/>
  <c r="G15" i="4" s="1"/>
  <c r="C54" i="3"/>
  <c r="D21" i="4" s="1"/>
  <c r="K54" i="3"/>
  <c r="L21" i="4" s="1"/>
  <c r="H33" i="5"/>
  <c r="H119" i="5" s="1"/>
  <c r="I14" i="4"/>
  <c r="H51" i="3"/>
  <c r="D65" i="3"/>
  <c r="D66" i="3" s="1"/>
  <c r="D59" i="3"/>
  <c r="D62" i="3" s="1"/>
  <c r="E17" i="4" s="1"/>
  <c r="F116" i="3"/>
  <c r="E13" i="5"/>
  <c r="E125" i="5" s="1"/>
  <c r="F6" i="4"/>
  <c r="F59" i="4" s="1"/>
  <c r="F28" i="4"/>
  <c r="I17" i="5"/>
  <c r="I74" i="5" s="1"/>
  <c r="B137" i="3"/>
  <c r="J137" i="3"/>
  <c r="G218" i="5"/>
  <c r="G66" i="5"/>
  <c r="I111" i="3"/>
  <c r="H44" i="4"/>
  <c r="C1" i="4"/>
  <c r="B1" i="5" s="1"/>
  <c r="B56" i="5" s="1"/>
  <c r="B1" i="3"/>
  <c r="K1" i="4"/>
  <c r="J1" i="5" s="1"/>
  <c r="J56" i="5" s="1"/>
  <c r="J1" i="3"/>
  <c r="J25" i="4"/>
  <c r="I45" i="5"/>
  <c r="G20" i="4"/>
  <c r="E73" i="4"/>
  <c r="E36" i="4"/>
  <c r="E13" i="4"/>
  <c r="E21" i="3"/>
  <c r="D29" i="4"/>
  <c r="D63" i="4"/>
  <c r="K52" i="5"/>
  <c r="E43" i="5"/>
  <c r="F37" i="4"/>
  <c r="E21" i="4"/>
  <c r="J14" i="4"/>
  <c r="I33" i="5"/>
  <c r="I119" i="5" s="1"/>
  <c r="E22" i="5"/>
  <c r="E21" i="5"/>
  <c r="E62" i="3"/>
  <c r="E7" i="5"/>
  <c r="D8" i="5"/>
  <c r="G10" i="5"/>
  <c r="G11" i="5"/>
  <c r="G120" i="5" s="1"/>
  <c r="G120" i="3"/>
  <c r="G6" i="4"/>
  <c r="G59" i="4" s="1"/>
  <c r="G28" i="4"/>
  <c r="B17" i="5"/>
  <c r="B74" i="5" s="1"/>
  <c r="J17" i="5"/>
  <c r="J74" i="5" s="1"/>
  <c r="C28" i="5"/>
  <c r="C70" i="5" s="1"/>
  <c r="C140" i="3"/>
  <c r="D34" i="4" s="1"/>
  <c r="K28" i="5"/>
  <c r="K70" i="5" s="1"/>
  <c r="K140" i="3"/>
  <c r="L34" i="4" s="1"/>
  <c r="H66" i="5"/>
  <c r="H218" i="5"/>
  <c r="B76" i="3"/>
  <c r="G25" i="4"/>
  <c r="F45" i="5"/>
  <c r="F44" i="5"/>
  <c r="H35" i="5"/>
  <c r="D11" i="4"/>
  <c r="C32" i="5"/>
  <c r="C115" i="5" s="1"/>
  <c r="L29" i="4"/>
  <c r="L63" i="4"/>
  <c r="C81" i="3"/>
  <c r="F73" i="4"/>
  <c r="F36" i="4"/>
  <c r="I6" i="3"/>
  <c r="I12" i="4" s="1"/>
  <c r="E7" i="3"/>
  <c r="E54" i="3"/>
  <c r="K14" i="4"/>
  <c r="F65" i="3"/>
  <c r="F66" i="3" s="1"/>
  <c r="F62" i="4" s="1"/>
  <c r="F59" i="3"/>
  <c r="F62" i="3" s="1"/>
  <c r="F111" i="3"/>
  <c r="H116" i="3"/>
  <c r="I129" i="3"/>
  <c r="C17" i="5"/>
  <c r="C74" i="5" s="1"/>
  <c r="K17" i="5"/>
  <c r="K74" i="5" s="1"/>
  <c r="D137" i="3"/>
  <c r="I218" i="5"/>
  <c r="I66" i="5"/>
  <c r="I1" i="4"/>
  <c r="H1" i="5" s="1"/>
  <c r="H56" i="5" s="1"/>
  <c r="H1" i="3"/>
  <c r="E39" i="3"/>
  <c r="E76" i="3"/>
  <c r="C44" i="4"/>
  <c r="K32" i="5"/>
  <c r="K115" i="5" s="1"/>
  <c r="L11" i="4"/>
  <c r="C52" i="5"/>
  <c r="B25" i="3"/>
  <c r="J25" i="3"/>
  <c r="D81" i="3"/>
  <c r="E44" i="4" s="1"/>
  <c r="H26" i="3"/>
  <c r="H14" i="3"/>
  <c r="H15" i="3" s="1"/>
  <c r="I20" i="4" s="1"/>
  <c r="F31" i="3"/>
  <c r="E52" i="5"/>
  <c r="D49" i="5"/>
  <c r="G69" i="3"/>
  <c r="K48" i="3"/>
  <c r="J33" i="5" s="1"/>
  <c r="J119" i="5" s="1"/>
  <c r="G65" i="3"/>
  <c r="G66" i="3" s="1"/>
  <c r="G59" i="3"/>
  <c r="G62" i="3" s="1"/>
  <c r="H17" i="4" s="1"/>
  <c r="G111" i="3"/>
  <c r="B129" i="3"/>
  <c r="E27" i="3"/>
  <c r="J116" i="3"/>
  <c r="G19" i="4"/>
  <c r="E1" i="4"/>
  <c r="D1" i="5" s="1"/>
  <c r="D56" i="5" s="1"/>
  <c r="D1" i="3"/>
  <c r="I76" i="3"/>
  <c r="I39" i="3"/>
  <c r="K25" i="4"/>
  <c r="J45" i="5"/>
  <c r="I25" i="3"/>
  <c r="I27" i="3" s="1"/>
  <c r="F21" i="3"/>
  <c r="I39" i="4"/>
  <c r="E31" i="3"/>
  <c r="F52" i="4" s="1"/>
  <c r="F54" i="4" s="1"/>
  <c r="F78" i="3"/>
  <c r="F46" i="4" s="1"/>
  <c r="E63" i="4"/>
  <c r="E29" i="4"/>
  <c r="D52" i="5"/>
  <c r="F69" i="3"/>
  <c r="E42" i="5" s="1"/>
  <c r="D70" i="3"/>
  <c r="E38" i="4" s="1"/>
  <c r="F1" i="4"/>
  <c r="E1" i="5" s="1"/>
  <c r="E56" i="5" s="1"/>
  <c r="E1" i="3"/>
  <c r="J76" i="3"/>
  <c r="J39" i="3"/>
  <c r="F7" i="3"/>
  <c r="G13" i="4" s="1"/>
  <c r="J39" i="4"/>
  <c r="I33" i="3"/>
  <c r="G78" i="3"/>
  <c r="B79" i="3"/>
  <c r="C43" i="4" s="1"/>
  <c r="I19" i="4"/>
  <c r="I50" i="3"/>
  <c r="C48" i="3"/>
  <c r="B33" i="5" s="1"/>
  <c r="B119" i="5" s="1"/>
  <c r="G1" i="4"/>
  <c r="F1" i="5" s="1"/>
  <c r="F56" i="5" s="1"/>
  <c r="F1" i="3"/>
  <c r="C39" i="3"/>
  <c r="C76" i="3"/>
  <c r="K76" i="3"/>
  <c r="K39" i="3"/>
  <c r="D12" i="3"/>
  <c r="E81" i="3"/>
  <c r="F44" i="4" s="1"/>
  <c r="G32" i="3"/>
  <c r="G36" i="4" s="1"/>
  <c r="C6" i="3"/>
  <c r="K6" i="3"/>
  <c r="K8" i="3" s="1"/>
  <c r="G7" i="3"/>
  <c r="F5" i="3"/>
  <c r="H19" i="3"/>
  <c r="H21" i="3" s="1"/>
  <c r="B20" i="3"/>
  <c r="B21" i="3" s="1"/>
  <c r="J20" i="3"/>
  <c r="J21" i="3" s="1"/>
  <c r="C39" i="4"/>
  <c r="B33" i="3"/>
  <c r="K39" i="4"/>
  <c r="J33" i="3"/>
  <c r="G31" i="3"/>
  <c r="H78" i="3"/>
  <c r="F80" i="3"/>
  <c r="C79" i="3"/>
  <c r="D43" i="4" s="1"/>
  <c r="K79" i="3"/>
  <c r="J49" i="5" s="1"/>
  <c r="I55" i="3"/>
  <c r="J19" i="4"/>
  <c r="H69" i="3"/>
  <c r="F70" i="3"/>
  <c r="B50" i="3"/>
  <c r="C15" i="4" s="1"/>
  <c r="J50" i="3"/>
  <c r="K15" i="4" s="1"/>
  <c r="D51" i="3"/>
  <c r="H65" i="3"/>
  <c r="H66" i="3" s="1"/>
  <c r="H59" i="3"/>
  <c r="H62" i="3" s="1"/>
  <c r="H111" i="3"/>
  <c r="B116" i="3"/>
  <c r="H45" i="5"/>
  <c r="H44" i="5"/>
  <c r="I25" i="4"/>
  <c r="D1" i="4"/>
  <c r="C1" i="5" s="1"/>
  <c r="C56" i="5" s="1"/>
  <c r="C1" i="3"/>
  <c r="L1" i="4"/>
  <c r="K1" i="5" s="1"/>
  <c r="K56" i="5" s="1"/>
  <c r="K1" i="3"/>
  <c r="H76" i="3"/>
  <c r="G50" i="5" s="1"/>
  <c r="H39" i="3"/>
  <c r="H51" i="5"/>
  <c r="B45" i="5"/>
  <c r="C25" i="4"/>
  <c r="K81" i="3"/>
  <c r="L44" i="4" s="1"/>
  <c r="G26" i="3"/>
  <c r="G27" i="3" s="1"/>
  <c r="B6" i="3"/>
  <c r="J6" i="3"/>
  <c r="E5" i="3"/>
  <c r="G19" i="3"/>
  <c r="G21" i="3" s="1"/>
  <c r="H16" i="4" s="1"/>
  <c r="J79" i="3"/>
  <c r="K43" i="4" s="1"/>
  <c r="E70" i="3"/>
  <c r="F54" i="3"/>
  <c r="G21" i="4" s="1"/>
  <c r="H1" i="4"/>
  <c r="G1" i="5" s="1"/>
  <c r="G56" i="5" s="1"/>
  <c r="G1" i="3"/>
  <c r="D76" i="3"/>
  <c r="D39" i="3"/>
  <c r="E12" i="3"/>
  <c r="D25" i="3"/>
  <c r="D27" i="3" s="1"/>
  <c r="F81" i="3"/>
  <c r="G44" i="4" s="1"/>
  <c r="B26" i="3"/>
  <c r="J26" i="3"/>
  <c r="B14" i="3"/>
  <c r="B15" i="3" s="1"/>
  <c r="C20" i="4" s="1"/>
  <c r="J14" i="3"/>
  <c r="J15" i="3" s="1"/>
  <c r="K20" i="4" s="1"/>
  <c r="H32" i="3"/>
  <c r="D6" i="3"/>
  <c r="D8" i="3" s="1"/>
  <c r="H7" i="3"/>
  <c r="I13" i="4" s="1"/>
  <c r="I19" i="3"/>
  <c r="I21" i="3" s="1"/>
  <c r="C20" i="3"/>
  <c r="C21" i="3" s="1"/>
  <c r="D16" i="4" s="1"/>
  <c r="K20" i="3"/>
  <c r="K21" i="3" s="1"/>
  <c r="L16" i="4" s="1"/>
  <c r="D39" i="4"/>
  <c r="C33" i="3"/>
  <c r="L39" i="4"/>
  <c r="K33" i="3"/>
  <c r="H31" i="3"/>
  <c r="I52" i="4" s="1"/>
  <c r="I54" i="4" s="1"/>
  <c r="J46" i="4"/>
  <c r="I77" i="3"/>
  <c r="G80" i="3"/>
  <c r="F49" i="5"/>
  <c r="G52" i="5"/>
  <c r="H47" i="4"/>
  <c r="I61" i="3"/>
  <c r="D72" i="4"/>
  <c r="C19" i="4"/>
  <c r="B55" i="3"/>
  <c r="J55" i="3"/>
  <c r="K19" i="4"/>
  <c r="H54" i="3"/>
  <c r="I21" i="4" s="1"/>
  <c r="E48" i="3"/>
  <c r="D33" i="5" s="1"/>
  <c r="D119" i="5" s="1"/>
  <c r="I65" i="3"/>
  <c r="I66" i="3" s="1"/>
  <c r="I59" i="3"/>
  <c r="I62" i="3" s="1"/>
  <c r="J17" i="4" s="1"/>
  <c r="C116" i="3"/>
  <c r="K116" i="3"/>
  <c r="J13" i="4"/>
  <c r="E39" i="4"/>
  <c r="D33" i="3"/>
  <c r="K46" i="4"/>
  <c r="J77" i="3"/>
  <c r="G49" i="5"/>
  <c r="H52" i="5"/>
  <c r="D19" i="4"/>
  <c r="C55" i="3"/>
  <c r="B69" i="3"/>
  <c r="F48" i="3"/>
  <c r="J65" i="3"/>
  <c r="J66" i="3" s="1"/>
  <c r="B59" i="3"/>
  <c r="B62" i="3" s="1"/>
  <c r="B7" i="5"/>
  <c r="J7" i="5"/>
  <c r="I8" i="5"/>
  <c r="D116" i="3"/>
  <c r="C124" i="3"/>
  <c r="K124" i="3"/>
  <c r="G17" i="5"/>
  <c r="G74" i="5" s="1"/>
  <c r="H137" i="3"/>
  <c r="E218" i="5"/>
  <c r="E66" i="5"/>
  <c r="F145" i="3"/>
  <c r="F23" i="5" s="1"/>
  <c r="E29" i="5"/>
  <c r="H27" i="3"/>
  <c r="C61" i="3"/>
  <c r="K61" i="3"/>
  <c r="F72" i="4"/>
  <c r="C69" i="3"/>
  <c r="K69" i="3"/>
  <c r="I70" i="3"/>
  <c r="J38" i="4" s="1"/>
  <c r="C111" i="3"/>
  <c r="K111" i="3"/>
  <c r="D13" i="5"/>
  <c r="D125" i="5" s="1"/>
  <c r="F129" i="3"/>
  <c r="H17" i="5"/>
  <c r="H74" i="5" s="1"/>
  <c r="H146" i="3"/>
  <c r="I5" i="4" s="1"/>
  <c r="I137" i="3"/>
  <c r="F218" i="5"/>
  <c r="F66" i="5"/>
  <c r="G145" i="3"/>
  <c r="G23" i="5" s="1"/>
  <c r="F29" i="5"/>
  <c r="G29" i="5"/>
  <c r="I40" i="5"/>
  <c r="I41" i="5"/>
  <c r="I145" i="3"/>
  <c r="I23" i="5" s="1"/>
  <c r="H29" i="5"/>
  <c r="B40" i="5"/>
  <c r="B41" i="5"/>
  <c r="J40" i="5"/>
  <c r="J41" i="5"/>
  <c r="B145" i="3"/>
  <c r="B23" i="5" s="1"/>
  <c r="J145" i="3"/>
  <c r="J23" i="5" s="1"/>
  <c r="I29" i="5"/>
  <c r="C41" i="5"/>
  <c r="C40" i="5"/>
  <c r="K40" i="5"/>
  <c r="K41" i="5"/>
  <c r="I116" i="3"/>
  <c r="H124" i="3"/>
  <c r="J129" i="3"/>
  <c r="D17" i="5"/>
  <c r="D74" i="5" s="1"/>
  <c r="E140" i="3"/>
  <c r="F34" i="4" s="1"/>
  <c r="E28" i="5"/>
  <c r="E70" i="5" s="1"/>
  <c r="B218" i="5"/>
  <c r="B66" i="5"/>
  <c r="J218" i="5"/>
  <c r="J66" i="5"/>
  <c r="C145" i="3"/>
  <c r="C23" i="5" s="1"/>
  <c r="K145" i="3"/>
  <c r="K23" i="5" s="1"/>
  <c r="B29" i="5"/>
  <c r="J29" i="5"/>
  <c r="D41" i="5"/>
  <c r="D40" i="5"/>
  <c r="C53" i="4"/>
  <c r="I13" i="5"/>
  <c r="I125" i="5" s="1"/>
  <c r="I124" i="3"/>
  <c r="C129" i="3"/>
  <c r="K129" i="3"/>
  <c r="E17" i="5"/>
  <c r="E74" i="5" s="1"/>
  <c r="F137" i="3"/>
  <c r="C218" i="5"/>
  <c r="C66" i="5"/>
  <c r="K218" i="5"/>
  <c r="K66" i="5"/>
  <c r="D145" i="3"/>
  <c r="D23" i="5" s="1"/>
  <c r="C29" i="5"/>
  <c r="K29" i="5"/>
  <c r="E41" i="5"/>
  <c r="E160" i="5" s="1"/>
  <c r="E40" i="5"/>
  <c r="D53" i="4"/>
  <c r="D54" i="4" s="1"/>
  <c r="I69" i="3"/>
  <c r="G70" i="3"/>
  <c r="H38" i="4" s="1"/>
  <c r="B13" i="5"/>
  <c r="B125" i="5" s="1"/>
  <c r="J13" i="5"/>
  <c r="J125" i="5" s="1"/>
  <c r="B124" i="3"/>
  <c r="J124" i="3"/>
  <c r="F17" i="5"/>
  <c r="F74" i="5" s="1"/>
  <c r="F146" i="3"/>
  <c r="G5" i="4" s="1"/>
  <c r="G137" i="3"/>
  <c r="D218" i="5"/>
  <c r="D66" i="5"/>
  <c r="E145" i="3"/>
  <c r="E23" i="5" s="1"/>
  <c r="D29" i="5"/>
  <c r="F40" i="5"/>
  <c r="F41" i="5"/>
  <c r="K53" i="4"/>
  <c r="H41" i="5"/>
  <c r="H40" i="5"/>
  <c r="G53" i="4"/>
  <c r="G41" i="5"/>
  <c r="H53" i="4"/>
  <c r="K187" i="5"/>
  <c r="K36" i="5" l="1"/>
  <c r="K37" i="5"/>
  <c r="K16" i="3"/>
  <c r="G20" i="5"/>
  <c r="G19" i="5"/>
  <c r="H61" i="4"/>
  <c r="H26" i="4"/>
  <c r="G94" i="3"/>
  <c r="K16" i="4"/>
  <c r="B211" i="5"/>
  <c r="C18" i="5"/>
  <c r="C75" i="5" s="1"/>
  <c r="D37" i="5"/>
  <c r="D36" i="5"/>
  <c r="D101" i="3"/>
  <c r="D16" i="3"/>
  <c r="K210" i="5"/>
  <c r="K212" i="5"/>
  <c r="J211" i="5"/>
  <c r="K18" i="5"/>
  <c r="K75" i="5" s="1"/>
  <c r="D19" i="5"/>
  <c r="E26" i="4"/>
  <c r="D20" i="5"/>
  <c r="E61" i="4"/>
  <c r="D94" i="3"/>
  <c r="D61" i="4"/>
  <c r="C19" i="5"/>
  <c r="D26" i="4"/>
  <c r="C16" i="4"/>
  <c r="G63" i="4"/>
  <c r="G29" i="4"/>
  <c r="H28" i="5"/>
  <c r="H70" i="5" s="1"/>
  <c r="H140" i="3"/>
  <c r="I34" i="4" s="1"/>
  <c r="J59" i="5"/>
  <c r="J128" i="5"/>
  <c r="J9" i="5"/>
  <c r="J116" i="5" s="1"/>
  <c r="G146" i="3"/>
  <c r="H5" i="4" s="1"/>
  <c r="K11" i="5"/>
  <c r="K120" i="5" s="1"/>
  <c r="K120" i="3"/>
  <c r="K12" i="5" s="1"/>
  <c r="K124" i="5" s="1"/>
  <c r="K10" i="5"/>
  <c r="H29" i="4"/>
  <c r="H63" i="4"/>
  <c r="J35" i="5"/>
  <c r="K12" i="4"/>
  <c r="J34" i="5"/>
  <c r="J123" i="5" s="1"/>
  <c r="B44" i="5"/>
  <c r="K108" i="3"/>
  <c r="K44" i="3"/>
  <c r="H7" i="5"/>
  <c r="G8" i="5"/>
  <c r="G38" i="4"/>
  <c r="D45" i="5"/>
  <c r="D156" i="5" s="1"/>
  <c r="D161" i="5" s="1"/>
  <c r="D44" i="5"/>
  <c r="E25" i="4"/>
  <c r="J15" i="4"/>
  <c r="G73" i="4"/>
  <c r="C49" i="5"/>
  <c r="J44" i="5"/>
  <c r="E20" i="5"/>
  <c r="E19" i="5"/>
  <c r="F61" i="4"/>
  <c r="E94" i="3"/>
  <c r="F26" i="4"/>
  <c r="G43" i="5"/>
  <c r="G42" i="5"/>
  <c r="H37" i="4"/>
  <c r="H71" i="4"/>
  <c r="H70" i="4" s="1"/>
  <c r="G73" i="3"/>
  <c r="B27" i="3"/>
  <c r="D28" i="5"/>
  <c r="D70" i="5" s="1"/>
  <c r="D140" i="3"/>
  <c r="E34" i="4" s="1"/>
  <c r="D44" i="4"/>
  <c r="H34" i="5"/>
  <c r="H123" i="5" s="1"/>
  <c r="J146" i="3"/>
  <c r="K5" i="4" s="1"/>
  <c r="H39" i="5"/>
  <c r="H148" i="5" s="1"/>
  <c r="H152" i="5" s="1"/>
  <c r="D43" i="5"/>
  <c r="D42" i="5"/>
  <c r="E71" i="4"/>
  <c r="E70" i="4" s="1"/>
  <c r="E37" i="4"/>
  <c r="D73" i="3"/>
  <c r="G35" i="5"/>
  <c r="G34" i="5"/>
  <c r="G123" i="5" s="1"/>
  <c r="H12" i="4"/>
  <c r="E28" i="4"/>
  <c r="E6" i="4"/>
  <c r="E59" i="4" s="1"/>
  <c r="J63" i="4"/>
  <c r="J29" i="4"/>
  <c r="F19" i="5"/>
  <c r="F20" i="5"/>
  <c r="G61" i="4"/>
  <c r="G26" i="4"/>
  <c r="F94" i="3"/>
  <c r="E51" i="5"/>
  <c r="J20" i="4"/>
  <c r="I28" i="4"/>
  <c r="I6" i="4"/>
  <c r="I59" i="4" s="1"/>
  <c r="C95" i="3"/>
  <c r="C103" i="3" s="1"/>
  <c r="C31" i="5"/>
  <c r="C71" i="5" s="1"/>
  <c r="H156" i="5"/>
  <c r="H161" i="5" s="1"/>
  <c r="B8" i="5"/>
  <c r="B185" i="5" s="1"/>
  <c r="C7" i="5"/>
  <c r="I26" i="4"/>
  <c r="H19" i="5"/>
  <c r="H20" i="5"/>
  <c r="I61" i="4"/>
  <c r="H94" i="3"/>
  <c r="E32" i="5"/>
  <c r="E115" i="5" s="1"/>
  <c r="F11" i="4"/>
  <c r="E8" i="3"/>
  <c r="I46" i="4"/>
  <c r="H77" i="3"/>
  <c r="H53" i="5" s="1"/>
  <c r="C33" i="5"/>
  <c r="C119" i="5" s="1"/>
  <c r="C121" i="5" s="1"/>
  <c r="D14" i="4"/>
  <c r="C51" i="3"/>
  <c r="G28" i="5"/>
  <c r="G70" i="5" s="1"/>
  <c r="G140" i="3"/>
  <c r="H34" i="4" s="1"/>
  <c r="J37" i="4"/>
  <c r="I42" i="5"/>
  <c r="J71" i="4"/>
  <c r="J70" i="4" s="1"/>
  <c r="I73" i="3"/>
  <c r="I43" i="5"/>
  <c r="F28" i="5"/>
  <c r="F70" i="5" s="1"/>
  <c r="F140" i="3"/>
  <c r="G34" i="4" s="1"/>
  <c r="I28" i="5"/>
  <c r="I70" i="5" s="1"/>
  <c r="I140" i="3"/>
  <c r="J34" i="4" s="1"/>
  <c r="L37" i="4"/>
  <c r="K43" i="5"/>
  <c r="K42" i="5"/>
  <c r="L71" i="4"/>
  <c r="L70" i="4" s="1"/>
  <c r="K73" i="3"/>
  <c r="K30" i="5" s="1"/>
  <c r="B59" i="5"/>
  <c r="B128" i="5"/>
  <c r="B9" i="5"/>
  <c r="B116" i="5" s="1"/>
  <c r="C10" i="5"/>
  <c r="C120" i="3"/>
  <c r="C11" i="5"/>
  <c r="C120" i="5" s="1"/>
  <c r="I53" i="5"/>
  <c r="B34" i="5"/>
  <c r="B123" i="5" s="1"/>
  <c r="C12" i="4"/>
  <c r="B35" i="5"/>
  <c r="I17" i="4"/>
  <c r="I71" i="4"/>
  <c r="H42" i="5"/>
  <c r="I37" i="4"/>
  <c r="H43" i="5"/>
  <c r="H73" i="3"/>
  <c r="H30" i="5" s="1"/>
  <c r="I16" i="4"/>
  <c r="H55" i="3"/>
  <c r="H56" i="3" s="1"/>
  <c r="H86" i="3" s="1"/>
  <c r="G16" i="4"/>
  <c r="B49" i="5"/>
  <c r="H108" i="3"/>
  <c r="H44" i="3"/>
  <c r="K146" i="3"/>
  <c r="L5" i="4" s="1"/>
  <c r="C14" i="4"/>
  <c r="B50" i="5"/>
  <c r="C45" i="4"/>
  <c r="G51" i="5"/>
  <c r="E16" i="4"/>
  <c r="E11" i="5"/>
  <c r="E120" i="5" s="1"/>
  <c r="E10" i="5"/>
  <c r="E120" i="3"/>
  <c r="F15" i="4"/>
  <c r="L46" i="4"/>
  <c r="K77" i="3"/>
  <c r="K53" i="5" s="1"/>
  <c r="F50" i="5"/>
  <c r="G45" i="4"/>
  <c r="I63" i="4"/>
  <c r="G44" i="5"/>
  <c r="D25" i="4"/>
  <c r="H73" i="4"/>
  <c r="H36" i="4"/>
  <c r="E146" i="3"/>
  <c r="F5" i="4" s="1"/>
  <c r="D146" i="3"/>
  <c r="E5" i="4" s="1"/>
  <c r="C43" i="5"/>
  <c r="D71" i="4"/>
  <c r="D70" i="4" s="1"/>
  <c r="C73" i="3"/>
  <c r="D37" i="4"/>
  <c r="C42" i="5"/>
  <c r="L28" i="4"/>
  <c r="L6" i="4"/>
  <c r="L59" i="4" s="1"/>
  <c r="J16" i="4"/>
  <c r="F38" i="4"/>
  <c r="C108" i="3"/>
  <c r="C44" i="3"/>
  <c r="H21" i="5"/>
  <c r="I62" i="4"/>
  <c r="H22" i="5"/>
  <c r="H160" i="5" s="1"/>
  <c r="I27" i="4"/>
  <c r="H52" i="4"/>
  <c r="H54" i="4" s="1"/>
  <c r="F32" i="5"/>
  <c r="F115" i="5" s="1"/>
  <c r="G11" i="4"/>
  <c r="F8" i="3"/>
  <c r="K50" i="5"/>
  <c r="L45" i="4"/>
  <c r="I50" i="5"/>
  <c r="J45" i="4"/>
  <c r="J48" i="4" s="1"/>
  <c r="I84" i="3"/>
  <c r="F8" i="5"/>
  <c r="G7" i="5"/>
  <c r="G121" i="3"/>
  <c r="G123" i="3" s="1"/>
  <c r="K76" i="5"/>
  <c r="G17" i="4"/>
  <c r="F21" i="4"/>
  <c r="B146" i="3"/>
  <c r="C5" i="4" s="1"/>
  <c r="E59" i="5"/>
  <c r="E128" i="5"/>
  <c r="E9" i="5"/>
  <c r="E116" i="5" s="1"/>
  <c r="I44" i="5"/>
  <c r="H8" i="5"/>
  <c r="I7" i="5"/>
  <c r="J8" i="3"/>
  <c r="D46" i="4"/>
  <c r="C77" i="3"/>
  <c r="F34" i="5"/>
  <c r="F123" i="5" s="1"/>
  <c r="G12" i="4"/>
  <c r="F35" i="5"/>
  <c r="I29" i="4"/>
  <c r="H8" i="3"/>
  <c r="G156" i="5"/>
  <c r="G161" i="5" s="1"/>
  <c r="C156" i="5"/>
  <c r="C161" i="5" s="1"/>
  <c r="H21" i="4"/>
  <c r="C37" i="4"/>
  <c r="B43" i="5"/>
  <c r="C71" i="4"/>
  <c r="B42" i="5"/>
  <c r="B73" i="3"/>
  <c r="B30" i="5" s="1"/>
  <c r="E45" i="4"/>
  <c r="E48" i="4" s="1"/>
  <c r="D50" i="5"/>
  <c r="B160" i="5"/>
  <c r="I160" i="5"/>
  <c r="D28" i="4"/>
  <c r="D6" i="4"/>
  <c r="D59" i="4" s="1"/>
  <c r="K48" i="4"/>
  <c r="I51" i="5"/>
  <c r="D39" i="5"/>
  <c r="D148" i="5" s="1"/>
  <c r="D152" i="5" s="1"/>
  <c r="D38" i="5"/>
  <c r="D56" i="3"/>
  <c r="J31" i="5"/>
  <c r="J71" i="5" s="1"/>
  <c r="H13" i="4"/>
  <c r="H18" i="4" s="1"/>
  <c r="H22" i="4" s="1"/>
  <c r="D45" i="4"/>
  <c r="D48" i="4" s="1"/>
  <c r="C50" i="5"/>
  <c r="B51" i="5"/>
  <c r="J50" i="5"/>
  <c r="K45" i="4"/>
  <c r="J84" i="3"/>
  <c r="E11" i="4"/>
  <c r="D108" i="3"/>
  <c r="D44" i="3"/>
  <c r="G52" i="4"/>
  <c r="G54" i="4" s="1"/>
  <c r="I51" i="3"/>
  <c r="C146" i="3"/>
  <c r="D5" i="4" s="1"/>
  <c r="F22" i="5"/>
  <c r="F21" i="5"/>
  <c r="G62" i="4"/>
  <c r="G27" i="4"/>
  <c r="G30" i="4" s="1"/>
  <c r="I15" i="4"/>
  <c r="I18" i="4" s="1"/>
  <c r="I22" i="4" s="1"/>
  <c r="K62" i="3"/>
  <c r="K73" i="4"/>
  <c r="K36" i="4"/>
  <c r="C27" i="4"/>
  <c r="C62" i="4"/>
  <c r="B21" i="5"/>
  <c r="B22" i="5"/>
  <c r="B77" i="3"/>
  <c r="H32" i="5"/>
  <c r="H115" i="5" s="1"/>
  <c r="D51" i="5"/>
  <c r="C44" i="5"/>
  <c r="G39" i="5"/>
  <c r="G148" i="5" s="1"/>
  <c r="G152" i="5" s="1"/>
  <c r="G38" i="5"/>
  <c r="G56" i="3"/>
  <c r="K28" i="4"/>
  <c r="K6" i="4"/>
  <c r="K59" i="4" s="1"/>
  <c r="D10" i="5"/>
  <c r="D11" i="5"/>
  <c r="D120" i="5" s="1"/>
  <c r="D121" i="5" s="1"/>
  <c r="D120" i="3"/>
  <c r="K27" i="4"/>
  <c r="K62" i="4"/>
  <c r="J21" i="5"/>
  <c r="J22" i="5"/>
  <c r="J160" i="5" s="1"/>
  <c r="I21" i="5"/>
  <c r="J62" i="4"/>
  <c r="I22" i="5"/>
  <c r="J27" i="4"/>
  <c r="K31" i="5"/>
  <c r="K71" i="5" s="1"/>
  <c r="K95" i="3"/>
  <c r="K103" i="3" s="1"/>
  <c r="D35" i="5"/>
  <c r="D34" i="5"/>
  <c r="D123" i="5" s="1"/>
  <c r="E12" i="4"/>
  <c r="E45" i="5"/>
  <c r="E156" i="5" s="1"/>
  <c r="E161" i="5" s="1"/>
  <c r="F25" i="4"/>
  <c r="E44" i="5"/>
  <c r="F63" i="4"/>
  <c r="E52" i="4"/>
  <c r="E54" i="4" s="1"/>
  <c r="I30" i="4"/>
  <c r="L43" i="4"/>
  <c r="K49" i="5"/>
  <c r="K34" i="5"/>
  <c r="K123" i="5" s="1"/>
  <c r="L12" i="4"/>
  <c r="K35" i="5"/>
  <c r="H46" i="4"/>
  <c r="G77" i="3"/>
  <c r="E108" i="3"/>
  <c r="E44" i="3"/>
  <c r="F77" i="3"/>
  <c r="F53" i="5" s="1"/>
  <c r="G46" i="4"/>
  <c r="G48" i="4" s="1"/>
  <c r="D32" i="5"/>
  <c r="D115" i="5" s="1"/>
  <c r="G33" i="3"/>
  <c r="C76" i="5"/>
  <c r="J51" i="3"/>
  <c r="F13" i="4"/>
  <c r="E77" i="3"/>
  <c r="E53" i="5" s="1"/>
  <c r="H45" i="4"/>
  <c r="H48" i="4" s="1"/>
  <c r="F17" i="4"/>
  <c r="E73" i="3"/>
  <c r="F10" i="5"/>
  <c r="F11" i="5"/>
  <c r="F120" i="5" s="1"/>
  <c r="F120" i="3"/>
  <c r="F12" i="5" s="1"/>
  <c r="F124" i="5" s="1"/>
  <c r="D77" i="3"/>
  <c r="D53" i="5" s="1"/>
  <c r="J117" i="5"/>
  <c r="C62" i="3"/>
  <c r="D17" i="4" s="1"/>
  <c r="K54" i="4"/>
  <c r="C73" i="4"/>
  <c r="C36" i="4"/>
  <c r="I38" i="4"/>
  <c r="C46" i="4"/>
  <c r="C48" i="4" s="1"/>
  <c r="E33" i="3"/>
  <c r="F12" i="4"/>
  <c r="G121" i="5"/>
  <c r="F14" i="4"/>
  <c r="E33" i="5"/>
  <c r="E119" i="5" s="1"/>
  <c r="E51" i="3"/>
  <c r="I73" i="4"/>
  <c r="I36" i="4"/>
  <c r="F29" i="4"/>
  <c r="K44" i="4"/>
  <c r="E14" i="4"/>
  <c r="C51" i="5"/>
  <c r="B31" i="5"/>
  <c r="B71" i="5" s="1"/>
  <c r="B95" i="3"/>
  <c r="B103" i="3" s="1"/>
  <c r="C35" i="5"/>
  <c r="C34" i="5"/>
  <c r="C123" i="5" s="1"/>
  <c r="D12" i="4"/>
  <c r="D18" i="4" s="1"/>
  <c r="D22" i="4" s="1"/>
  <c r="F108" i="3"/>
  <c r="F44" i="3"/>
  <c r="I31" i="5"/>
  <c r="I71" i="5" s="1"/>
  <c r="I95" i="3"/>
  <c r="I103" i="3" s="1"/>
  <c r="J26" i="4"/>
  <c r="J30" i="4" s="1"/>
  <c r="I20" i="5"/>
  <c r="I156" i="5" s="1"/>
  <c r="I161" i="5" s="1"/>
  <c r="I19" i="5"/>
  <c r="J61" i="4"/>
  <c r="I94" i="3"/>
  <c r="F55" i="3"/>
  <c r="I34" i="5"/>
  <c r="I123" i="5" s="1"/>
  <c r="I35" i="5"/>
  <c r="J12" i="4"/>
  <c r="C8" i="3"/>
  <c r="K72" i="5"/>
  <c r="F71" i="4"/>
  <c r="F70" i="4" s="1"/>
  <c r="F16" i="4"/>
  <c r="J108" i="3"/>
  <c r="J44" i="3"/>
  <c r="J28" i="5"/>
  <c r="J70" i="5" s="1"/>
  <c r="J72" i="5" s="1"/>
  <c r="J140" i="3"/>
  <c r="K34" i="4" s="1"/>
  <c r="B8" i="3"/>
  <c r="L62" i="4"/>
  <c r="K22" i="5"/>
  <c r="K160" i="5" s="1"/>
  <c r="K21" i="5"/>
  <c r="L27" i="4"/>
  <c r="C54" i="4"/>
  <c r="K37" i="4"/>
  <c r="K71" i="4"/>
  <c r="K70" i="4" s="1"/>
  <c r="J43" i="5"/>
  <c r="J42" i="5"/>
  <c r="J73" i="3"/>
  <c r="J30" i="5" s="1"/>
  <c r="D20" i="4"/>
  <c r="C28" i="4"/>
  <c r="C6" i="4"/>
  <c r="C59" i="4" s="1"/>
  <c r="F33" i="5"/>
  <c r="F119" i="5" s="1"/>
  <c r="F121" i="5" s="1"/>
  <c r="G14" i="4"/>
  <c r="F51" i="3"/>
  <c r="D95" i="3"/>
  <c r="D103" i="3" s="1"/>
  <c r="J8" i="5"/>
  <c r="K7" i="5"/>
  <c r="K121" i="3"/>
  <c r="K123" i="3" s="1"/>
  <c r="G21" i="5"/>
  <c r="G22" i="5"/>
  <c r="G160" i="5" s="1"/>
  <c r="H27" i="4"/>
  <c r="H30" i="4" s="1"/>
  <c r="H62" i="4"/>
  <c r="H11" i="5"/>
  <c r="H120" i="5" s="1"/>
  <c r="H121" i="5" s="1"/>
  <c r="H10" i="5"/>
  <c r="H120" i="3"/>
  <c r="H121" i="3" s="1"/>
  <c r="H123" i="3" s="1"/>
  <c r="B28" i="5"/>
  <c r="B70" i="5" s="1"/>
  <c r="B72" i="5" s="1"/>
  <c r="B140" i="3"/>
  <c r="C34" i="4" s="1"/>
  <c r="I49" i="5"/>
  <c r="C22" i="5"/>
  <c r="C160" i="5" s="1"/>
  <c r="D27" i="4"/>
  <c r="C21" i="5"/>
  <c r="D62" i="4"/>
  <c r="K55" i="3"/>
  <c r="J52" i="4"/>
  <c r="J54" i="4" s="1"/>
  <c r="E34" i="5"/>
  <c r="E123" i="5" s="1"/>
  <c r="G8" i="3"/>
  <c r="E49" i="5"/>
  <c r="H20" i="4"/>
  <c r="J28" i="4"/>
  <c r="J6" i="4"/>
  <c r="J59" i="4" s="1"/>
  <c r="I11" i="5"/>
  <c r="I120" i="5" s="1"/>
  <c r="I121" i="5" s="1"/>
  <c r="I10" i="5"/>
  <c r="I120" i="3"/>
  <c r="I12" i="5" s="1"/>
  <c r="I124" i="5" s="1"/>
  <c r="G108" i="3"/>
  <c r="G44" i="3"/>
  <c r="H50" i="5"/>
  <c r="I45" i="4"/>
  <c r="I48" i="4" s="1"/>
  <c r="H84" i="3"/>
  <c r="B11" i="5"/>
  <c r="B120" i="5" s="1"/>
  <c r="B121" i="5" s="1"/>
  <c r="B10" i="5"/>
  <c r="B120" i="3"/>
  <c r="F42" i="5"/>
  <c r="F43" i="5"/>
  <c r="F160" i="5" s="1"/>
  <c r="G37" i="4"/>
  <c r="G71" i="4"/>
  <c r="G70" i="4" s="1"/>
  <c r="F73" i="3"/>
  <c r="F30" i="5" s="1"/>
  <c r="H33" i="3"/>
  <c r="J11" i="5"/>
  <c r="J120" i="5" s="1"/>
  <c r="J121" i="5" s="1"/>
  <c r="J10" i="5"/>
  <c r="J120" i="3"/>
  <c r="K33" i="5"/>
  <c r="K119" i="5" s="1"/>
  <c r="K121" i="5" s="1"/>
  <c r="L14" i="4"/>
  <c r="K51" i="3"/>
  <c r="K101" i="3" s="1"/>
  <c r="J27" i="3"/>
  <c r="F45" i="4"/>
  <c r="F48" i="4" s="1"/>
  <c r="E50" i="5"/>
  <c r="E84" i="3"/>
  <c r="E8" i="5"/>
  <c r="E185" i="5" s="1"/>
  <c r="F7" i="5"/>
  <c r="B51" i="3"/>
  <c r="F156" i="5"/>
  <c r="F161" i="5" s="1"/>
  <c r="C72" i="5"/>
  <c r="F27" i="4"/>
  <c r="B44" i="3"/>
  <c r="B108" i="3"/>
  <c r="I146" i="3"/>
  <c r="J5" i="4" s="1"/>
  <c r="D21" i="5"/>
  <c r="E62" i="4"/>
  <c r="D22" i="5"/>
  <c r="D160" i="5" s="1"/>
  <c r="E27" i="4"/>
  <c r="F33" i="3"/>
  <c r="B117" i="5"/>
  <c r="I108" i="3"/>
  <c r="I44" i="3"/>
  <c r="K21" i="4"/>
  <c r="F51" i="5"/>
  <c r="I32" i="5"/>
  <c r="I115" i="5" s="1"/>
  <c r="J11" i="4"/>
  <c r="J18" i="4" s="1"/>
  <c r="J22" i="4" s="1"/>
  <c r="I8" i="3"/>
  <c r="D185" i="5"/>
  <c r="D59" i="5"/>
  <c r="D9" i="5"/>
  <c r="D116" i="5" s="1"/>
  <c r="D128" i="5"/>
  <c r="J36" i="4"/>
  <c r="L30" i="4"/>
  <c r="D38" i="4"/>
  <c r="H125" i="3" l="1"/>
  <c r="H131" i="3" s="1"/>
  <c r="H5" i="5"/>
  <c r="H222" i="5" s="1"/>
  <c r="H98" i="3"/>
  <c r="H89" i="3"/>
  <c r="B36" i="5"/>
  <c r="B37" i="5"/>
  <c r="B16" i="3"/>
  <c r="B101" i="3"/>
  <c r="C37" i="5"/>
  <c r="C36" i="5"/>
  <c r="C16" i="3"/>
  <c r="C101" i="3"/>
  <c r="C129" i="5"/>
  <c r="E31" i="5"/>
  <c r="E71" i="5" s="1"/>
  <c r="E72" i="5" s="1"/>
  <c r="E95" i="3"/>
  <c r="E103" i="3" s="1"/>
  <c r="K129" i="5"/>
  <c r="K126" i="5"/>
  <c r="C53" i="5"/>
  <c r="G5" i="5"/>
  <c r="G222" i="5" s="1"/>
  <c r="G125" i="3"/>
  <c r="G131" i="3" s="1"/>
  <c r="G211" i="5"/>
  <c r="H210" i="5"/>
  <c r="H212" i="5"/>
  <c r="H18" i="5"/>
  <c r="H75" i="5" s="1"/>
  <c r="H76" i="5" s="1"/>
  <c r="D30" i="5"/>
  <c r="G30" i="5"/>
  <c r="J129" i="5"/>
  <c r="D35" i="3"/>
  <c r="D102" i="3"/>
  <c r="D93" i="3"/>
  <c r="D47" i="5"/>
  <c r="D172" i="5" s="1"/>
  <c r="E48" i="5"/>
  <c r="E96" i="3"/>
  <c r="E105" i="3" s="1"/>
  <c r="G185" i="5"/>
  <c r="G128" i="5"/>
  <c r="G59" i="5"/>
  <c r="G9" i="5"/>
  <c r="G116" i="5" s="1"/>
  <c r="G117" i="5" s="1"/>
  <c r="F36" i="5"/>
  <c r="F37" i="5"/>
  <c r="F101" i="3"/>
  <c r="F16" i="3"/>
  <c r="H24" i="5"/>
  <c r="H67" i="5"/>
  <c r="H68" i="5" s="1"/>
  <c r="H95" i="5" s="1"/>
  <c r="B129" i="5"/>
  <c r="I72" i="5"/>
  <c r="B12" i="5"/>
  <c r="B124" i="5" s="1"/>
  <c r="B126" i="5" s="1"/>
  <c r="B121" i="3"/>
  <c r="B123" i="3" s="1"/>
  <c r="G37" i="5"/>
  <c r="G36" i="5"/>
  <c r="G101" i="3"/>
  <c r="G16" i="3"/>
  <c r="K5" i="5"/>
  <c r="K222" i="5" s="1"/>
  <c r="K125" i="3"/>
  <c r="K131" i="3" s="1"/>
  <c r="L48" i="4"/>
  <c r="K51" i="5"/>
  <c r="B53" i="5"/>
  <c r="J48" i="5"/>
  <c r="I47" i="5"/>
  <c r="I172" i="5" s="1"/>
  <c r="J96" i="3"/>
  <c r="J51" i="5"/>
  <c r="B24" i="5"/>
  <c r="B67" i="5"/>
  <c r="B68" i="5" s="1"/>
  <c r="J36" i="5"/>
  <c r="J37" i="5"/>
  <c r="J16" i="3"/>
  <c r="J101" i="3"/>
  <c r="G18" i="4"/>
  <c r="G22" i="4" s="1"/>
  <c r="C30" i="5"/>
  <c r="K35" i="3"/>
  <c r="H12" i="5"/>
  <c r="H124" i="5" s="1"/>
  <c r="H126" i="5" s="1"/>
  <c r="D129" i="5"/>
  <c r="E132" i="5"/>
  <c r="D132" i="5"/>
  <c r="D130" i="5"/>
  <c r="J20" i="5"/>
  <c r="J156" i="5" s="1"/>
  <c r="J161" i="5" s="1"/>
  <c r="K61" i="4"/>
  <c r="K26" i="4"/>
  <c r="K30" i="4" s="1"/>
  <c r="J19" i="5"/>
  <c r="J94" i="3"/>
  <c r="H31" i="5"/>
  <c r="H71" i="5" s="1"/>
  <c r="H95" i="3"/>
  <c r="H103" i="3" s="1"/>
  <c r="E129" i="5"/>
  <c r="E130" i="5" s="1"/>
  <c r="E126" i="5"/>
  <c r="K185" i="5"/>
  <c r="K59" i="5"/>
  <c r="K128" i="5"/>
  <c r="K9" i="5"/>
  <c r="K116" i="5" s="1"/>
  <c r="K117" i="5" s="1"/>
  <c r="I126" i="5"/>
  <c r="I129" i="5"/>
  <c r="E39" i="5"/>
  <c r="E148" i="5" s="1"/>
  <c r="E152" i="5" s="1"/>
  <c r="E38" i="5"/>
  <c r="E56" i="3"/>
  <c r="E86" i="3" s="1"/>
  <c r="J39" i="5"/>
  <c r="J148" i="5" s="1"/>
  <c r="J152" i="5" s="1"/>
  <c r="J38" i="5"/>
  <c r="J56" i="3"/>
  <c r="J86" i="3" s="1"/>
  <c r="J95" i="3"/>
  <c r="J103" i="3" s="1"/>
  <c r="H37" i="5"/>
  <c r="H36" i="5"/>
  <c r="H101" i="3"/>
  <c r="H16" i="3"/>
  <c r="I48" i="5"/>
  <c r="H47" i="5"/>
  <c r="H172" i="5" s="1"/>
  <c r="I46" i="5"/>
  <c r="I96" i="3"/>
  <c r="I105" i="3" s="1"/>
  <c r="D30" i="4"/>
  <c r="K24" i="5"/>
  <c r="K67" i="5"/>
  <c r="K68" i="5" s="1"/>
  <c r="H129" i="5"/>
  <c r="J130" i="5"/>
  <c r="J132" i="5"/>
  <c r="D151" i="5"/>
  <c r="D153" i="5" s="1"/>
  <c r="D147" i="5"/>
  <c r="D149" i="5" s="1"/>
  <c r="K151" i="5"/>
  <c r="K153" i="5" s="1"/>
  <c r="K147" i="5"/>
  <c r="L17" i="4"/>
  <c r="L18" i="4" s="1"/>
  <c r="L22" i="4" s="1"/>
  <c r="K17" i="4"/>
  <c r="K18" i="4" s="1"/>
  <c r="K22" i="4" s="1"/>
  <c r="E18" i="4"/>
  <c r="E22" i="4" s="1"/>
  <c r="B38" i="5"/>
  <c r="B39" i="5"/>
  <c r="B148" i="5" s="1"/>
  <c r="B152" i="5" s="1"/>
  <c r="B56" i="3"/>
  <c r="K38" i="5"/>
  <c r="K39" i="5"/>
  <c r="K148" i="5" s="1"/>
  <c r="K152" i="5" s="1"/>
  <c r="K56" i="3"/>
  <c r="K93" i="3" s="1"/>
  <c r="F67" i="5"/>
  <c r="F68" i="5" s="1"/>
  <c r="F24" i="5"/>
  <c r="H48" i="5"/>
  <c r="H46" i="5"/>
  <c r="G47" i="5"/>
  <c r="G172" i="5" s="1"/>
  <c r="H96" i="3"/>
  <c r="E121" i="5"/>
  <c r="G53" i="5"/>
  <c r="G84" i="3"/>
  <c r="G86" i="3"/>
  <c r="J53" i="5"/>
  <c r="C70" i="4"/>
  <c r="I121" i="3"/>
  <c r="I123" i="3" s="1"/>
  <c r="E12" i="5"/>
  <c r="E124" i="5" s="1"/>
  <c r="E121" i="3"/>
  <c r="E123" i="3" s="1"/>
  <c r="C12" i="5"/>
  <c r="C124" i="5" s="1"/>
  <c r="C126" i="5" s="1"/>
  <c r="G72" i="5"/>
  <c r="F212" i="5"/>
  <c r="E211" i="5"/>
  <c r="F18" i="5"/>
  <c r="F75" i="5" s="1"/>
  <c r="F76" i="5" s="1"/>
  <c r="F210" i="5"/>
  <c r="H128" i="5"/>
  <c r="H185" i="5"/>
  <c r="H9" i="5"/>
  <c r="H116" i="5" s="1"/>
  <c r="H117" i="5" s="1"/>
  <c r="H59" i="5"/>
  <c r="J185" i="5"/>
  <c r="G212" i="5"/>
  <c r="G18" i="5"/>
  <c r="G75" i="5" s="1"/>
  <c r="G76" i="5" s="1"/>
  <c r="F211" i="5"/>
  <c r="G210" i="5"/>
  <c r="F31" i="5"/>
  <c r="F71" i="5" s="1"/>
  <c r="F95" i="3"/>
  <c r="F103" i="3" s="1"/>
  <c r="F121" i="3"/>
  <c r="F123" i="3" s="1"/>
  <c r="E30" i="5"/>
  <c r="G31" i="5"/>
  <c r="G71" i="5" s="1"/>
  <c r="G95" i="3"/>
  <c r="G103" i="3" s="1"/>
  <c r="I39" i="5"/>
  <c r="I148" i="5" s="1"/>
  <c r="I152" i="5" s="1"/>
  <c r="I38" i="5"/>
  <c r="I56" i="3"/>
  <c r="I86" i="3" s="1"/>
  <c r="C17" i="4"/>
  <c r="C18" i="4" s="1"/>
  <c r="C22" i="4" s="1"/>
  <c r="I185" i="5"/>
  <c r="I128" i="5"/>
  <c r="I9" i="5"/>
  <c r="I116" i="5" s="1"/>
  <c r="I117" i="5" s="1"/>
  <c r="I59" i="5"/>
  <c r="B84" i="3"/>
  <c r="I70" i="4"/>
  <c r="F72" i="5"/>
  <c r="E36" i="5"/>
  <c r="E37" i="5"/>
  <c r="E101" i="3"/>
  <c r="E16" i="3"/>
  <c r="C121" i="3"/>
  <c r="C123" i="3" s="1"/>
  <c r="D212" i="5"/>
  <c r="D210" i="5"/>
  <c r="C211" i="5"/>
  <c r="D18" i="5"/>
  <c r="D75" i="5" s="1"/>
  <c r="D76" i="5" s="1"/>
  <c r="C212" i="5"/>
  <c r="F185" i="5"/>
  <c r="F128" i="5"/>
  <c r="F9" i="5"/>
  <c r="F116" i="5" s="1"/>
  <c r="F117" i="5" s="1"/>
  <c r="F59" i="5"/>
  <c r="D12" i="5"/>
  <c r="D124" i="5" s="1"/>
  <c r="D126" i="5" s="1"/>
  <c r="D121" i="3"/>
  <c r="D123" i="3" s="1"/>
  <c r="K84" i="3"/>
  <c r="F84" i="3"/>
  <c r="F18" i="4"/>
  <c r="F22" i="4" s="1"/>
  <c r="C185" i="5"/>
  <c r="C59" i="5"/>
  <c r="C128" i="5"/>
  <c r="C9" i="5"/>
  <c r="C116" i="5" s="1"/>
  <c r="C117" i="5" s="1"/>
  <c r="G129" i="5"/>
  <c r="D72" i="5"/>
  <c r="E212" i="5"/>
  <c r="E210" i="5"/>
  <c r="D211" i="5"/>
  <c r="E18" i="5"/>
  <c r="E75" i="5" s="1"/>
  <c r="E76" i="5" s="1"/>
  <c r="E30" i="4"/>
  <c r="D31" i="5"/>
  <c r="D71" i="5" s="1"/>
  <c r="J24" i="5"/>
  <c r="J67" i="5"/>
  <c r="J68" i="5" s="1"/>
  <c r="H211" i="5"/>
  <c r="I212" i="5"/>
  <c r="I210" i="5"/>
  <c r="I18" i="5"/>
  <c r="I75" i="5" s="1"/>
  <c r="I76" i="5" s="1"/>
  <c r="I37" i="5"/>
  <c r="I36" i="5"/>
  <c r="I101" i="3"/>
  <c r="I16" i="3"/>
  <c r="J12" i="5"/>
  <c r="J124" i="5" s="1"/>
  <c r="J126" i="5" s="1"/>
  <c r="J121" i="3"/>
  <c r="J123" i="3" s="1"/>
  <c r="G12" i="5"/>
  <c r="G124" i="5" s="1"/>
  <c r="G126" i="5" s="1"/>
  <c r="F38" i="5"/>
  <c r="F39" i="5"/>
  <c r="F148" i="5" s="1"/>
  <c r="F152" i="5" s="1"/>
  <c r="F56" i="3"/>
  <c r="F86" i="3" s="1"/>
  <c r="D117" i="5"/>
  <c r="F30" i="4"/>
  <c r="C84" i="3"/>
  <c r="D84" i="3"/>
  <c r="F129" i="5"/>
  <c r="F126" i="5"/>
  <c r="B130" i="5"/>
  <c r="B132" i="5"/>
  <c r="I30" i="5"/>
  <c r="C39" i="5"/>
  <c r="C148" i="5" s="1"/>
  <c r="C152" i="5" s="1"/>
  <c r="C38" i="5"/>
  <c r="C56" i="3"/>
  <c r="E117" i="5"/>
  <c r="H38" i="5"/>
  <c r="B20" i="5"/>
  <c r="B156" i="5" s="1"/>
  <c r="B161" i="5" s="1"/>
  <c r="C61" i="4"/>
  <c r="B19" i="5"/>
  <c r="C26" i="4"/>
  <c r="C30" i="4" s="1"/>
  <c r="B94" i="3"/>
  <c r="H72" i="5"/>
  <c r="C210" i="5"/>
  <c r="J15" i="5" l="1"/>
  <c r="K14" i="5"/>
  <c r="K104" i="3"/>
  <c r="K16" i="5"/>
  <c r="K167" i="5" s="1"/>
  <c r="I67" i="5"/>
  <c r="I68" i="5" s="1"/>
  <c r="I95" i="5" s="1"/>
  <c r="I24" i="5"/>
  <c r="D48" i="5"/>
  <c r="D96" i="3"/>
  <c r="D105" i="3" s="1"/>
  <c r="C47" i="5"/>
  <c r="C172" i="5" s="1"/>
  <c r="D46" i="5"/>
  <c r="I151" i="5"/>
  <c r="I153" i="5" s="1"/>
  <c r="I147" i="5"/>
  <c r="I149" i="5" s="1"/>
  <c r="D96" i="5"/>
  <c r="F46" i="5"/>
  <c r="E47" i="5"/>
  <c r="E172" i="5" s="1"/>
  <c r="F48" i="5"/>
  <c r="F96" i="3"/>
  <c r="F105" i="3" s="1"/>
  <c r="B48" i="5"/>
  <c r="B46" i="5"/>
  <c r="B96" i="3"/>
  <c r="B105" i="3" s="1"/>
  <c r="I98" i="3"/>
  <c r="I89" i="3"/>
  <c r="F5" i="5"/>
  <c r="F222" i="5" s="1"/>
  <c r="F125" i="3"/>
  <c r="F131" i="3" s="1"/>
  <c r="G96" i="5"/>
  <c r="H171" i="5"/>
  <c r="H155" i="5"/>
  <c r="H203" i="5"/>
  <c r="J136" i="5"/>
  <c r="K202" i="5"/>
  <c r="K25" i="5"/>
  <c r="K221" i="5" s="1"/>
  <c r="K223" i="5" s="1"/>
  <c r="K26" i="5"/>
  <c r="J105" i="3"/>
  <c r="H97" i="5"/>
  <c r="B151" i="5"/>
  <c r="B153" i="5" s="1"/>
  <c r="B147" i="5"/>
  <c r="B149" i="5" s="1"/>
  <c r="K46" i="5"/>
  <c r="K48" i="5"/>
  <c r="J47" i="5"/>
  <c r="J172" i="5" s="1"/>
  <c r="K96" i="3"/>
  <c r="K105" i="3" s="1"/>
  <c r="F130" i="5"/>
  <c r="F132" i="5"/>
  <c r="F26" i="5"/>
  <c r="F202" i="5"/>
  <c r="F25" i="5"/>
  <c r="F221" i="5" s="1"/>
  <c r="D14" i="5"/>
  <c r="D16" i="5"/>
  <c r="C15" i="5"/>
  <c r="D104" i="3"/>
  <c r="I97" i="5"/>
  <c r="E102" i="3"/>
  <c r="E93" i="3"/>
  <c r="E35" i="3"/>
  <c r="H151" i="5"/>
  <c r="H153" i="5" s="1"/>
  <c r="H147" i="5"/>
  <c r="H149" i="5" s="1"/>
  <c r="J102" i="3"/>
  <c r="J93" i="3"/>
  <c r="J35" i="3"/>
  <c r="B5" i="5"/>
  <c r="B222" i="5" s="1"/>
  <c r="B125" i="3"/>
  <c r="B131" i="3" s="1"/>
  <c r="H25" i="5"/>
  <c r="H221" i="5" s="1"/>
  <c r="H223" i="5" s="1"/>
  <c r="H202" i="5"/>
  <c r="H204" i="5" s="1"/>
  <c r="H26" i="5"/>
  <c r="D133" i="5"/>
  <c r="D162" i="3"/>
  <c r="D134" i="5"/>
  <c r="D136" i="5"/>
  <c r="K97" i="3"/>
  <c r="K90" i="3"/>
  <c r="K38" i="3"/>
  <c r="K40" i="3" s="1"/>
  <c r="J151" i="5"/>
  <c r="J153" i="5" s="1"/>
  <c r="J147" i="5"/>
  <c r="J149" i="5" s="1"/>
  <c r="J203" i="5"/>
  <c r="J155" i="5"/>
  <c r="J171" i="5"/>
  <c r="G102" i="3"/>
  <c r="G93" i="3"/>
  <c r="G35" i="3"/>
  <c r="F102" i="3"/>
  <c r="F93" i="3"/>
  <c r="F35" i="3"/>
  <c r="D97" i="3"/>
  <c r="D38" i="3"/>
  <c r="D40" i="3" s="1"/>
  <c r="C35" i="3"/>
  <c r="C102" i="3"/>
  <c r="C93" i="3"/>
  <c r="K4" i="5"/>
  <c r="K3" i="5"/>
  <c r="L4" i="4"/>
  <c r="K141" i="3"/>
  <c r="K148" i="3" s="1"/>
  <c r="K134" i="3"/>
  <c r="G130" i="5"/>
  <c r="G132" i="5"/>
  <c r="C130" i="5"/>
  <c r="C132" i="5"/>
  <c r="D5" i="5"/>
  <c r="D222" i="5" s="1"/>
  <c r="D125" i="3"/>
  <c r="D131" i="3" s="1"/>
  <c r="D97" i="5"/>
  <c r="E151" i="5"/>
  <c r="E153" i="5" s="1"/>
  <c r="E147" i="5"/>
  <c r="E149" i="5" s="1"/>
  <c r="I132" i="5"/>
  <c r="I130" i="5"/>
  <c r="E5" i="5"/>
  <c r="E222" i="5" s="1"/>
  <c r="E125" i="3"/>
  <c r="E131" i="3" s="1"/>
  <c r="K149" i="5"/>
  <c r="I105" i="5"/>
  <c r="I83" i="5"/>
  <c r="I79" i="5"/>
  <c r="J98" i="3"/>
  <c r="J89" i="3"/>
  <c r="E136" i="5"/>
  <c r="B136" i="5"/>
  <c r="C48" i="5"/>
  <c r="B47" i="5"/>
  <c r="B172" i="5" s="1"/>
  <c r="C46" i="5"/>
  <c r="C96" i="3"/>
  <c r="C105" i="3" s="1"/>
  <c r="C5" i="5"/>
  <c r="C222" i="5" s="1"/>
  <c r="C125" i="3"/>
  <c r="C131" i="3" s="1"/>
  <c r="J46" i="5"/>
  <c r="J5" i="5"/>
  <c r="J222" i="5" s="1"/>
  <c r="J125" i="3"/>
  <c r="J131" i="3" s="1"/>
  <c r="H130" i="5"/>
  <c r="H132" i="5"/>
  <c r="G98" i="3"/>
  <c r="G89" i="3"/>
  <c r="K86" i="3"/>
  <c r="H96" i="5"/>
  <c r="E97" i="5"/>
  <c r="B210" i="5"/>
  <c r="B212" i="5"/>
  <c r="B18" i="5"/>
  <c r="B75" i="5" s="1"/>
  <c r="B76" i="5" s="1"/>
  <c r="C86" i="3"/>
  <c r="I102" i="3"/>
  <c r="I93" i="3"/>
  <c r="I35" i="3"/>
  <c r="J95" i="5"/>
  <c r="E67" i="5"/>
  <c r="E68" i="5" s="1"/>
  <c r="E95" i="5" s="1"/>
  <c r="E24" i="5"/>
  <c r="G97" i="5"/>
  <c r="F97" i="5"/>
  <c r="G48" i="5"/>
  <c r="G46" i="5"/>
  <c r="F47" i="5"/>
  <c r="F172" i="5" s="1"/>
  <c r="G96" i="3"/>
  <c r="G105" i="3" s="1"/>
  <c r="H105" i="3"/>
  <c r="I211" i="5"/>
  <c r="J210" i="5"/>
  <c r="J212" i="5"/>
  <c r="J18" i="5"/>
  <c r="J75" i="5" s="1"/>
  <c r="J76" i="5" s="1"/>
  <c r="K102" i="3"/>
  <c r="F147" i="5"/>
  <c r="F149" i="5" s="1"/>
  <c r="F151" i="5"/>
  <c r="F153" i="5" s="1"/>
  <c r="E155" i="5"/>
  <c r="E203" i="5"/>
  <c r="C151" i="5"/>
  <c r="C153" i="5" s="1"/>
  <c r="C147" i="5"/>
  <c r="C149" i="5" s="1"/>
  <c r="F98" i="3"/>
  <c r="F89" i="3"/>
  <c r="B86" i="3"/>
  <c r="K130" i="5"/>
  <c r="K132" i="5"/>
  <c r="J202" i="5"/>
  <c r="J204" i="5" s="1"/>
  <c r="J25" i="5"/>
  <c r="J221" i="5" s="1"/>
  <c r="J223" i="5" s="1"/>
  <c r="J26" i="5"/>
  <c r="I171" i="5"/>
  <c r="I203" i="5"/>
  <c r="I155" i="5"/>
  <c r="C67" i="5"/>
  <c r="C68" i="5" s="1"/>
  <c r="C95" i="5" s="1"/>
  <c r="C24" i="5"/>
  <c r="B202" i="5"/>
  <c r="B26" i="5"/>
  <c r="B25" i="5"/>
  <c r="B221" i="5" s="1"/>
  <c r="B223" i="5" s="1"/>
  <c r="G147" i="5"/>
  <c r="G149" i="5" s="1"/>
  <c r="G151" i="5"/>
  <c r="G153" i="5" s="1"/>
  <c r="I96" i="5"/>
  <c r="E46" i="5"/>
  <c r="G24" i="5"/>
  <c r="G67" i="5"/>
  <c r="G68" i="5" s="1"/>
  <c r="G95" i="5" s="1"/>
  <c r="D86" i="3"/>
  <c r="I125" i="3"/>
  <c r="I131" i="3" s="1"/>
  <c r="I5" i="5"/>
  <c r="I222" i="5" s="1"/>
  <c r="H105" i="5"/>
  <c r="H83" i="5"/>
  <c r="H79" i="5"/>
  <c r="K95" i="5"/>
  <c r="H102" i="3"/>
  <c r="H93" i="3"/>
  <c r="H35" i="3"/>
  <c r="E98" i="3"/>
  <c r="E89" i="3"/>
  <c r="D67" i="5"/>
  <c r="D68" i="5" s="1"/>
  <c r="D24" i="5"/>
  <c r="G3" i="5"/>
  <c r="H4" i="4"/>
  <c r="G4" i="5"/>
  <c r="G141" i="3"/>
  <c r="G148" i="3" s="1"/>
  <c r="G134" i="3"/>
  <c r="E96" i="5"/>
  <c r="B102" i="3"/>
  <c r="B93" i="3"/>
  <c r="B35" i="3"/>
  <c r="H4" i="5"/>
  <c r="H134" i="3"/>
  <c r="H3" i="5"/>
  <c r="I4" i="4"/>
  <c r="H141" i="3"/>
  <c r="H148" i="3" s="1"/>
  <c r="J133" i="5" l="1"/>
  <c r="J134" i="5" s="1"/>
  <c r="J162" i="3"/>
  <c r="H82" i="5"/>
  <c r="H84" i="5" s="1"/>
  <c r="H107" i="5"/>
  <c r="H104" i="5"/>
  <c r="I90" i="3"/>
  <c r="I97" i="3"/>
  <c r="I99" i="3" s="1"/>
  <c r="I38" i="3"/>
  <c r="I40" i="3" s="1"/>
  <c r="G136" i="5"/>
  <c r="C133" i="5"/>
  <c r="C162" i="3"/>
  <c r="D60" i="4" s="1"/>
  <c r="D69" i="4" s="1"/>
  <c r="G97" i="3"/>
  <c r="G99" i="3" s="1"/>
  <c r="G90" i="3"/>
  <c r="G38" i="3"/>
  <c r="G40" i="3" s="1"/>
  <c r="F136" i="5"/>
  <c r="F83" i="5"/>
  <c r="F79" i="5"/>
  <c r="F105" i="5"/>
  <c r="D171" i="5"/>
  <c r="D203" i="5"/>
  <c r="D155" i="5"/>
  <c r="H90" i="3"/>
  <c r="H97" i="3"/>
  <c r="H99" i="3" s="1"/>
  <c r="H38" i="3"/>
  <c r="H40" i="3" s="1"/>
  <c r="F133" i="5"/>
  <c r="F134" i="5" s="1"/>
  <c r="F162" i="3"/>
  <c r="G60" i="4" s="1"/>
  <c r="G69" i="4" s="1"/>
  <c r="H157" i="5"/>
  <c r="H159" i="5"/>
  <c r="H162" i="5" s="1"/>
  <c r="H133" i="5"/>
  <c r="H162" i="3"/>
  <c r="B15" i="5"/>
  <c r="C16" i="5"/>
  <c r="C167" i="5" s="1"/>
  <c r="C14" i="5"/>
  <c r="C104" i="3"/>
  <c r="C106" i="3" s="1"/>
  <c r="I159" i="5"/>
  <c r="I162" i="5" s="1"/>
  <c r="I157" i="5"/>
  <c r="G150" i="3"/>
  <c r="G156" i="3"/>
  <c r="G157" i="3" s="1"/>
  <c r="I4" i="5"/>
  <c r="I134" i="3"/>
  <c r="I3" i="5"/>
  <c r="J4" i="4"/>
  <c r="I141" i="3"/>
  <c r="I148" i="3" s="1"/>
  <c r="K136" i="5"/>
  <c r="K134" i="5"/>
  <c r="E159" i="5"/>
  <c r="E162" i="5" s="1"/>
  <c r="E157" i="5"/>
  <c r="I16" i="5"/>
  <c r="H15" i="5"/>
  <c r="I14" i="5"/>
  <c r="I104" i="3"/>
  <c r="I106" i="3" s="1"/>
  <c r="H217" i="5"/>
  <c r="H219" i="5" s="1"/>
  <c r="H58" i="5"/>
  <c r="H60" i="5" s="1"/>
  <c r="H141" i="5" s="1"/>
  <c r="H62" i="5"/>
  <c r="I133" i="5"/>
  <c r="I134" i="5" s="1"/>
  <c r="I162" i="3"/>
  <c r="J60" i="4" s="1"/>
  <c r="J69" i="4" s="1"/>
  <c r="F95" i="5"/>
  <c r="J97" i="5"/>
  <c r="G171" i="5"/>
  <c r="G155" i="5"/>
  <c r="G203" i="5"/>
  <c r="C203" i="5"/>
  <c r="C155" i="5"/>
  <c r="C171" i="5"/>
  <c r="F15" i="5"/>
  <c r="G14" i="5"/>
  <c r="G16" i="5"/>
  <c r="G104" i="3"/>
  <c r="G106" i="3" s="1"/>
  <c r="H16" i="5"/>
  <c r="G15" i="5"/>
  <c r="H14" i="5"/>
  <c r="H104" i="3"/>
  <c r="H106" i="3" s="1"/>
  <c r="I173" i="5"/>
  <c r="I198" i="5" s="1"/>
  <c r="I178" i="5"/>
  <c r="E171" i="5"/>
  <c r="F96" i="5"/>
  <c r="C83" i="5"/>
  <c r="C105" i="5"/>
  <c r="C79" i="5"/>
  <c r="C96" i="5"/>
  <c r="C97" i="5"/>
  <c r="I136" i="5"/>
  <c r="J3" i="5"/>
  <c r="K4" i="4"/>
  <c r="J4" i="5"/>
  <c r="J141" i="3"/>
  <c r="J148" i="3" s="1"/>
  <c r="J134" i="3"/>
  <c r="C97" i="3"/>
  <c r="C90" i="3"/>
  <c r="C38" i="3"/>
  <c r="C40" i="3" s="1"/>
  <c r="D106" i="3"/>
  <c r="I202" i="5"/>
  <c r="I204" i="5" s="1"/>
  <c r="I26" i="5"/>
  <c r="I25" i="5"/>
  <c r="I221" i="5" s="1"/>
  <c r="I223" i="5" s="1"/>
  <c r="G217" i="5"/>
  <c r="G219" i="5" s="1"/>
  <c r="G62" i="5"/>
  <c r="G58" i="5"/>
  <c r="G60" i="5" s="1"/>
  <c r="G141" i="5" s="1"/>
  <c r="G133" i="5"/>
  <c r="G134" i="5" s="1"/>
  <c r="G162" i="3"/>
  <c r="H60" i="4" s="1"/>
  <c r="H69" i="4" s="1"/>
  <c r="C168" i="5"/>
  <c r="C187" i="5"/>
  <c r="B97" i="3"/>
  <c r="B99" i="3" s="1"/>
  <c r="B90" i="3"/>
  <c r="B38" i="3"/>
  <c r="B40" i="3" s="1"/>
  <c r="D98" i="3"/>
  <c r="D89" i="3"/>
  <c r="B98" i="3"/>
  <c r="B89" i="3"/>
  <c r="C98" i="3"/>
  <c r="C89" i="3"/>
  <c r="K98" i="3"/>
  <c r="K99" i="3" s="1"/>
  <c r="K89" i="3"/>
  <c r="J105" i="5"/>
  <c r="J83" i="5"/>
  <c r="J79" i="5"/>
  <c r="J96" i="5"/>
  <c r="K150" i="3"/>
  <c r="K156" i="3"/>
  <c r="K157" i="3" s="1"/>
  <c r="D99" i="3"/>
  <c r="J173" i="5"/>
  <c r="J198" i="5" s="1"/>
  <c r="J178" i="5"/>
  <c r="B3" i="5"/>
  <c r="C4" i="4"/>
  <c r="B4" i="5"/>
  <c r="B141" i="3"/>
  <c r="B148" i="3" s="1"/>
  <c r="B134" i="3"/>
  <c r="H173" i="5"/>
  <c r="H198" i="5" s="1"/>
  <c r="H178" i="5"/>
  <c r="B79" i="5"/>
  <c r="B83" i="5"/>
  <c r="B105" i="5"/>
  <c r="B96" i="5"/>
  <c r="K175" i="5"/>
  <c r="K189" i="5"/>
  <c r="K186" i="5"/>
  <c r="K188" i="5" s="1"/>
  <c r="K190" i="5" s="1"/>
  <c r="K169" i="5"/>
  <c r="B16" i="5"/>
  <c r="B167" i="5" s="1"/>
  <c r="B14" i="5"/>
  <c r="B104" i="3"/>
  <c r="B106" i="3" s="1"/>
  <c r="G107" i="5"/>
  <c r="G82" i="5"/>
  <c r="G84" i="5" s="1"/>
  <c r="G104" i="5"/>
  <c r="E202" i="5"/>
  <c r="E204" i="5" s="1"/>
  <c r="E26" i="5"/>
  <c r="E25" i="5"/>
  <c r="E221" i="5" s="1"/>
  <c r="E223" i="5" s="1"/>
  <c r="B97" i="5"/>
  <c r="C4" i="5"/>
  <c r="D4" i="4"/>
  <c r="C3" i="5"/>
  <c r="C141" i="3"/>
  <c r="C148" i="3" s="1"/>
  <c r="C134" i="3"/>
  <c r="E4" i="5"/>
  <c r="F4" i="4"/>
  <c r="E3" i="5"/>
  <c r="E141" i="3"/>
  <c r="E148" i="3" s="1"/>
  <c r="E134" i="3"/>
  <c r="D3" i="5"/>
  <c r="D4" i="5"/>
  <c r="E4" i="4"/>
  <c r="D141" i="3"/>
  <c r="D148" i="3" s="1"/>
  <c r="D134" i="3"/>
  <c r="D90" i="3"/>
  <c r="J159" i="5"/>
  <c r="J162" i="5" s="1"/>
  <c r="J157" i="5"/>
  <c r="E97" i="3"/>
  <c r="E99" i="3" s="1"/>
  <c r="E90" i="3"/>
  <c r="E38" i="3"/>
  <c r="E40" i="3" s="1"/>
  <c r="D63" i="5"/>
  <c r="D137" i="5"/>
  <c r="D138" i="5" s="1"/>
  <c r="K203" i="5"/>
  <c r="K204" i="5" s="1"/>
  <c r="K155" i="5"/>
  <c r="K171" i="5"/>
  <c r="B203" i="5"/>
  <c r="B204" i="5" s="1"/>
  <c r="B155" i="5"/>
  <c r="B171" i="5"/>
  <c r="K106" i="3"/>
  <c r="B133" i="5"/>
  <c r="B134" i="5" s="1"/>
  <c r="B162" i="3"/>
  <c r="C60" i="4" s="1"/>
  <c r="C69" i="4" s="1"/>
  <c r="D202" i="5"/>
  <c r="D204" i="5" s="1"/>
  <c r="D25" i="5"/>
  <c r="D221" i="5" s="1"/>
  <c r="D223" i="5" s="1"/>
  <c r="D26" i="5"/>
  <c r="G202" i="5"/>
  <c r="G204" i="5" s="1"/>
  <c r="G25" i="5"/>
  <c r="G221" i="5" s="1"/>
  <c r="G223" i="5" s="1"/>
  <c r="G26" i="5"/>
  <c r="B95" i="5"/>
  <c r="K104" i="5"/>
  <c r="K107" i="5"/>
  <c r="K82" i="5"/>
  <c r="K84" i="5" s="1"/>
  <c r="F97" i="3"/>
  <c r="F99" i="3" s="1"/>
  <c r="F90" i="3"/>
  <c r="F38" i="3"/>
  <c r="F40" i="3" s="1"/>
  <c r="J97" i="3"/>
  <c r="J99" i="3" s="1"/>
  <c r="J90" i="3"/>
  <c r="J38" i="3"/>
  <c r="J40" i="3" s="1"/>
  <c r="E16" i="5"/>
  <c r="E167" i="5" s="1"/>
  <c r="E14" i="5"/>
  <c r="D15" i="5"/>
  <c r="E104" i="3"/>
  <c r="E106" i="3" s="1"/>
  <c r="F223" i="5"/>
  <c r="K79" i="5"/>
  <c r="K105" i="5"/>
  <c r="K83" i="5"/>
  <c r="K97" i="5"/>
  <c r="K96" i="5"/>
  <c r="D79" i="5"/>
  <c r="D83" i="5"/>
  <c r="D105" i="5"/>
  <c r="K63" i="5"/>
  <c r="K137" i="5"/>
  <c r="H150" i="3"/>
  <c r="H156" i="3"/>
  <c r="H157" i="3" s="1"/>
  <c r="D95" i="5"/>
  <c r="E105" i="5"/>
  <c r="E83" i="5"/>
  <c r="E79" i="5"/>
  <c r="C202" i="5"/>
  <c r="C204" i="5" s="1"/>
  <c r="C25" i="5"/>
  <c r="C221" i="5" s="1"/>
  <c r="C223" i="5" s="1"/>
  <c r="C26" i="5"/>
  <c r="K133" i="5"/>
  <c r="K162" i="3"/>
  <c r="L60" i="4" s="1"/>
  <c r="L69" i="4" s="1"/>
  <c r="G79" i="5"/>
  <c r="G105" i="5"/>
  <c r="G83" i="5"/>
  <c r="H134" i="5"/>
  <c r="H136" i="5"/>
  <c r="C136" i="5"/>
  <c r="C134" i="5"/>
  <c r="K58" i="5"/>
  <c r="K60" i="5" s="1"/>
  <c r="K141" i="5" s="1"/>
  <c r="K217" i="5"/>
  <c r="K219" i="5" s="1"/>
  <c r="K62" i="5"/>
  <c r="K64" i="5" s="1"/>
  <c r="E15" i="5"/>
  <c r="F14" i="5"/>
  <c r="F16" i="5"/>
  <c r="F167" i="5" s="1"/>
  <c r="F104" i="3"/>
  <c r="F106" i="3" s="1"/>
  <c r="J16" i="5"/>
  <c r="J167" i="5" s="1"/>
  <c r="J14" i="5"/>
  <c r="J104" i="3"/>
  <c r="J106" i="3" s="1"/>
  <c r="I15" i="5"/>
  <c r="E133" i="5"/>
  <c r="E134" i="5" s="1"/>
  <c r="E162" i="3"/>
  <c r="F60" i="4" s="1"/>
  <c r="F69" i="4" s="1"/>
  <c r="F4" i="5"/>
  <c r="F3" i="5"/>
  <c r="F141" i="3"/>
  <c r="F148" i="3" s="1"/>
  <c r="F134" i="3"/>
  <c r="G4" i="4"/>
  <c r="F171" i="5"/>
  <c r="F155" i="5"/>
  <c r="F203" i="5"/>
  <c r="F204" i="5" s="1"/>
  <c r="J168" i="5"/>
  <c r="J187" i="5"/>
  <c r="I150" i="3" l="1"/>
  <c r="I156" i="3"/>
  <c r="I157" i="3" s="1"/>
  <c r="D159" i="5"/>
  <c r="D162" i="5" s="1"/>
  <c r="D157" i="5"/>
  <c r="F137" i="5"/>
  <c r="F138" i="5" s="1"/>
  <c r="F63" i="5"/>
  <c r="E150" i="3"/>
  <c r="E156" i="3"/>
  <c r="E157" i="3" s="1"/>
  <c r="K177" i="5"/>
  <c r="K179" i="5" s="1"/>
  <c r="K206" i="5"/>
  <c r="G64" i="5"/>
  <c r="C99" i="3"/>
  <c r="G137" i="5"/>
  <c r="G63" i="5"/>
  <c r="E168" i="5"/>
  <c r="E187" i="5"/>
  <c r="E60" i="4"/>
  <c r="E69" i="4" s="1"/>
  <c r="E82" i="5"/>
  <c r="E84" i="5" s="1"/>
  <c r="E107" i="5"/>
  <c r="E104" i="5"/>
  <c r="C62" i="5"/>
  <c r="C58" i="5"/>
  <c r="C60" i="5" s="1"/>
  <c r="C141" i="5" s="1"/>
  <c r="C217" i="5"/>
  <c r="C219" i="5" s="1"/>
  <c r="B150" i="3"/>
  <c r="B156" i="3"/>
  <c r="B157" i="3" s="1"/>
  <c r="L35" i="4"/>
  <c r="L40" i="4" s="1"/>
  <c r="L7" i="4"/>
  <c r="L8" i="4" s="1"/>
  <c r="F168" i="5"/>
  <c r="F187" i="5"/>
  <c r="I137" i="5"/>
  <c r="I63" i="5"/>
  <c r="D178" i="5"/>
  <c r="D173" i="5"/>
  <c r="D198" i="5" s="1"/>
  <c r="B58" i="5"/>
  <c r="B60" i="5" s="1"/>
  <c r="B141" i="5" s="1"/>
  <c r="B62" i="5"/>
  <c r="B217" i="5"/>
  <c r="B219" i="5" s="1"/>
  <c r="K154" i="3"/>
  <c r="K6" i="5"/>
  <c r="L68" i="4"/>
  <c r="L75" i="4" s="1"/>
  <c r="K153" i="3"/>
  <c r="J150" i="3"/>
  <c r="J156" i="3"/>
  <c r="J157" i="3" s="1"/>
  <c r="C173" i="5"/>
  <c r="C198" i="5" s="1"/>
  <c r="C178" i="5"/>
  <c r="H168" i="5"/>
  <c r="H187" i="5"/>
  <c r="I104" i="5"/>
  <c r="I107" i="5"/>
  <c r="I82" i="5"/>
  <c r="I84" i="5" s="1"/>
  <c r="C186" i="5"/>
  <c r="C188" i="5" s="1"/>
  <c r="C169" i="5"/>
  <c r="C175" i="5"/>
  <c r="C189" i="5"/>
  <c r="H106" i="5"/>
  <c r="H109" i="5" s="1"/>
  <c r="F178" i="5"/>
  <c r="F173" i="5"/>
  <c r="F198" i="5" s="1"/>
  <c r="I168" i="5"/>
  <c r="I187" i="5"/>
  <c r="K140" i="5"/>
  <c r="K142" i="5" s="1"/>
  <c r="K87" i="5"/>
  <c r="K94" i="5"/>
  <c r="K98" i="5" s="1"/>
  <c r="K101" i="5" s="1"/>
  <c r="B159" i="5"/>
  <c r="B162" i="5" s="1"/>
  <c r="B157" i="5"/>
  <c r="B186" i="5"/>
  <c r="B175" i="5"/>
  <c r="B104" i="5"/>
  <c r="B107" i="5"/>
  <c r="B82" i="5"/>
  <c r="B84" i="5" s="1"/>
  <c r="G168" i="5"/>
  <c r="G187" i="5"/>
  <c r="I62" i="5"/>
  <c r="I64" i="5" s="1"/>
  <c r="I217" i="5"/>
  <c r="I219" i="5" s="1"/>
  <c r="I58" i="5"/>
  <c r="I60" i="5" s="1"/>
  <c r="I141" i="5" s="1"/>
  <c r="B168" i="5"/>
  <c r="B169" i="5" s="1"/>
  <c r="B187" i="5"/>
  <c r="D217" i="5"/>
  <c r="D219" i="5" s="1"/>
  <c r="D58" i="5"/>
  <c r="D60" i="5" s="1"/>
  <c r="D141" i="5" s="1"/>
  <c r="D62" i="5"/>
  <c r="D64" i="5" s="1"/>
  <c r="K181" i="5"/>
  <c r="J104" i="5"/>
  <c r="J107" i="5"/>
  <c r="J82" i="5"/>
  <c r="J84" i="5" s="1"/>
  <c r="H167" i="5"/>
  <c r="H35" i="4"/>
  <c r="H40" i="4" s="1"/>
  <c r="H7" i="4"/>
  <c r="H8" i="4" s="1"/>
  <c r="I60" i="4"/>
  <c r="I69" i="4" s="1"/>
  <c r="H68" i="4"/>
  <c r="H75" i="4" s="1"/>
  <c r="G6" i="5"/>
  <c r="G154" i="3"/>
  <c r="G153" i="3"/>
  <c r="G138" i="5"/>
  <c r="K60" i="4"/>
  <c r="K69" i="4" s="1"/>
  <c r="C137" i="5"/>
  <c r="C138" i="5" s="1"/>
  <c r="C63" i="5"/>
  <c r="F150" i="3"/>
  <c r="F156" i="3"/>
  <c r="F157" i="3" s="1"/>
  <c r="D168" i="5"/>
  <c r="D187" i="5"/>
  <c r="B173" i="5"/>
  <c r="B198" i="5" s="1"/>
  <c r="B178" i="5"/>
  <c r="D150" i="3"/>
  <c r="D156" i="3"/>
  <c r="D157" i="3" s="1"/>
  <c r="E217" i="5"/>
  <c r="E219" i="5" s="1"/>
  <c r="E58" i="5"/>
  <c r="E60" i="5" s="1"/>
  <c r="E141" i="5" s="1"/>
  <c r="E62" i="5"/>
  <c r="B137" i="5"/>
  <c r="B138" i="5" s="1"/>
  <c r="B63" i="5"/>
  <c r="J58" i="5"/>
  <c r="J60" i="5" s="1"/>
  <c r="J141" i="5" s="1"/>
  <c r="J217" i="5"/>
  <c r="J219" i="5" s="1"/>
  <c r="J62" i="5"/>
  <c r="J64" i="5" s="1"/>
  <c r="H137" i="5"/>
  <c r="H63" i="5"/>
  <c r="H64" i="5" s="1"/>
  <c r="C159" i="5"/>
  <c r="C162" i="5" s="1"/>
  <c r="C157" i="5"/>
  <c r="I167" i="5"/>
  <c r="F107" i="5"/>
  <c r="F82" i="5"/>
  <c r="F84" i="5" s="1"/>
  <c r="F104" i="5"/>
  <c r="J137" i="5"/>
  <c r="J138" i="5" s="1"/>
  <c r="J63" i="5"/>
  <c r="E137" i="5"/>
  <c r="E138" i="5" s="1"/>
  <c r="E63" i="5"/>
  <c r="F62" i="5"/>
  <c r="F217" i="5"/>
  <c r="F219" i="5" s="1"/>
  <c r="F58" i="5"/>
  <c r="F60" i="5" s="1"/>
  <c r="F141" i="5" s="1"/>
  <c r="J175" i="5"/>
  <c r="J169" i="5"/>
  <c r="J189" i="5"/>
  <c r="J186" i="5"/>
  <c r="J188" i="5" s="1"/>
  <c r="J190" i="5" s="1"/>
  <c r="I35" i="4"/>
  <c r="I40" i="4" s="1"/>
  <c r="I7" i="4"/>
  <c r="I8" i="4" s="1"/>
  <c r="E186" i="5"/>
  <c r="E188" i="5" s="1"/>
  <c r="E189" i="5"/>
  <c r="E175" i="5"/>
  <c r="E169" i="5"/>
  <c r="H6" i="5"/>
  <c r="I68" i="4"/>
  <c r="H154" i="3"/>
  <c r="H153" i="3"/>
  <c r="K173" i="5"/>
  <c r="K198" i="5" s="1"/>
  <c r="K178" i="5"/>
  <c r="D107" i="5"/>
  <c r="D82" i="5"/>
  <c r="D84" i="5" s="1"/>
  <c r="D104" i="5"/>
  <c r="C150" i="3"/>
  <c r="C156" i="3"/>
  <c r="C157" i="3" s="1"/>
  <c r="I138" i="5"/>
  <c r="G157" i="5"/>
  <c r="G159" i="5"/>
  <c r="G162" i="5" s="1"/>
  <c r="F157" i="5"/>
  <c r="F159" i="5"/>
  <c r="F162" i="5" s="1"/>
  <c r="F189" i="5"/>
  <c r="F169" i="5"/>
  <c r="F186" i="5"/>
  <c r="F188" i="5" s="1"/>
  <c r="F190" i="5" s="1"/>
  <c r="F175" i="5"/>
  <c r="H138" i="5"/>
  <c r="K106" i="5"/>
  <c r="K109" i="5" s="1"/>
  <c r="K157" i="5"/>
  <c r="K159" i="5"/>
  <c r="K162" i="5" s="1"/>
  <c r="C104" i="5"/>
  <c r="C107" i="5"/>
  <c r="C82" i="5"/>
  <c r="C84" i="5" s="1"/>
  <c r="G106" i="5"/>
  <c r="G109" i="5" s="1"/>
  <c r="D167" i="5"/>
  <c r="E178" i="5"/>
  <c r="E173" i="5"/>
  <c r="E198" i="5" s="1"/>
  <c r="G167" i="5"/>
  <c r="G178" i="5"/>
  <c r="G173" i="5"/>
  <c r="G198" i="5" s="1"/>
  <c r="K138" i="5"/>
  <c r="B207" i="5" l="1"/>
  <c r="B181" i="5"/>
  <c r="H94" i="5"/>
  <c r="H98" i="5" s="1"/>
  <c r="H101" i="5" s="1"/>
  <c r="H140" i="5"/>
  <c r="H142" i="5" s="1"/>
  <c r="H87" i="5"/>
  <c r="H110" i="5"/>
  <c r="F206" i="5"/>
  <c r="F177" i="5"/>
  <c r="F179" i="5" s="1"/>
  <c r="J87" i="5"/>
  <c r="J140" i="5"/>
  <c r="J142" i="5" s="1"/>
  <c r="J94" i="5"/>
  <c r="J98" i="5" s="1"/>
  <c r="J101" i="5" s="1"/>
  <c r="K68" i="4"/>
  <c r="K75" i="4" s="1"/>
  <c r="J6" i="5"/>
  <c r="J154" i="3"/>
  <c r="J153" i="3"/>
  <c r="D6" i="5"/>
  <c r="D154" i="3"/>
  <c r="E68" i="4"/>
  <c r="E75" i="4" s="1"/>
  <c r="D153" i="3"/>
  <c r="B109" i="5"/>
  <c r="B106" i="5"/>
  <c r="E207" i="5"/>
  <c r="E181" i="5"/>
  <c r="J207" i="5"/>
  <c r="J181" i="5"/>
  <c r="G68" i="4"/>
  <c r="G75" i="4" s="1"/>
  <c r="F154" i="3"/>
  <c r="F6" i="5"/>
  <c r="F153" i="3"/>
  <c r="K35" i="4"/>
  <c r="K40" i="4" s="1"/>
  <c r="K7" i="4"/>
  <c r="K8" i="4" s="1"/>
  <c r="L23" i="4"/>
  <c r="L31" i="4" s="1"/>
  <c r="L58" i="4"/>
  <c r="L64" i="4" s="1"/>
  <c r="E6" i="5"/>
  <c r="F68" i="4"/>
  <c r="F75" i="4" s="1"/>
  <c r="E154" i="3"/>
  <c r="E153" i="3"/>
  <c r="G140" i="5"/>
  <c r="G142" i="5" s="1"/>
  <c r="G94" i="5"/>
  <c r="G98" i="5" s="1"/>
  <c r="G101" i="5" s="1"/>
  <c r="G87" i="5"/>
  <c r="E35" i="4"/>
  <c r="E40" i="4" s="1"/>
  <c r="E7" i="4"/>
  <c r="E8" i="4" s="1"/>
  <c r="H23" i="4"/>
  <c r="H31" i="4" s="1"/>
  <c r="H58" i="4"/>
  <c r="H64" i="4" s="1"/>
  <c r="K207" i="5"/>
  <c r="I140" i="5"/>
  <c r="I142" i="5" s="1"/>
  <c r="I87" i="5"/>
  <c r="I94" i="5"/>
  <c r="I98" i="5" s="1"/>
  <c r="B189" i="5"/>
  <c r="K88" i="5"/>
  <c r="K91" i="5"/>
  <c r="K100" i="5" s="1"/>
  <c r="K89" i="5"/>
  <c r="K90" i="5"/>
  <c r="K193" i="5"/>
  <c r="K78" i="5"/>
  <c r="K80" i="5" s="1"/>
  <c r="K110" i="5" s="1"/>
  <c r="K108" i="5"/>
  <c r="K196" i="5"/>
  <c r="K194" i="5"/>
  <c r="J106" i="5"/>
  <c r="J109" i="5"/>
  <c r="C35" i="4"/>
  <c r="C40" i="4" s="1"/>
  <c r="C7" i="4"/>
  <c r="C8" i="4" s="1"/>
  <c r="G189" i="5"/>
  <c r="G169" i="5"/>
  <c r="G186" i="5"/>
  <c r="G188" i="5" s="1"/>
  <c r="G190" i="5" s="1"/>
  <c r="G175" i="5"/>
  <c r="F181" i="5"/>
  <c r="F207" i="5"/>
  <c r="I75" i="4"/>
  <c r="D140" i="5"/>
  <c r="D142" i="5" s="1"/>
  <c r="D94" i="5"/>
  <c r="D98" i="5" s="1"/>
  <c r="D87" i="5"/>
  <c r="C206" i="5"/>
  <c r="C177" i="5"/>
  <c r="C179" i="5" s="1"/>
  <c r="E206" i="5"/>
  <c r="E177" i="5"/>
  <c r="E179" i="5" s="1"/>
  <c r="J177" i="5"/>
  <c r="J179" i="5" s="1"/>
  <c r="J206" i="5"/>
  <c r="F106" i="5"/>
  <c r="F109" i="5"/>
  <c r="I101" i="5"/>
  <c r="D35" i="4"/>
  <c r="D40" i="4" s="1"/>
  <c r="D7" i="4"/>
  <c r="D8" i="4" s="1"/>
  <c r="B206" i="5"/>
  <c r="B177" i="5"/>
  <c r="B179" i="5" s="1"/>
  <c r="I58" i="4"/>
  <c r="I64" i="4" s="1"/>
  <c r="I23" i="4"/>
  <c r="I31" i="4" s="1"/>
  <c r="I175" i="5"/>
  <c r="I169" i="5"/>
  <c r="I186" i="5"/>
  <c r="I188" i="5" s="1"/>
  <c r="I189" i="5"/>
  <c r="D101" i="5"/>
  <c r="E64" i="5"/>
  <c r="B188" i="5"/>
  <c r="B190" i="5" s="1"/>
  <c r="C207" i="5"/>
  <c r="C181" i="5"/>
  <c r="C64" i="5"/>
  <c r="J35" i="4"/>
  <c r="J40" i="4" s="1"/>
  <c r="J7" i="4"/>
  <c r="J8" i="4" s="1"/>
  <c r="C106" i="5"/>
  <c r="C109" i="5" s="1"/>
  <c r="C6" i="5"/>
  <c r="D68" i="4"/>
  <c r="D75" i="4" s="1"/>
  <c r="C154" i="3"/>
  <c r="C153" i="3"/>
  <c r="E190" i="5"/>
  <c r="I106" i="5"/>
  <c r="I109" i="5"/>
  <c r="B154" i="3"/>
  <c r="C68" i="4"/>
  <c r="C75" i="4" s="1"/>
  <c r="B6" i="5"/>
  <c r="B153" i="3"/>
  <c r="D106" i="5"/>
  <c r="D109" i="5" s="1"/>
  <c r="H78" i="5"/>
  <c r="H80" i="5" s="1"/>
  <c r="H193" i="5"/>
  <c r="H108" i="5"/>
  <c r="H194" i="5"/>
  <c r="H196" i="5"/>
  <c r="F64" i="5"/>
  <c r="D186" i="5"/>
  <c r="D188" i="5" s="1"/>
  <c r="D189" i="5"/>
  <c r="D175" i="5"/>
  <c r="D169" i="5"/>
  <c r="G35" i="4"/>
  <c r="G40" i="4" s="1"/>
  <c r="G7" i="4"/>
  <c r="G8" i="4" s="1"/>
  <c r="G193" i="5"/>
  <c r="G108" i="5"/>
  <c r="G78" i="5"/>
  <c r="G80" i="5" s="1"/>
  <c r="G110" i="5" s="1"/>
  <c r="G196" i="5"/>
  <c r="G194" i="5"/>
  <c r="H175" i="5"/>
  <c r="H169" i="5"/>
  <c r="H189" i="5"/>
  <c r="H186" i="5"/>
  <c r="H188" i="5" s="1"/>
  <c r="H190" i="5" s="1"/>
  <c r="C190" i="5"/>
  <c r="B64" i="5"/>
  <c r="E106" i="5"/>
  <c r="E109" i="5" s="1"/>
  <c r="F35" i="4"/>
  <c r="F40" i="4" s="1"/>
  <c r="F7" i="4"/>
  <c r="F8" i="4" s="1"/>
  <c r="J68" i="4"/>
  <c r="J75" i="4" s="1"/>
  <c r="I6" i="5"/>
  <c r="I154" i="3"/>
  <c r="I153" i="3"/>
  <c r="L66" i="4" l="1"/>
  <c r="J193" i="5"/>
  <c r="J108" i="5"/>
  <c r="J78" i="5"/>
  <c r="J80" i="5" s="1"/>
  <c r="J110" i="5" s="1"/>
  <c r="J194" i="5"/>
  <c r="J196" i="5"/>
  <c r="H88" i="5"/>
  <c r="H90" i="5"/>
  <c r="H89" i="5"/>
  <c r="H91" i="5" s="1"/>
  <c r="H100" i="5" s="1"/>
  <c r="F140" i="5"/>
  <c r="F142" i="5" s="1"/>
  <c r="F94" i="5"/>
  <c r="F98" i="5" s="1"/>
  <c r="F101" i="5" s="1"/>
  <c r="F87" i="5"/>
  <c r="D23" i="4"/>
  <c r="D31" i="4" s="1"/>
  <c r="D58" i="4"/>
  <c r="D64" i="4" s="1"/>
  <c r="K197" i="5"/>
  <c r="K199" i="5" s="1"/>
  <c r="K195" i="5"/>
  <c r="I65" i="4"/>
  <c r="I41" i="4"/>
  <c r="K23" i="4"/>
  <c r="K31" i="4" s="1"/>
  <c r="K58" i="4"/>
  <c r="K64" i="4" s="1"/>
  <c r="I181" i="5"/>
  <c r="I207" i="5"/>
  <c r="C23" i="4"/>
  <c r="C31" i="4" s="1"/>
  <c r="C58" i="4"/>
  <c r="C64" i="4" s="1"/>
  <c r="I193" i="5"/>
  <c r="I78" i="5"/>
  <c r="I80" i="5" s="1"/>
  <c r="I108" i="5"/>
  <c r="I194" i="5"/>
  <c r="I196" i="5"/>
  <c r="G195" i="5"/>
  <c r="G197" i="5"/>
  <c r="G199" i="5" s="1"/>
  <c r="B193" i="5"/>
  <c r="B108" i="5"/>
  <c r="B78" i="5"/>
  <c r="B80" i="5" s="1"/>
  <c r="B110" i="5" s="1"/>
  <c r="B194" i="5"/>
  <c r="B196" i="5"/>
  <c r="I206" i="5"/>
  <c r="I177" i="5"/>
  <c r="I179" i="5" s="1"/>
  <c r="L65" i="4"/>
  <c r="L41" i="4"/>
  <c r="G58" i="4"/>
  <c r="G64" i="4" s="1"/>
  <c r="G23" i="4"/>
  <c r="G31" i="4" s="1"/>
  <c r="C193" i="5"/>
  <c r="C108" i="5"/>
  <c r="C78" i="5"/>
  <c r="C80" i="5" s="1"/>
  <c r="C110" i="5" s="1"/>
  <c r="C194" i="5"/>
  <c r="C196" i="5"/>
  <c r="F78" i="5"/>
  <c r="F80" i="5" s="1"/>
  <c r="F193" i="5"/>
  <c r="F108" i="5"/>
  <c r="F194" i="5"/>
  <c r="F196" i="5"/>
  <c r="F58" i="4"/>
  <c r="F64" i="4" s="1"/>
  <c r="F23" i="4"/>
  <c r="F31" i="4" s="1"/>
  <c r="H181" i="5"/>
  <c r="H207" i="5"/>
  <c r="H41" i="4"/>
  <c r="H65" i="4"/>
  <c r="H66" i="4" s="1"/>
  <c r="H206" i="5"/>
  <c r="H177" i="5"/>
  <c r="H179" i="5" s="1"/>
  <c r="H197" i="5"/>
  <c r="H199" i="5" s="1"/>
  <c r="H195" i="5"/>
  <c r="F110" i="5"/>
  <c r="D206" i="5"/>
  <c r="D177" i="5"/>
  <c r="D179" i="5" s="1"/>
  <c r="E58" i="4"/>
  <c r="E64" i="4" s="1"/>
  <c r="E23" i="4"/>
  <c r="E31" i="4" s="1"/>
  <c r="J91" i="5"/>
  <c r="J100" i="5" s="1"/>
  <c r="J88" i="5"/>
  <c r="J89" i="5"/>
  <c r="J90" i="5"/>
  <c r="E140" i="5"/>
  <c r="E142" i="5" s="1"/>
  <c r="E87" i="5"/>
  <c r="E94" i="5"/>
  <c r="E98" i="5" s="1"/>
  <c r="E101" i="5" s="1"/>
  <c r="I66" i="4"/>
  <c r="D207" i="5"/>
  <c r="D181" i="5"/>
  <c r="I110" i="5"/>
  <c r="G206" i="5"/>
  <c r="G177" i="5"/>
  <c r="G179" i="5" s="1"/>
  <c r="J58" i="4"/>
  <c r="J64" i="4" s="1"/>
  <c r="J23" i="4"/>
  <c r="J31" i="4" s="1"/>
  <c r="D88" i="5"/>
  <c r="D91" i="5" s="1"/>
  <c r="D100" i="5" s="1"/>
  <c r="D90" i="5"/>
  <c r="D89" i="5"/>
  <c r="G181" i="5"/>
  <c r="G207" i="5"/>
  <c r="D193" i="5"/>
  <c r="D78" i="5"/>
  <c r="D80" i="5" s="1"/>
  <c r="D110" i="5" s="1"/>
  <c r="D108" i="5"/>
  <c r="D194" i="5"/>
  <c r="D196" i="5"/>
  <c r="B87" i="5"/>
  <c r="B140" i="5"/>
  <c r="B142" i="5" s="1"/>
  <c r="B94" i="5"/>
  <c r="B98" i="5" s="1"/>
  <c r="B101" i="5" s="1"/>
  <c r="D190" i="5"/>
  <c r="C87" i="5"/>
  <c r="C140" i="5"/>
  <c r="C142" i="5" s="1"/>
  <c r="C94" i="5"/>
  <c r="C98" i="5" s="1"/>
  <c r="C101" i="5" s="1"/>
  <c r="I190" i="5"/>
  <c r="I88" i="5"/>
  <c r="I91" i="5" s="1"/>
  <c r="I100" i="5" s="1"/>
  <c r="I89" i="5"/>
  <c r="I90" i="5"/>
  <c r="G88" i="5"/>
  <c r="G91" i="5" s="1"/>
  <c r="G100" i="5" s="1"/>
  <c r="G89" i="5"/>
  <c r="G90" i="5"/>
  <c r="E193" i="5"/>
  <c r="E108" i="5"/>
  <c r="E78" i="5"/>
  <c r="E80" i="5" s="1"/>
  <c r="E110" i="5" s="1"/>
  <c r="E196" i="5"/>
  <c r="E194" i="5"/>
  <c r="I76" i="4" l="1"/>
  <c r="I77" i="4" s="1"/>
  <c r="I49" i="4"/>
  <c r="I55" i="4" s="1"/>
  <c r="I56" i="4" s="1"/>
  <c r="C197" i="5"/>
  <c r="C199" i="5" s="1"/>
  <c r="C195" i="5"/>
  <c r="E195" i="5"/>
  <c r="E197" i="5"/>
  <c r="E199" i="5" s="1"/>
  <c r="C88" i="5"/>
  <c r="C91" i="5" s="1"/>
  <c r="C100" i="5" s="1"/>
  <c r="C90" i="5"/>
  <c r="C89" i="5"/>
  <c r="C65" i="4"/>
  <c r="C41" i="4"/>
  <c r="K65" i="4"/>
  <c r="K66" i="4" s="1"/>
  <c r="K41" i="4"/>
  <c r="F91" i="5"/>
  <c r="F100" i="5" s="1"/>
  <c r="F88" i="5"/>
  <c r="F89" i="5"/>
  <c r="F90" i="5"/>
  <c r="E41" i="4"/>
  <c r="E65" i="4"/>
  <c r="E66" i="4" s="1"/>
  <c r="J197" i="5"/>
  <c r="J199" i="5" s="1"/>
  <c r="J195" i="5"/>
  <c r="F195" i="5"/>
  <c r="F197" i="5"/>
  <c r="F199" i="5" s="1"/>
  <c r="D197" i="5"/>
  <c r="D199" i="5" s="1"/>
  <c r="D195" i="5"/>
  <c r="J41" i="4"/>
  <c r="J65" i="4"/>
  <c r="J66" i="4" s="1"/>
  <c r="B91" i="5"/>
  <c r="B100" i="5" s="1"/>
  <c r="B88" i="5"/>
  <c r="B89" i="5"/>
  <c r="B90" i="5"/>
  <c r="E88" i="5"/>
  <c r="E91" i="5" s="1"/>
  <c r="E100" i="5" s="1"/>
  <c r="E89" i="5"/>
  <c r="E90" i="5"/>
  <c r="H49" i="4"/>
  <c r="H55" i="4" s="1"/>
  <c r="H56" i="4" s="1"/>
  <c r="H76" i="4"/>
  <c r="H77" i="4" s="1"/>
  <c r="G41" i="4"/>
  <c r="G65" i="4"/>
  <c r="G66" i="4" s="1"/>
  <c r="F41" i="4"/>
  <c r="F65" i="4"/>
  <c r="F66" i="4" s="1"/>
  <c r="L76" i="4"/>
  <c r="L77" i="4" s="1"/>
  <c r="L49" i="4"/>
  <c r="L55" i="4" s="1"/>
  <c r="L56" i="4" s="1"/>
  <c r="I197" i="5"/>
  <c r="I199" i="5" s="1"/>
  <c r="I195" i="5"/>
  <c r="D66" i="4"/>
  <c r="B197" i="5"/>
  <c r="B199" i="5" s="1"/>
  <c r="B195" i="5"/>
  <c r="C66" i="4"/>
  <c r="D41" i="4"/>
  <c r="D65" i="4"/>
  <c r="D76" i="4" l="1"/>
  <c r="D77" i="4" s="1"/>
  <c r="D49" i="4"/>
  <c r="D55" i="4" s="1"/>
  <c r="D56" i="4" s="1"/>
  <c r="K76" i="4"/>
  <c r="K77" i="4" s="1"/>
  <c r="K49" i="4"/>
  <c r="K55" i="4" s="1"/>
  <c r="K56" i="4" s="1"/>
  <c r="J76" i="4"/>
  <c r="J77" i="4" s="1"/>
  <c r="J49" i="4"/>
  <c r="J55" i="4" s="1"/>
  <c r="J56" i="4" s="1"/>
  <c r="C76" i="4"/>
  <c r="C77" i="4" s="1"/>
  <c r="C49" i="4"/>
  <c r="C55" i="4" s="1"/>
  <c r="C56" i="4" s="1"/>
  <c r="F76" i="4"/>
  <c r="F77" i="4" s="1"/>
  <c r="F49" i="4"/>
  <c r="F55" i="4" s="1"/>
  <c r="F56" i="4" s="1"/>
  <c r="E49" i="4"/>
  <c r="E55" i="4" s="1"/>
  <c r="E56" i="4" s="1"/>
  <c r="E76" i="4"/>
  <c r="E77" i="4" s="1"/>
  <c r="G76" i="4"/>
  <c r="G77" i="4" s="1"/>
  <c r="G49" i="4"/>
  <c r="G55" i="4" s="1"/>
  <c r="G56" i="4" s="1"/>
</calcChain>
</file>

<file path=xl/sharedStrings.xml><?xml version="1.0" encoding="utf-8"?>
<sst xmlns="http://schemas.openxmlformats.org/spreadsheetml/2006/main" count="837" uniqueCount="611">
  <si>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</si>
  <si>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</si>
  <si>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</si>
  <si>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</si>
  <si>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</si>
  <si>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</si>
  <si>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</si>
  <si>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</si>
  <si>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</si>
  <si>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</si>
  <si>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</si>
  <si>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</si>
  <si>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</si>
  <si>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</si>
  <si>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</si>
  <si>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</si>
  <si>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</si>
  <si>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</si>
  <si>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</si>
  <si>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</si>
  <si>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</si>
  <si>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</si>
  <si>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</si>
  <si>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</si>
  <si>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</si>
  <si>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</si>
  <si>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</si>
  <si>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</si>
  <si>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</si>
  <si>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</si>
  <si>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</si>
  <si>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</si>
  <si>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</si>
  <si>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</si>
  <si>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</si>
  <si>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</si>
  <si>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</si>
  <si>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</si>
  <si>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</si>
  <si>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</si>
  <si>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</si>
  <si>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</si>
  <si>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</si>
  <si>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</si>
  <si>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</si>
  <si>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</si>
  <si>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</si>
  <si>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</si>
  <si>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</si>
  <si>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</si>
  <si>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</si>
  <si>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</si>
  <si>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</si>
  <si>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</si>
  <si>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</si>
  <si>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</si>
  <si>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</si>
  <si>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</si>
  <si>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</si>
  <si>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</si>
  <si>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</si>
  <si>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</si>
  <si>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</si>
  <si>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</si>
  <si>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</si>
  <si>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</si>
  <si>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</si>
  <si>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</si>
  <si>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</si>
  <si>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</si>
  <si>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</si>
  <si>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</si>
  <si>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</si>
  <si>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</si>
  <si>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</si>
  <si>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</si>
  <si>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</si>
  <si>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</si>
  <si>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</si>
  <si>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</si>
  <si>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</si>
  <si>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</si>
  <si>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</si>
  <si>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</si>
  <si>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</si>
  <si>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</si>
  <si>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</si>
  <si>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</si>
  <si>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</si>
  <si>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</si>
  <si>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</si>
  <si>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</si>
  <si>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</si>
  <si>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</si>
  <si>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</si>
  <si>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</si>
  <si>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</si>
  <si>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</si>
  <si>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</si>
  <si>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</si>
  <si>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</si>
  <si>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</si>
  <si>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</si>
  <si>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</si>
  <si>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</si>
  <si>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</si>
  <si>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</si>
  <si>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</si>
  <si>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</si>
  <si>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</si>
  <si>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</si>
  <si>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</si>
  <si>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</si>
  <si>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</si>
  <si>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</si>
  <si>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</si>
  <si>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</si>
  <si>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</si>
  <si>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</si>
  <si>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</si>
  <si>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</si>
  <si>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</si>
  <si>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</si>
  <si>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</si>
  <si>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</si>
  <si>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</si>
  <si>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</si>
  <si>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</si>
  <si>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</si>
  <si>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</si>
  <si>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</si>
  <si>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</si>
  <si>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</si>
  <si>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</si>
  <si>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</si>
  <si>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</si>
  <si>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</si>
  <si>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</si>
  <si>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</si>
  <si>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</si>
  <si>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</si>
  <si>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</si>
  <si>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</si>
  <si>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</si>
  <si>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</si>
  <si>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</si>
  <si>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</si>
  <si>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</si>
  <si>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</si>
  <si>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</si>
  <si>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</si>
  <si>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</si>
  <si>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</si>
  <si>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</si>
  <si>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</si>
  <si>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</si>
  <si>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</si>
  <si>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</si>
  <si>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</si>
  <si>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</si>
  <si>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</si>
  <si>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</si>
  <si>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</si>
  <si>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</si>
  <si>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</si>
  <si>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</si>
  <si>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</si>
  <si>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</si>
  <si>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</si>
  <si>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</si>
  <si>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</si>
  <si>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</si>
  <si>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</si>
  <si>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</si>
  <si>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</si>
  <si>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</si>
  <si>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</si>
  <si>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</si>
  <si>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</si>
  <si>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</si>
  <si>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</si>
  <si>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</si>
  <si>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</si>
  <si>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</si>
  <si>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</si>
  <si>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</si>
  <si>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</si>
  <si>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</si>
  <si>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</si>
  <si>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</si>
  <si>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</si>
  <si>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</si>
  <si>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</si>
  <si>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</si>
  <si>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</si>
  <si>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</si>
  <si>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</si>
  <si>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</si>
  <si>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</si>
  <si>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</si>
  <si>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</si>
  <si>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</si>
  <si>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</si>
  <si>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</si>
  <si>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</si>
  <si>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</si>
  <si>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</si>
  <si>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</si>
  <si>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</si>
  <si>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</si>
  <si>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</si>
  <si>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</si>
  <si>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</si>
  <si>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</si>
  <si>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</si>
  <si>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</si>
  <si>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</si>
  <si>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</si>
  <si>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</si>
  <si>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</si>
  <si>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</si>
  <si>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</si>
  <si>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</si>
  <si>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</si>
  <si>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</si>
  <si>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</si>
  <si>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</si>
  <si>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</si>
  <si>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</si>
  <si>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</si>
  <si>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</si>
  <si>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</si>
  <si>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</si>
  <si>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</si>
  <si>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</si>
  <si>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</si>
  <si>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</si>
  <si>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</si>
  <si>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</si>
  <si>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</si>
  <si>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BOME' S.P.A.</t>
  </si>
  <si>
    <t>00369120225</t>
  </si>
  <si>
    <t>SP attivo</t>
  </si>
  <si>
    <t>Segno</t>
  </si>
  <si>
    <t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</si>
  <si>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</si>
  <si>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</si>
  <si>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</si>
  <si>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</si>
  <si>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</si>
  <si>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</si>
  <si>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</si>
  <si>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</si>
  <si>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</si>
  <si>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</si>
  <si>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</si>
  <si>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</si>
  <si>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</si>
  <si>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</si>
  <si>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</si>
  <si>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</si>
  <si>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</si>
  <si>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</si>
  <si>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</si>
  <si>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</si>
  <si>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</si>
  <si>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</si>
  <si>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</si>
  <si>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</si>
  <si>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</si>
  <si>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</si>
  <si>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</si>
  <si>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</si>
  <si>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</si>
  <si>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</si>
  <si>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</si>
  <si>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</si>
  <si>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</si>
  <si>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</si>
  <si>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</si>
  <si>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</si>
  <si>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</si>
  <si>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</si>
  <si>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</si>
  <si>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</si>
  <si>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</si>
  <si>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</si>
  <si>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</si>
  <si>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</si>
  <si>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</si>
  <si>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</si>
  <si>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</si>
  <si>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</si>
  <si>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</si>
  <si>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</si>
  <si>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>− Imposte</t>
  </si>
  <si>
    <t>Stato Patrimoniale Attivo</t>
  </si>
  <si>
    <t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</si>
  <si>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</si>
  <si>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</si>
  <si>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</si>
  <si>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</si>
  <si>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</si>
  <si>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</si>
  <si>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</si>
  <si>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>Attività fiscali</t>
  </si>
  <si>
    <t xml:space="preserve">   Totale attività fiscali</t>
  </si>
  <si>
    <t>Attività accessorie</t>
  </si>
  <si>
    <t xml:space="preserve">   Immobilizzazioni extra-operative</t>
  </si>
  <si>
    <t xml:space="preserve">   Totale attività accessorie</t>
  </si>
  <si>
    <t>Attività finanziarie</t>
  </si>
  <si>
    <t xml:space="preserve">   Totale attività finanziarie</t>
  </si>
  <si>
    <t>Totale attivo</t>
  </si>
  <si>
    <t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</si>
  <si>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</si>
  <si>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</si>
  <si>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</si>
  <si>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>Stato Patrimoniale Passivo</t>
  </si>
  <si>
    <t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</si>
  <si>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</si>
  <si>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</si>
  <si>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</si>
  <si>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</si>
  <si>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</si>
  <si>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</si>
  <si>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>Passività fiscali e fondi</t>
  </si>
  <si>
    <t xml:space="preserve">   Totale passività fiscali e fondi</t>
  </si>
  <si>
    <t>Passività accessorie</t>
  </si>
  <si>
    <t xml:space="preserve">   Totale passività accessorie</t>
  </si>
  <si>
    <t>Passività finanziarie</t>
  </si>
  <si>
    <t xml:space="preserve">   Debiti di tesoreria</t>
  </si>
  <si>
    <t xml:space="preserve">   Totale passività finanziarie</t>
  </si>
  <si>
    <t>Capitale proprio</t>
  </si>
  <si>
    <t xml:space="preserve">   Capitale netto</t>
  </si>
  <si>
    <t xml:space="preserve">   Totale capitale proprio</t>
  </si>
  <si>
    <t>Totale passivo</t>
  </si>
  <si>
    <t>diff da AIDA</t>
  </si>
  <si>
    <t>Check Tot.Attivo - Tot.Passivo</t>
  </si>
  <si>
    <t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</si>
  <si>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</si>
  <si>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</si>
  <si>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</si>
  <si>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</si>
  <si>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</si>
  <si>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</si>
  <si>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>CCON</t>
  </si>
  <si>
    <t>AON -&gt;</t>
  </si>
  <si>
    <t>debito netto, se neg è liq netta -&gt;</t>
  </si>
  <si>
    <t>AON*+ att.gestione accessoria</t>
  </si>
  <si>
    <t>capitale proprio + debito netto</t>
  </si>
  <si>
    <t>Relazione fonti/impieghi</t>
  </si>
  <si>
    <t>Conto Economico</t>
  </si>
  <si>
    <t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</si>
  <si>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</si>
  <si>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</si>
  <si>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</si>
  <si>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</si>
  <si>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</si>
  <si>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</si>
  <si>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</si>
  <si>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</si>
  <si>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>reddito operativo AIDA</t>
  </si>
  <si>
    <t>Check reddito operativo AIDA</t>
  </si>
  <si>
    <t>Gestione finanziaria</t>
  </si>
  <si>
    <t xml:space="preserve">   = (E) +/− Proventi/Oneri finanziari netti</t>
  </si>
  <si>
    <t xml:space="preserve">   = (D+E) Reddito lordo pre gestione accessoria, straordinaria</t>
  </si>
  <si>
    <t>Gestione accessoria e straordinaria</t>
  </si>
  <si>
    <t xml:space="preserve">   = (F) +/− Reddito gestioni accessoria e straordinaria</t>
  </si>
  <si>
    <t>= (D+E+F) reddito lordo</t>
  </si>
  <si>
    <t>= Reddito netto</t>
  </si>
  <si>
    <t>Check reddito netto</t>
  </si>
  <si>
    <t xml:space="preserve">  Reddito netto.civ – Reddito netto.ricl</t>
  </si>
  <si>
    <t xml:space="preserve">  Reddito CE - Reddito in SPP</t>
  </si>
  <si>
    <t>Imposta teorica</t>
  </si>
  <si>
    <t>Risparmio fiscale su interessi netti</t>
  </si>
  <si>
    <t>AON*</t>
  </si>
  <si>
    <t>Rendiconto finanziario</t>
  </si>
  <si>
    <t>Flussi di cassa della gestione operativa e accessoria</t>
  </si>
  <si>
    <t xml:space="preserve">    Flussi di cassa della gestione operativa corrente</t>
  </si>
  <si>
    <t>+</t>
  </si>
  <si>
    <t xml:space="preserve">        Reddito operativo</t>
  </si>
  <si>
    <t>±</t>
  </si>
  <si>
    <t xml:space="preserve">        Reddito gestioni accessoria e straordinaria</t>
  </si>
  <si>
    <t xml:space="preserve">        Riaggiunta ammortamenti</t>
  </si>
  <si>
    <t>-</t>
  </si>
  <si>
    <t xml:space="preserve">        (Imposte + Risparmio fiscale interessi netti)</t>
  </si>
  <si>
    <t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</si>
  <si>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</si>
  <si>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</si>
  <si>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</si>
  <si>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</si>
  <si>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</si>
  <si>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</si>
  <si>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</si>
  <si>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</si>
  <si>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</si>
  <si>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</si>
  <si>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</si>
  <si>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</si>
  <si>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</si>
  <si>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</si>
  <si>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</si>
  <si>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</si>
  <si>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</si>
  <si>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</si>
  <si>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</si>
  <si>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</si>
  <si>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</si>
  <si>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</si>
  <si>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</si>
  <si>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</si>
  <si>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</si>
  <si>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</si>
  <si>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</si>
  <si>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</si>
  <si>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</si>
  <si>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</si>
  <si>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</si>
  <si>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</si>
  <si>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</si>
  <si>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</si>
  <si>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</si>
  <si>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</si>
  <si>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</si>
  <si>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</si>
  <si>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</si>
  <si>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</si>
  <si>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</si>
  <si>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>Flusso di cassa netto (NCF)</t>
  </si>
  <si>
    <t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</si>
  <si>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</si>
  <si>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</si>
  <si>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</si>
  <si>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</si>
  <si>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</si>
  <si>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</si>
  <si>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</si>
  <si>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</si>
  <si>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</si>
  <si>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</si>
  <si>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</si>
  <si>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</si>
  <si>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</si>
  <si>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</si>
  <si>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</si>
  <si>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</si>
  <si>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</si>
  <si>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</si>
  <si>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</si>
  <si>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</si>
  <si>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</si>
  <si>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</si>
  <si>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</si>
  <si>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</si>
  <si>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>INDICATORI FINANZIARI</t>
  </si>
  <si>
    <t>valori patrimoniali medie t-1 per attenuare variazioni significativi</t>
  </si>
  <si>
    <t>RLA (redd. gest OFA)</t>
  </si>
  <si>
    <t>Reddito operativo</t>
  </si>
  <si>
    <t>EBITDA(MOL)</t>
  </si>
  <si>
    <t>Reddito netto</t>
  </si>
  <si>
    <t>Ricavi</t>
  </si>
  <si>
    <t>Ricavi t-1</t>
  </si>
  <si>
    <t>Ricavi con IVA gg</t>
  </si>
  <si>
    <t>Acquisti</t>
  </si>
  <si>
    <t>Acquisti con IVA gg</t>
  </si>
  <si>
    <t>Costo del venduto gg medio</t>
  </si>
  <si>
    <t>Costo del personale gg medio</t>
  </si>
  <si>
    <t>AON* medio</t>
  </si>
  <si>
    <t>AON* init</t>
  </si>
  <si>
    <t>AON* fin</t>
  </si>
  <si>
    <t>Reddito att.acc (prov-oneri acc)</t>
  </si>
  <si>
    <t>AACCN media(ris gest acc)</t>
  </si>
  <si>
    <t>AACC medie(solo attività)</t>
  </si>
  <si>
    <t>AACC finali</t>
  </si>
  <si>
    <t>PACC medie (solo passivo)</t>
  </si>
  <si>
    <t>PACC finali (solo passivo)</t>
  </si>
  <si>
    <t>ris gest str</t>
  </si>
  <si>
    <t>PFN (ris gest fin)</t>
  </si>
  <si>
    <t>DEBn</t>
  </si>
  <si>
    <t>LIQn</t>
  </si>
  <si>
    <t>oneri finanziari</t>
  </si>
  <si>
    <t>interessi attivi</t>
  </si>
  <si>
    <t>imposta</t>
  </si>
  <si>
    <t>Debito lordo medio(pass. gest. fin)</t>
  </si>
  <si>
    <t>Liq. lorda media(att. gest fin)</t>
  </si>
  <si>
    <t>Crediti commerciali medi</t>
  </si>
  <si>
    <t>Debiti commerciali medi</t>
  </si>
  <si>
    <t>Rimanenze magazzino medie</t>
  </si>
  <si>
    <t>Rimanenze magazzino finali</t>
  </si>
  <si>
    <t>Attività a BT</t>
  </si>
  <si>
    <t>Attività a BT finali</t>
  </si>
  <si>
    <t>Passività a BT medie</t>
  </si>
  <si>
    <t>Passività a BT finali</t>
  </si>
  <si>
    <t>Passività operative consolidate medie</t>
  </si>
  <si>
    <t>Passività operative consolidate finali</t>
  </si>
  <si>
    <t>debiti strutturali m/l medi</t>
  </si>
  <si>
    <t>debiti strutturali m/l finali</t>
  </si>
  <si>
    <t>immobilizzazioni operative</t>
  </si>
  <si>
    <t>immobilizzazioni operative finali</t>
  </si>
  <si>
    <t>CP capitale proprio medio</t>
  </si>
  <si>
    <t>CP init</t>
  </si>
  <si>
    <t>CP fin</t>
  </si>
  <si>
    <t>DIV t</t>
  </si>
  <si>
    <t>Aumento finanziamenti netti da soci e controllanti t e t-1</t>
  </si>
  <si>
    <t>Aumento accantonamenti e perdite precedenti (se neg aumento utile)</t>
  </si>
  <si>
    <t>var reddito di esercizio</t>
  </si>
  <si>
    <t>var CPn</t>
  </si>
  <si>
    <t>Quozienti di redditività</t>
  </si>
  <si>
    <t>/Ricavi</t>
  </si>
  <si>
    <t>ROS</t>
  </si>
  <si>
    <t>/AON*</t>
  </si>
  <si>
    <t>ROI</t>
  </si>
  <si>
    <t>Oneri finanziari</t>
  </si>
  <si>
    <t>/Debito lordo</t>
  </si>
  <si>
    <t>ROD</t>
  </si>
  <si>
    <t>Interessi attivi</t>
  </si>
  <si>
    <t>/Liquidità lorda</t>
  </si>
  <si>
    <t>ROL</t>
  </si>
  <si>
    <t>Reddittività att.acc</t>
  </si>
  <si>
    <t>/AACCn</t>
  </si>
  <si>
    <t>ROAACC</t>
  </si>
  <si>
    <t>/CP</t>
  </si>
  <si>
    <t>ROE netto</t>
  </si>
  <si>
    <t>RLA</t>
  </si>
  <si>
    <t>ROE lordo</t>
  </si>
  <si>
    <t>Prima scomposizione ROE lordo:</t>
  </si>
  <si>
    <t>+effetto Leva finanziaria</t>
  </si>
  <si>
    <t>+effetto Liquidità</t>
  </si>
  <si>
    <t>+effetto Attività accessorie</t>
  </si>
  <si>
    <t>Seconda scomposizione ROE lordo:</t>
  </si>
  <si>
    <t>+rendimento AON*</t>
  </si>
  <si>
    <t>+effetto costo del debito</t>
  </si>
  <si>
    <t>+rendimento liquidità</t>
  </si>
  <si>
    <t>+rendimento att.accessorie</t>
  </si>
  <si>
    <t>check ROE lordo 1:</t>
  </si>
  <si>
    <t>check ROE lordo 2:</t>
  </si>
  <si>
    <t>Da lordo a netto:</t>
  </si>
  <si>
    <t>x (RLA+ris str)/RLA</t>
  </si>
  <si>
    <t>x (RL+tax)/RL</t>
  </si>
  <si>
    <t>'= Reddito netto/CP check</t>
  </si>
  <si>
    <t>check ROE netto</t>
  </si>
  <si>
    <t>Quozienti di rotazione dell'attivo netto</t>
  </si>
  <si>
    <t>/Ricavi con IVA gg</t>
  </si>
  <si>
    <t>Tempo medio di incasso</t>
  </si>
  <si>
    <t>/Acquisti con IVA gg</t>
  </si>
  <si>
    <t>Tempo medio di pagamento</t>
  </si>
  <si>
    <t>rim. magazzino medie</t>
  </si>
  <si>
    <t>/(costo del venduto gg medio</t>
  </si>
  <si>
    <t>+costo del personale gg medio)</t>
  </si>
  <si>
    <t>Tempo medio di giacenza in magazzino</t>
  </si>
  <si>
    <t>/rim. magazzino medie</t>
  </si>
  <si>
    <t>Rotazione del magazzino</t>
  </si>
  <si>
    <t>/AON medie</t>
  </si>
  <si>
    <t>Rotazione AON</t>
  </si>
  <si>
    <t>/AON* medie</t>
  </si>
  <si>
    <t>Rotazione AON*</t>
  </si>
  <si>
    <t>/ROS</t>
  </si>
  <si>
    <t>check Rotazione AON*</t>
  </si>
  <si>
    <t>Quozienti di liquidità ed equilibrio fonti/impieghi</t>
  </si>
  <si>
    <t>Attività a breve</t>
  </si>
  <si>
    <t>/Passività a breve</t>
  </si>
  <si>
    <t>Indice di liquidità</t>
  </si>
  <si>
    <t>Attività a breve - scorte in magazzino</t>
  </si>
  <si>
    <t>/Passivita a breve</t>
  </si>
  <si>
    <t>Indice di liquidità immediata</t>
  </si>
  <si>
    <t>CP</t>
  </si>
  <si>
    <t>-(imm.operative+AACC)</t>
  </si>
  <si>
    <t>Margine di struttura: primo livello</t>
  </si>
  <si>
    <t>+(pass. operative lungo + pass. gest acc + debiti strutt. m/l)</t>
  </si>
  <si>
    <t>Margine di struttura: secondo livello</t>
  </si>
  <si>
    <t>Quozienti di sviluppo e impiego</t>
  </si>
  <si>
    <t>ΔAON*</t>
  </si>
  <si>
    <t>/AON*t-1</t>
  </si>
  <si>
    <t>Tasso di sviluppo AON*</t>
  </si>
  <si>
    <t>ΔCP</t>
  </si>
  <si>
    <t>/CP t-1</t>
  </si>
  <si>
    <t>Tasso di sviluppo CP</t>
  </si>
  <si>
    <t>ΔDEBn = ΔAON* - ΔCP</t>
  </si>
  <si>
    <t>ΔDEBn</t>
  </si>
  <si>
    <t>/ΔCP</t>
  </si>
  <si>
    <t>Indice di leva finanziaria</t>
  </si>
  <si>
    <t>sviluppo AON* - sviluppo CP</t>
  </si>
  <si>
    <t>Scomposizione sviluppo AON*</t>
  </si>
  <si>
    <t>Sviluppo dei ricavi = ΔRIC/RIC[t-1]</t>
  </si>
  <si>
    <t>x Intensità di capitale incrementale = ΔAON* / ΔRIC</t>
  </si>
  <si>
    <t>x Rotazione AON* iniziale = RIC[t-1]/AON*[t-1]</t>
  </si>
  <si>
    <t>Sviluppo AON*</t>
  </si>
  <si>
    <t>check ΔAON*/AON*[t-1]</t>
  </si>
  <si>
    <t>check</t>
  </si>
  <si>
    <t>Scomposizione sviluppo CP</t>
  </si>
  <si>
    <t>ROE su CPinit = RN/CP[t-1]</t>
  </si>
  <si>
    <t>Payout ratio = DIV/RN</t>
  </si>
  <si>
    <t>Crescita per utili non distribuiti = ROE*(1-DIV/RN)</t>
  </si>
  <si>
    <t>Incidenza dCAP su RN = dCAP/RN</t>
  </si>
  <si>
    <t>Sviluppo CP</t>
  </si>
  <si>
    <t>check ΔCP/CP[t-1]</t>
  </si>
  <si>
    <t>Grado di indebitamento</t>
  </si>
  <si>
    <t>DEBN (-LIQN) finale</t>
  </si>
  <si>
    <t>/CP finale</t>
  </si>
  <si>
    <t>Grado di indebitamento su CP</t>
  </si>
  <si>
    <t>ΔDEBN (-LIQN)/CP (finali)</t>
  </si>
  <si>
    <t>Sviluppo AON* - Sviluppo CP</t>
  </si>
  <si>
    <t>Sviluppo AACCN</t>
  </si>
  <si>
    <t>ΔAACCN[t-1]</t>
  </si>
  <si>
    <t>/AACCN[t-1]</t>
  </si>
  <si>
    <t>Indicatori di robustezza</t>
  </si>
  <si>
    <t>/Oneri finanziari</t>
  </si>
  <si>
    <t>Copertura economica degli interessi</t>
  </si>
  <si>
    <t>Debito netto</t>
  </si>
  <si>
    <t>/EBITDA(MoL)</t>
  </si>
  <si>
    <t>Tempo di recupero del 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</si>
</sst>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 €&quot;_-;\-* #,##0.00&quot; €&quot;_-;_-* \-??&quot; €&quot;_-;_-@_-"/>
    <numFmt numFmtId="165" formatCode="_-[$€-2]* #,##0.00_-;_-[$€-2]* \-#,##0.00_-;_-[$€-2]* \-??_-;_-@"/>
    <numFmt numFmtId="166" formatCode="#,##0.00_ ;[Red]\-#,##0.00\ "/>
    <numFmt numFmtId="167" formatCode="#,##0.00;\(#,##0.00\)"/>
    <numFmt numFmtId="168" formatCode="0.00%;[Red]\(0.00%\)"/>
  </numFmts>
  <fonts count="15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b/>
      <sz val="14"/>
      <color theme="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b/>
      <sz val="2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79989013336588644"/>
        <bgColor rgb="FFF2F2F2"/>
      </patternFill>
    </fill>
    <fill>
      <patternFill patternType="solid">
        <fgColor theme="5" tint="0.59987182226020086"/>
        <bgColor rgb="FFFF99CC"/>
      </patternFill>
    </fill>
    <fill>
      <patternFill patternType="solid">
        <fgColor theme="9" tint="0.79989013336588644"/>
        <bgColor rgb="FFCCFFFF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2"/>
    </xf>
    <xf numFmtId="0" fontId="1" fillId="0" borderId="1" xfId="0" applyFont="1" applyBorder="1" applyAlignment="1">
      <alignment horizontal="left" vertical="center" indent="3"/>
    </xf>
    <xf numFmtId="0" fontId="1" fillId="3" borderId="1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/>
    </xf>
    <xf numFmtId="164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65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/>
    <xf numFmtId="0" fontId="11" fillId="0" borderId="3" xfId="0" applyFont="1" applyBorder="1" applyAlignment="1">
      <alignment horizontal="center"/>
    </xf>
    <xf numFmtId="0" fontId="9" fillId="0" borderId="4" xfId="0" applyFont="1" applyBorder="1"/>
    <xf numFmtId="0" fontId="8" fillId="0" borderId="5" xfId="0" applyFont="1" applyBorder="1" applyAlignment="1">
      <alignment horizontal="center"/>
    </xf>
    <xf numFmtId="0" fontId="8" fillId="0" borderId="0" xfId="0" applyFont="1"/>
    <xf numFmtId="0" fontId="10" fillId="0" borderId="5" xfId="0" applyFont="1" applyBorder="1" applyAlignment="1">
      <alignment horizontal="center"/>
    </xf>
    <xf numFmtId="0" fontId="10" fillId="0" borderId="0" xfId="0" applyFont="1"/>
    <xf numFmtId="164" fontId="0" fillId="0" borderId="0" xfId="0" applyNumberFormat="1"/>
    <xf numFmtId="0" fontId="8" fillId="0" borderId="3" xfId="0" applyFont="1" applyBorder="1" applyAlignment="1">
      <alignment horizontal="center"/>
    </xf>
    <xf numFmtId="0" fontId="8" fillId="0" borderId="4" xfId="0" applyFont="1" applyBorder="1"/>
    <xf numFmtId="164" fontId="6" fillId="0" borderId="0" xfId="0" applyNumberFormat="1" applyFont="1"/>
    <xf numFmtId="0" fontId="8" fillId="0" borderId="6" xfId="0" applyFont="1" applyBorder="1" applyAlignment="1">
      <alignment horizontal="center"/>
    </xf>
    <xf numFmtId="0" fontId="8" fillId="0" borderId="7" xfId="0" applyFont="1" applyBorder="1"/>
    <xf numFmtId="0" fontId="6" fillId="0" borderId="0" xfId="0" applyFont="1"/>
    <xf numFmtId="0" fontId="10" fillId="0" borderId="8" xfId="0" applyFont="1" applyBorder="1" applyAlignment="1">
      <alignment horizontal="center"/>
    </xf>
    <xf numFmtId="0" fontId="10" fillId="0" borderId="9" xfId="0" applyFont="1" applyBorder="1"/>
    <xf numFmtId="0" fontId="10" fillId="0" borderId="6" xfId="0" applyFont="1" applyBorder="1" applyAlignment="1">
      <alignment horizontal="center"/>
    </xf>
    <xf numFmtId="0" fontId="10" fillId="0" borderId="7" xfId="0" applyFont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/>
    <xf numFmtId="0" fontId="10" fillId="0" borderId="11" xfId="0" applyFont="1" applyBorder="1"/>
    <xf numFmtId="0" fontId="8" fillId="0" borderId="11" xfId="0" applyFont="1" applyBorder="1"/>
    <xf numFmtId="0" fontId="1" fillId="0" borderId="11" xfId="0" applyFont="1" applyBorder="1"/>
    <xf numFmtId="0" fontId="12" fillId="0" borderId="0" xfId="0" applyFont="1"/>
    <xf numFmtId="166" fontId="1" fillId="0" borderId="0" xfId="0" applyNumberFormat="1" applyFont="1"/>
    <xf numFmtId="164" fontId="1" fillId="0" borderId="0" xfId="0" applyNumberFormat="1" applyFont="1"/>
    <xf numFmtId="0" fontId="4" fillId="0" borderId="0" xfId="0" applyFont="1"/>
    <xf numFmtId="167" fontId="1" fillId="0" borderId="0" xfId="0" applyNumberFormat="1" applyFont="1"/>
    <xf numFmtId="168" fontId="6" fillId="0" borderId="0" xfId="0" applyNumberFormat="1" applyFont="1"/>
    <xf numFmtId="0" fontId="13" fillId="0" borderId="0" xfId="0" applyFont="1"/>
    <xf numFmtId="10" fontId="1" fillId="0" borderId="0" xfId="0" applyNumberFormat="1" applyFont="1"/>
    <xf numFmtId="167" fontId="6" fillId="0" borderId="0" xfId="0" applyNumberFormat="1" applyFont="1"/>
    <xf numFmtId="0" fontId="14" fillId="0" borderId="0" xfId="0" applyFont="1"/>
  </cellXfs>
  <cellStyles count="1">
    <cellStyle name="Normale" xfId="0" builtinId="0"/>
  </cellStyles>
  <dxfs count="1"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7.3384571933068202E-2</c:v>
                </c:pt>
                <c:pt idx="1">
                  <c:v>5.2847712446525086E-2</c:v>
                </c:pt>
                <c:pt idx="2">
                  <c:v>5.4091205187234211E-2</c:v>
                </c:pt>
                <c:pt idx="3">
                  <c:v>9.0243297921687171E-2</c:v>
                </c:pt>
                <c:pt idx="4">
                  <c:v>9.428314209808146E-2</c:v>
                </c:pt>
                <c:pt idx="5">
                  <c:v>7.8938376484632797E-2</c:v>
                </c:pt>
                <c:pt idx="6">
                  <c:v>9.1406400696423112E-2</c:v>
                </c:pt>
                <c:pt idx="7">
                  <c:v>6.4114665412835961E-2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8-A947-B5A4-ED8574D7C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740163"/>
        <c:axId val="76290919"/>
      </c:lineChart>
      <c:catAx>
        <c:axId val="857401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76290919"/>
        <c:crosses val="autoZero"/>
        <c:auto val="1"/>
        <c:lblAlgn val="ctr"/>
        <c:lblOffset val="100"/>
        <c:noMultiLvlLbl val="0"/>
      </c:catAx>
      <c:valAx>
        <c:axId val="762909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857401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0.10988184435220208</c:v>
                </c:pt>
                <c:pt idx="1">
                  <c:v>7.5395321594809037E-2</c:v>
                </c:pt>
                <c:pt idx="2">
                  <c:v>7.0611456500511677E-2</c:v>
                </c:pt>
                <c:pt idx="3">
                  <c:v>0.12239459622624098</c:v>
                </c:pt>
                <c:pt idx="4">
                  <c:v>0.16695747075845616</c:v>
                </c:pt>
                <c:pt idx="5">
                  <c:v>0.21881412326047317</c:v>
                </c:pt>
                <c:pt idx="6">
                  <c:v>0.28954223069472124</c:v>
                </c:pt>
                <c:pt idx="7">
                  <c:v>0.39129864871018838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3-294C-B500-EC51EF5C0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031042"/>
        <c:axId val="78974750"/>
      </c:lineChart>
      <c:catAx>
        <c:axId val="190310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78974750"/>
        <c:crosses val="autoZero"/>
        <c:auto val="1"/>
        <c:lblAlgn val="ctr"/>
        <c:lblOffset val="100"/>
        <c:noMultiLvlLbl val="0"/>
      </c:catAx>
      <c:valAx>
        <c:axId val="789747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190310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5.2476826046645837E-2</c:v>
                </c:pt>
                <c:pt idx="1">
                  <c:v>4.821263885042975E-2</c:v>
                </c:pt>
                <c:pt idx="2">
                  <c:v>2.2951668079616159E-2</c:v>
                </c:pt>
                <c:pt idx="3">
                  <c:v>2.0641735152569032E-2</c:v>
                </c:pt>
                <c:pt idx="4">
                  <c:v>2.4101778679768891E-2</c:v>
                </c:pt>
                <c:pt idx="5">
                  <c:v>3.1130473521631414E-2</c:v>
                </c:pt>
                <c:pt idx="6">
                  <c:v>3.6821099582770495E-2</c:v>
                </c:pt>
                <c:pt idx="7">
                  <c:v>7.0534588143979823E-2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D-1E40-A00A-87D89C52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978223"/>
        <c:axId val="54197248"/>
      </c:lineChart>
      <c:catAx>
        <c:axId val="62978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54197248"/>
        <c:crosses val="autoZero"/>
        <c:auto val="1"/>
        <c:lblAlgn val="ctr"/>
        <c:lblOffset val="100"/>
        <c:noMultiLvlLbl val="0"/>
      </c:catAx>
      <c:valAx>
        <c:axId val="541972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629782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3.0970782347359547E-3</c:v>
                </c:pt>
                <c:pt idx="1">
                  <c:v>2.0370176967742502E-3</c:v>
                </c:pt>
                <c:pt idx="2">
                  <c:v>1.2138177983621045E-4</c:v>
                </c:pt>
                <c:pt idx="3">
                  <c:v>1.836412729768814E-4</c:v>
                </c:pt>
                <c:pt idx="4">
                  <c:v>1.5814484524948313E-4</c:v>
                </c:pt>
                <c:pt idx="5">
                  <c:v>8.7799559408165938E-3</c:v>
                </c:pt>
                <c:pt idx="6">
                  <c:v>3.5242592864232196E-4</c:v>
                </c:pt>
                <c:pt idx="7">
                  <c:v>2.7778245425007155E-4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B-814B-A0E5-625B28BFD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735626"/>
        <c:axId val="51069922"/>
      </c:lineChart>
      <c:catAx>
        <c:axId val="627356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51069922"/>
        <c:crosses val="autoZero"/>
        <c:auto val="1"/>
        <c:lblAlgn val="ctr"/>
        <c:lblOffset val="100"/>
        <c:noMultiLvlLbl val="0"/>
      </c:catAx>
      <c:valAx>
        <c:axId val="510699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627356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ind!$B$76:$K$76</c:f>
              <c:numCache>
                <c:formatCode>0.00%;[Red]\(0.00%\)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5-4C45-AFE5-30DE26A0B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94200"/>
        <c:axId val="62282049"/>
      </c:lineChart>
      <c:catAx>
        <c:axId val="41794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62282049"/>
        <c:crosses val="autoZero"/>
        <c:auto val="1"/>
        <c:lblAlgn val="ctr"/>
        <c:lblOffset val="100"/>
        <c:noMultiLvlLbl val="0"/>
      </c:catAx>
      <c:valAx>
        <c:axId val="622820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417942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it-IT" sz="1400" b="0" u="none" strike="noStrik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ln w="28440" cap="rnd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0.16381359799629289</c:v>
                </c:pt>
                <c:pt idx="1">
                  <c:v>0.11461202319193151</c:v>
                </c:pt>
                <c:pt idx="2">
                  <c:v>0.15522503800100421</c:v>
                </c:pt>
                <c:pt idx="3">
                  <c:v>0.26379333244057879</c:v>
                </c:pt>
                <c:pt idx="4">
                  <c:v>0.32957549824986732</c:v>
                </c:pt>
                <c:pt idx="5">
                  <c:v>0.36506687188957015</c:v>
                </c:pt>
                <c:pt idx="6">
                  <c:v>0.47960485581808604</c:v>
                </c:pt>
                <c:pt idx="7">
                  <c:v>0.68647862247308167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D-A14F-AE1A-6AF77CD75472}"/>
            </c:ext>
          </c:extLst>
        </c:ser>
        <c:ser>
          <c:idx val="1"/>
          <c:order val="1"/>
          <c:tx>
            <c:v>ROE lordo</c:v>
          </c:tx>
          <c:spPr>
            <a:ln w="28440" cap="rnd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0.19794573229521162</c:v>
                </c:pt>
                <c:pt idx="1">
                  <c:v>0.11954788819549779</c:v>
                </c:pt>
                <c:pt idx="2">
                  <c:v>0.16252855079210218</c:v>
                </c:pt>
                <c:pt idx="3">
                  <c:v>0.33045822457460611</c:v>
                </c:pt>
                <c:pt idx="4">
                  <c:v>0.42669681663485504</c:v>
                </c:pt>
                <c:pt idx="5">
                  <c:v>0.47152762920191105</c:v>
                </c:pt>
                <c:pt idx="6">
                  <c:v>0.68041687725499411</c:v>
                </c:pt>
                <c:pt idx="7">
                  <c:v>1.0039711741689237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D-A14F-AE1A-6AF77CD75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852821"/>
        <c:axId val="39666101"/>
      </c:lineChart>
      <c:catAx>
        <c:axId val="558528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39666101"/>
        <c:crosses val="autoZero"/>
        <c:auto val="1"/>
        <c:lblAlgn val="ctr"/>
        <c:lblOffset val="100"/>
        <c:noMultiLvlLbl val="0"/>
      </c:catAx>
      <c:valAx>
        <c:axId val="396661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558528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rial"/>
              <a:ea typeface="Arial"/>
            </a:defRPr>
          </a:pPr>
          <a:endParaRPr lang="it-IT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56.331581289269408</c:v>
                </c:pt>
                <c:pt idx="1">
                  <c:v>48.5580913572417</c:v>
                </c:pt>
                <c:pt idx="2">
                  <c:v>51.595799938222534</c:v>
                </c:pt>
                <c:pt idx="3">
                  <c:v>57.085812260626028</c:v>
                </c:pt>
                <c:pt idx="4">
                  <c:v>56.657484090676853</c:v>
                </c:pt>
                <c:pt idx="5">
                  <c:v>55.159203089793664</c:v>
                </c:pt>
                <c:pt idx="6">
                  <c:v>61.485915781147909</c:v>
                </c:pt>
                <c:pt idx="7">
                  <c:v>35.918837171917055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5E41-832A-C152DE0BF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8544800"/>
        <c:axId val="59605406"/>
      </c:lineChart>
      <c:catAx>
        <c:axId val="58544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59605406"/>
        <c:crosses val="autoZero"/>
        <c:auto val="1"/>
        <c:lblAlgn val="ctr"/>
        <c:lblOffset val="100"/>
        <c:noMultiLvlLbl val="0"/>
      </c:catAx>
      <c:valAx>
        <c:axId val="596054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585448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40.065651634394861</c:v>
                </c:pt>
                <c:pt idx="1">
                  <c:v>41.451904882115926</c:v>
                </c:pt>
                <c:pt idx="2">
                  <c:v>41.396623740932263</c:v>
                </c:pt>
                <c:pt idx="3">
                  <c:v>41.88384642987311</c:v>
                </c:pt>
                <c:pt idx="4">
                  <c:v>46.95670096068411</c:v>
                </c:pt>
                <c:pt idx="5">
                  <c:v>42.634416142144687</c:v>
                </c:pt>
                <c:pt idx="6">
                  <c:v>39.273366598048177</c:v>
                </c:pt>
                <c:pt idx="7">
                  <c:v>23.891807872729583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1-D04F-8D4C-1E5DF0C4E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477490"/>
        <c:axId val="89697158"/>
      </c:lineChart>
      <c:catAx>
        <c:axId val="4247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89697158"/>
        <c:crosses val="autoZero"/>
        <c:auto val="1"/>
        <c:lblAlgn val="ctr"/>
        <c:lblOffset val="100"/>
        <c:noMultiLvlLbl val="0"/>
      </c:catAx>
      <c:valAx>
        <c:axId val="896971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424774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91.535342397453093</c:v>
                </c:pt>
                <c:pt idx="1">
                  <c:v>106.03659665469478</c:v>
                </c:pt>
                <c:pt idx="2">
                  <c:v>100.03471930959878</c:v>
                </c:pt>
                <c:pt idx="3">
                  <c:v>75.469833914394911</c:v>
                </c:pt>
                <c:pt idx="4">
                  <c:v>81.31936354262109</c:v>
                </c:pt>
                <c:pt idx="5">
                  <c:v>88.897911384653568</c:v>
                </c:pt>
                <c:pt idx="6">
                  <c:v>86.735094614733001</c:v>
                </c:pt>
                <c:pt idx="7">
                  <c:v>85.955694446182008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E-5145-AF3F-DC9E6AEF0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628506"/>
        <c:axId val="7755596"/>
      </c:lineChart>
      <c:catAx>
        <c:axId val="916285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7755596"/>
        <c:crosses val="autoZero"/>
        <c:auto val="1"/>
        <c:lblAlgn val="ctr"/>
        <c:lblOffset val="100"/>
        <c:noMultiLvlLbl val="0"/>
      </c:catAx>
      <c:valAx>
        <c:axId val="77555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916285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ind!$B$130:$K$130</c:f>
              <c:numCache>
                <c:formatCode>#,##0.00;\(#,##0.00\)</c:formatCode>
                <c:ptCount val="10"/>
                <c:pt idx="0">
                  <c:v>4.4876434839923887</c:v>
                </c:pt>
                <c:pt idx="1">
                  <c:v>4.1090646715792358</c:v>
                </c:pt>
                <c:pt idx="2">
                  <c:v>4.3601430522586027</c:v>
                </c:pt>
                <c:pt idx="3">
                  <c:v>5.7063376007038071</c:v>
                </c:pt>
                <c:pt idx="4">
                  <c:v>5.1502969339901812</c:v>
                </c:pt>
                <c:pt idx="5">
                  <c:v>4.9881269186127195</c:v>
                </c:pt>
                <c:pt idx="6">
                  <c:v>5.1278664267609431</c:v>
                </c:pt>
                <c:pt idx="7">
                  <c:v>9.5790334848971455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9-C744-A718-B74378873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338649"/>
        <c:axId val="18033725"/>
      </c:lineChart>
      <c:catAx>
        <c:axId val="263386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18033725"/>
        <c:crosses val="autoZero"/>
        <c:auto val="1"/>
        <c:lblAlgn val="ctr"/>
        <c:lblOffset val="100"/>
        <c:noMultiLvlLbl val="0"/>
      </c:catAx>
      <c:valAx>
        <c:axId val="180337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263386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1.4788624429814587</c:v>
                </c:pt>
                <c:pt idx="1">
                  <c:v>1.4509731040666196</c:v>
                </c:pt>
                <c:pt idx="2">
                  <c:v>1.3323058175762685</c:v>
                </c:pt>
                <c:pt idx="3">
                  <c:v>1.3626457831182526</c:v>
                </c:pt>
                <c:pt idx="4">
                  <c:v>1.7927486537546911</c:v>
                </c:pt>
                <c:pt idx="5">
                  <c:v>2.7345696072848926</c:v>
                </c:pt>
                <c:pt idx="6">
                  <c:v>2.9489060288251809</c:v>
                </c:pt>
                <c:pt idx="7">
                  <c:v>5.5251226493826584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8-054C-ABBE-547E5670F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1468419"/>
        <c:axId val="60170762"/>
      </c:lineChart>
      <c:catAx>
        <c:axId val="514684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60170762"/>
        <c:crosses val="autoZero"/>
        <c:auto val="1"/>
        <c:lblAlgn val="ctr"/>
        <c:lblOffset val="100"/>
        <c:noMultiLvlLbl val="0"/>
      </c:catAx>
      <c:valAx>
        <c:axId val="601707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514684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1.497342581113942</c:v>
                </c:pt>
                <c:pt idx="1">
                  <c:v>1.4266525097202485</c:v>
                </c:pt>
                <c:pt idx="2">
                  <c:v>1.3054147389782382</c:v>
                </c:pt>
                <c:pt idx="3">
                  <c:v>1.3562735299462858</c:v>
                </c:pt>
                <c:pt idx="4">
                  <c:v>1.7708093625557428</c:v>
                </c:pt>
                <c:pt idx="5">
                  <c:v>2.7719612817609756</c:v>
                </c:pt>
                <c:pt idx="6">
                  <c:v>3.1676362758921273</c:v>
                </c:pt>
                <c:pt idx="7">
                  <c:v>6.1031067726955515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4-4D45-A5E9-EB083BC47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460652"/>
        <c:axId val="76896051"/>
      </c:lineChart>
      <c:catAx>
        <c:axId val="274606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76896051"/>
        <c:crosses val="autoZero"/>
        <c:auto val="1"/>
        <c:lblAlgn val="ctr"/>
        <c:lblOffset val="100"/>
        <c:noMultiLvlLbl val="0"/>
      </c:catAx>
      <c:valAx>
        <c:axId val="768960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274606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1.2552850973260319</c:v>
                </c:pt>
                <c:pt idx="1">
                  <c:v>1.2394036140973401</c:v>
                </c:pt>
                <c:pt idx="2">
                  <c:v>1.0868345383931648</c:v>
                </c:pt>
                <c:pt idx="3">
                  <c:v>0.97199718041311922</c:v>
                </c:pt>
                <c:pt idx="4">
                  <c:v>1.121832713212727</c:v>
                </c:pt>
                <c:pt idx="5">
                  <c:v>0.99336952368433795</c:v>
                </c:pt>
                <c:pt idx="6">
                  <c:v>1.3341826593673471</c:v>
                </c:pt>
                <c:pt idx="7">
                  <c:v>1.1551064657609968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E-354B-9189-AB3740E16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057514"/>
        <c:axId val="68221021"/>
      </c:lineChart>
      <c:catAx>
        <c:axId val="30575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68221021"/>
        <c:crosses val="autoZero"/>
        <c:auto val="1"/>
        <c:lblAlgn val="ctr"/>
        <c:lblOffset val="100"/>
        <c:noMultiLvlLbl val="0"/>
      </c:catAx>
      <c:valAx>
        <c:axId val="682210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30575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0.6591913310577644</c:v>
                </c:pt>
                <c:pt idx="1">
                  <c:v>0.64331266159283018</c:v>
                </c:pt>
                <c:pt idx="2">
                  <c:v>0.51338377698714721</c:v>
                </c:pt>
                <c:pt idx="3">
                  <c:v>0.52571453773562882</c:v>
                </c:pt>
                <c:pt idx="4">
                  <c:v>0.6215596514279732</c:v>
                </c:pt>
                <c:pt idx="5">
                  <c:v>0.50237131221850806</c:v>
                </c:pt>
                <c:pt idx="6">
                  <c:v>0.676907150755371</c:v>
                </c:pt>
                <c:pt idx="7">
                  <c:v>0.62716688432184142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7-4A4C-8EC4-02F838592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795516"/>
        <c:axId val="9377681"/>
      </c:lineChart>
      <c:catAx>
        <c:axId val="997955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9377681"/>
        <c:crosses val="autoZero"/>
        <c:auto val="1"/>
        <c:lblAlgn val="ctr"/>
        <c:lblOffset val="100"/>
        <c:noMultiLvlLbl val="0"/>
      </c:catAx>
      <c:valAx>
        <c:axId val="93776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997955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3.1562105187880909</c:v>
                </c:pt>
                <c:pt idx="1">
                  <c:v>2.1147758179818794</c:v>
                </c:pt>
                <c:pt idx="2">
                  <c:v>3.800054400529814</c:v>
                </c:pt>
                <c:pt idx="3">
                  <c:v>6.8042553806989119</c:v>
                </c:pt>
                <c:pt idx="4">
                  <c:v>8.4928750942447859</c:v>
                </c:pt>
                <c:pt idx="5">
                  <c:v>10.391790537258331</c:v>
                </c:pt>
                <c:pt idx="6">
                  <c:v>10.322938010411663</c:v>
                </c:pt>
                <c:pt idx="7">
                  <c:v>6.2029617489537303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8-D648-B38F-1E436B3FC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627792"/>
        <c:axId val="1883301"/>
      </c:lineChart>
      <c:catAx>
        <c:axId val="28627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1883301"/>
        <c:crosses val="autoZero"/>
        <c:auto val="1"/>
        <c:lblAlgn val="ctr"/>
        <c:lblOffset val="100"/>
        <c:noMultiLvlLbl val="0"/>
      </c:catAx>
      <c:valAx>
        <c:axId val="18833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286277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3.6368286939661632</c:v>
                </c:pt>
                <c:pt idx="1">
                  <c:v>5.4128940383891324</c:v>
                </c:pt>
                <c:pt idx="2">
                  <c:v>5.4741571380589598</c:v>
                </c:pt>
                <c:pt idx="3">
                  <c:v>4.1103059719233332</c:v>
                </c:pt>
                <c:pt idx="4">
                  <c:v>3.4457321637601548</c:v>
                </c:pt>
                <c:pt idx="5">
                  <c:v>2.0888814084668885</c:v>
                </c:pt>
                <c:pt idx="6">
                  <c:v>1.5978890239493513</c:v>
                </c:pt>
                <c:pt idx="7">
                  <c:v>0.97531856549276175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2-4444-A3FF-04291029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224921"/>
        <c:axId val="43033318"/>
      </c:lineChart>
      <c:catAx>
        <c:axId val="382249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43033318"/>
        <c:crosses val="autoZero"/>
        <c:auto val="1"/>
        <c:lblAlgn val="ctr"/>
        <c:lblOffset val="100"/>
        <c:noMultiLvlLbl val="0"/>
      </c:catAx>
      <c:valAx>
        <c:axId val="430333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382249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2024541</c:v>
                </c:pt>
                <c:pt idx="1">
                  <c:v>2736573</c:v>
                </c:pt>
                <c:pt idx="2">
                  <c:v>1763453</c:v>
                </c:pt>
                <c:pt idx="3">
                  <c:v>1888796</c:v>
                </c:pt>
                <c:pt idx="4">
                  <c:v>2445065</c:v>
                </c:pt>
                <c:pt idx="5">
                  <c:v>364908</c:v>
                </c:pt>
                <c:pt idx="6">
                  <c:v>1348545</c:v>
                </c:pt>
                <c:pt idx="7">
                  <c:v>1114615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4-124A-9B20-1A033969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377177"/>
        <c:axId val="3457983"/>
      </c:lineChart>
      <c:catAx>
        <c:axId val="213771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57983"/>
        <c:crosses val="autoZero"/>
        <c:auto val="1"/>
        <c:lblAlgn val="ctr"/>
        <c:lblOffset val="100"/>
        <c:noMultiLvlLbl val="0"/>
      </c:catAx>
      <c:valAx>
        <c:axId val="34579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213771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ln w="28440" cap="rnd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-3085663</c:v>
                </c:pt>
                <c:pt idx="1">
                  <c:v>-3955300</c:v>
                </c:pt>
                <c:pt idx="2">
                  <c:v>-4954060</c:v>
                </c:pt>
                <c:pt idx="3">
                  <c:v>-5483399</c:v>
                </c:pt>
                <c:pt idx="4">
                  <c:v>-3858988</c:v>
                </c:pt>
                <c:pt idx="5">
                  <c:v>-223379</c:v>
                </c:pt>
                <c:pt idx="6">
                  <c:v>540150</c:v>
                </c:pt>
                <c:pt idx="7">
                  <c:v>162351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3-4E4B-A098-7F9E85678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112902"/>
        <c:axId val="97179949"/>
      </c:lineChart>
      <c:catAx>
        <c:axId val="431129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179949"/>
        <c:crosses val="autoZero"/>
        <c:auto val="1"/>
        <c:lblAlgn val="ctr"/>
        <c:lblOffset val="100"/>
        <c:noMultiLvlLbl val="0"/>
      </c:catAx>
      <c:valAx>
        <c:axId val="971799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  <a:endParaRPr lang="it-IT"/>
          </a:p>
        </c:txPr>
        <c:crossAx val="431129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48"/>
  <sheetViews>
    <sheetView topLeftCell="A53" zoomScaleNormal="100" workbookViewId="0">
      <selection activeCell="M4" sqref="M4"/>
    </sheetView>
  </sheetViews>
  <sheetFormatPr baseColWidth="10" defaultColWidth="12.6640625" defaultRowHeight="15.75" customHeight="1" x14ac:dyDescent="0.15"/>
  <cols>
    <col min="1" max="1" width="58.6640625" customWidth="1"/>
  </cols>
  <sheetData>
    <row r="1" spans="1:9" ht="15.75" customHeight="1" x14ac:dyDescent="0.15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</row>
    <row r="2" spans="1:9" ht="15.75" customHeight="1" x14ac:dyDescent="0.1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ht="15.75" customHeight="1" x14ac:dyDescent="0.1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ht="15.75" customHeight="1" x14ac:dyDescent="0.15">
      <c r="A4" t="s">
        <v>3</v>
      </c>
      <c r="B4">
        <v>8842950</v>
      </c>
      <c r="C4">
        <v>9182852</v>
      </c>
      <c r="D4">
        <v>9614947</v>
      </c>
      <c r="E4">
        <v>9565702</v>
      </c>
      <c r="F4">
        <v>7073181</v>
      </c>
      <c r="G4">
        <v>2616289</v>
      </c>
      <c r="H4">
        <v>1201123</v>
      </c>
      <c r="I4">
        <v>908499</v>
      </c>
    </row>
    <row r="5" spans="1:9" ht="15.75" customHeight="1" x14ac:dyDescent="0.15">
      <c r="A5" t="s">
        <v>4</v>
      </c>
      <c r="B5">
        <v>89523</v>
      </c>
      <c r="C5">
        <v>106380</v>
      </c>
      <c r="D5">
        <v>139717</v>
      </c>
      <c r="E5">
        <v>76490</v>
      </c>
      <c r="F5">
        <v>33453</v>
      </c>
      <c r="G5">
        <v>7543</v>
      </c>
      <c r="H5">
        <v>0</v>
      </c>
      <c r="I5">
        <v>1977</v>
      </c>
    </row>
    <row r="6" spans="1:9" ht="15.75" customHeight="1" x14ac:dyDescent="0.1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ht="15.75" customHeight="1" x14ac:dyDescent="0.1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ht="15.75" customHeight="1" x14ac:dyDescent="0.15">
      <c r="A8" t="s">
        <v>7</v>
      </c>
      <c r="B8">
        <v>64590</v>
      </c>
      <c r="C8">
        <v>97381</v>
      </c>
      <c r="D8">
        <v>130172</v>
      </c>
      <c r="E8">
        <v>3968</v>
      </c>
      <c r="F8">
        <v>4960</v>
      </c>
      <c r="G8">
        <v>0</v>
      </c>
      <c r="H8">
        <v>0</v>
      </c>
      <c r="I8">
        <v>0</v>
      </c>
    </row>
    <row r="9" spans="1:9" ht="15.75" customHeight="1" x14ac:dyDescent="0.15">
      <c r="A9" t="s">
        <v>8</v>
      </c>
      <c r="B9">
        <v>8453</v>
      </c>
      <c r="C9">
        <v>8999</v>
      </c>
      <c r="D9">
        <v>9545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ht="15.75" customHeight="1" x14ac:dyDescent="0.1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ht="15.75" customHeight="1" x14ac:dyDescent="0.1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ht="15.75" customHeight="1" x14ac:dyDescent="0.15">
      <c r="A12" t="s">
        <v>11</v>
      </c>
      <c r="B12">
        <v>0</v>
      </c>
      <c r="C12">
        <v>0</v>
      </c>
      <c r="D12">
        <v>0</v>
      </c>
      <c r="E12">
        <v>67622</v>
      </c>
      <c r="F12">
        <v>28493</v>
      </c>
      <c r="G12">
        <v>7543</v>
      </c>
      <c r="H12">
        <v>0</v>
      </c>
      <c r="I12">
        <v>0</v>
      </c>
    </row>
    <row r="13" spans="1:9" ht="15.75" customHeight="1" x14ac:dyDescent="0.15">
      <c r="A13" t="s">
        <v>12</v>
      </c>
      <c r="B13">
        <v>16480</v>
      </c>
      <c r="C13">
        <v>0</v>
      </c>
      <c r="D13">
        <v>0</v>
      </c>
      <c r="E13">
        <v>4900</v>
      </c>
      <c r="F13">
        <v>0</v>
      </c>
      <c r="G13">
        <v>0</v>
      </c>
      <c r="H13">
        <v>0</v>
      </c>
      <c r="I13">
        <v>1977</v>
      </c>
    </row>
    <row r="14" spans="1:9" ht="15.75" customHeight="1" x14ac:dyDescent="0.1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ht="15.75" customHeight="1" x14ac:dyDescent="0.15">
      <c r="A15" t="s">
        <v>14</v>
      </c>
      <c r="B15">
        <v>8694725</v>
      </c>
      <c r="C15">
        <v>9017770</v>
      </c>
      <c r="D15">
        <v>9416528</v>
      </c>
      <c r="E15">
        <v>9430510</v>
      </c>
      <c r="F15">
        <v>7025024</v>
      </c>
      <c r="G15">
        <v>2594042</v>
      </c>
      <c r="H15">
        <v>1186419</v>
      </c>
      <c r="I15">
        <v>891818</v>
      </c>
    </row>
    <row r="16" spans="1:9" ht="15.75" customHeight="1" x14ac:dyDescent="0.1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ht="15.75" customHeight="1" x14ac:dyDescent="0.15">
      <c r="A17" t="s">
        <v>16</v>
      </c>
      <c r="B17">
        <v>6069102</v>
      </c>
      <c r="C17">
        <v>6328571</v>
      </c>
      <c r="D17">
        <v>6543383</v>
      </c>
      <c r="E17">
        <v>6374984</v>
      </c>
      <c r="F17">
        <v>396319</v>
      </c>
      <c r="G17">
        <v>412628</v>
      </c>
      <c r="H17">
        <v>418736</v>
      </c>
      <c r="I17">
        <v>324645</v>
      </c>
    </row>
    <row r="18" spans="1:9" ht="15.75" customHeight="1" x14ac:dyDescent="0.15">
      <c r="A18" t="s">
        <v>17</v>
      </c>
      <c r="B18">
        <v>1774810</v>
      </c>
      <c r="C18">
        <v>2137598</v>
      </c>
      <c r="D18">
        <v>2352511</v>
      </c>
      <c r="E18">
        <v>2232169</v>
      </c>
      <c r="F18">
        <v>1801043</v>
      </c>
      <c r="G18">
        <v>258024</v>
      </c>
      <c r="H18">
        <v>302043</v>
      </c>
      <c r="I18">
        <v>336024</v>
      </c>
    </row>
    <row r="19" spans="1:9" ht="15.75" customHeight="1" x14ac:dyDescent="0.15">
      <c r="A19" t="s">
        <v>18</v>
      </c>
      <c r="B19">
        <v>197170</v>
      </c>
      <c r="C19">
        <v>187192</v>
      </c>
      <c r="D19">
        <v>184756</v>
      </c>
      <c r="E19">
        <v>168289</v>
      </c>
      <c r="F19">
        <v>141111</v>
      </c>
      <c r="G19">
        <v>110856</v>
      </c>
      <c r="H19">
        <v>130147</v>
      </c>
      <c r="I19">
        <v>133231</v>
      </c>
    </row>
    <row r="20" spans="1:9" ht="15.75" customHeight="1" x14ac:dyDescent="0.15">
      <c r="A20" t="s">
        <v>19</v>
      </c>
      <c r="B20">
        <v>177873</v>
      </c>
      <c r="C20">
        <v>244518</v>
      </c>
      <c r="D20">
        <v>312178</v>
      </c>
      <c r="E20">
        <v>236539</v>
      </c>
      <c r="F20">
        <v>116965</v>
      </c>
      <c r="G20">
        <v>45295</v>
      </c>
      <c r="H20">
        <v>68843</v>
      </c>
      <c r="I20">
        <v>97918</v>
      </c>
    </row>
    <row r="21" spans="1:9" ht="15.75" customHeight="1" x14ac:dyDescent="0.15">
      <c r="A21" t="s">
        <v>20</v>
      </c>
      <c r="B21">
        <v>475770</v>
      </c>
      <c r="C21">
        <v>119891</v>
      </c>
      <c r="D21">
        <v>23700</v>
      </c>
      <c r="E21">
        <v>418529</v>
      </c>
      <c r="F21">
        <v>4569586</v>
      </c>
      <c r="G21">
        <v>1767239</v>
      </c>
      <c r="H21">
        <v>266650</v>
      </c>
      <c r="I21">
        <v>0</v>
      </c>
    </row>
    <row r="22" spans="1:9" ht="15.75" customHeight="1" x14ac:dyDescent="0.1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ht="15.75" customHeight="1" x14ac:dyDescent="0.15">
      <c r="A23" t="s">
        <v>22</v>
      </c>
      <c r="B23">
        <v>58702</v>
      </c>
      <c r="C23">
        <v>58702</v>
      </c>
      <c r="D23">
        <v>58702</v>
      </c>
      <c r="E23">
        <v>58702</v>
      </c>
      <c r="F23">
        <v>14704</v>
      </c>
      <c r="G23">
        <v>14704</v>
      </c>
      <c r="H23">
        <v>14704</v>
      </c>
      <c r="I23">
        <v>14704</v>
      </c>
    </row>
    <row r="24" spans="1:9" ht="15.75" customHeight="1" x14ac:dyDescent="0.15">
      <c r="A24" t="s">
        <v>23</v>
      </c>
      <c r="B24">
        <v>0</v>
      </c>
      <c r="C24">
        <v>0</v>
      </c>
      <c r="D24">
        <v>0</v>
      </c>
      <c r="E24">
        <v>0</v>
      </c>
      <c r="F24">
        <v>8192</v>
      </c>
      <c r="G24">
        <v>8192</v>
      </c>
      <c r="H24">
        <v>8192</v>
      </c>
      <c r="I24">
        <v>0</v>
      </c>
    </row>
    <row r="25" spans="1:9" ht="15.75" customHeight="1" x14ac:dyDescent="0.15">
      <c r="A25" t="s">
        <v>24</v>
      </c>
      <c r="B25">
        <v>58702</v>
      </c>
      <c r="C25">
        <v>58702</v>
      </c>
      <c r="D25">
        <v>58702</v>
      </c>
      <c r="E25">
        <v>58702</v>
      </c>
      <c r="F25">
        <v>6512</v>
      </c>
      <c r="G25">
        <v>6512</v>
      </c>
      <c r="H25">
        <v>6512</v>
      </c>
      <c r="I25">
        <v>6512</v>
      </c>
    </row>
    <row r="26" spans="1:9" ht="15.75" customHeight="1" x14ac:dyDescent="0.1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ht="15.75" customHeight="1" x14ac:dyDescent="0.1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ht="15.75" customHeight="1" x14ac:dyDescent="0.1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ht="15.75" customHeight="1" x14ac:dyDescent="0.1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ht="15.75" customHeight="1" x14ac:dyDescent="0.15">
      <c r="A30" t="s">
        <v>29</v>
      </c>
      <c r="B30">
        <v>58702</v>
      </c>
      <c r="C30">
        <v>58702</v>
      </c>
      <c r="D30">
        <v>58702</v>
      </c>
      <c r="E30">
        <v>58702</v>
      </c>
      <c r="F30">
        <v>6512</v>
      </c>
      <c r="G30">
        <v>6512</v>
      </c>
      <c r="H30">
        <v>6512</v>
      </c>
      <c r="I30">
        <v>6512</v>
      </c>
    </row>
    <row r="31" spans="1:9" ht="15.75" customHeight="1" x14ac:dyDescent="0.15">
      <c r="A31" t="s">
        <v>30</v>
      </c>
      <c r="B31">
        <v>0</v>
      </c>
      <c r="C31">
        <v>0</v>
      </c>
      <c r="D31">
        <v>0</v>
      </c>
      <c r="E31">
        <v>0</v>
      </c>
      <c r="F31">
        <v>8192</v>
      </c>
      <c r="G31">
        <v>8192</v>
      </c>
      <c r="H31">
        <v>8192</v>
      </c>
      <c r="I31">
        <v>8192</v>
      </c>
    </row>
    <row r="32" spans="1:9" ht="15.75" customHeight="1" x14ac:dyDescent="0.1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ht="15.75" customHeight="1" x14ac:dyDescent="0.1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ht="15.75" customHeight="1" x14ac:dyDescent="0.1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ht="15.75" customHeight="1" x14ac:dyDescent="0.1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ht="15.75" customHeight="1" x14ac:dyDescent="0.1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ht="15.75" customHeight="1" x14ac:dyDescent="0.1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ht="15.75" customHeight="1" x14ac:dyDescent="0.1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ht="15.75" customHeight="1" x14ac:dyDescent="0.1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ht="15.75" customHeight="1" x14ac:dyDescent="0.15">
      <c r="A40" t="s">
        <v>39</v>
      </c>
      <c r="B40">
        <v>0</v>
      </c>
      <c r="C40">
        <v>0</v>
      </c>
      <c r="D40">
        <v>0</v>
      </c>
      <c r="E40">
        <v>0</v>
      </c>
      <c r="F40">
        <v>8192</v>
      </c>
      <c r="G40">
        <v>8192</v>
      </c>
      <c r="H40">
        <v>8192</v>
      </c>
      <c r="I40">
        <v>0</v>
      </c>
    </row>
    <row r="41" spans="1:9" ht="15.75" customHeight="1" x14ac:dyDescent="0.1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8192</v>
      </c>
    </row>
    <row r="42" spans="1:9" ht="15.75" customHeight="1" x14ac:dyDescent="0.15">
      <c r="A42" t="s">
        <v>41</v>
      </c>
      <c r="B42">
        <v>0</v>
      </c>
      <c r="C42">
        <v>0</v>
      </c>
      <c r="D42">
        <v>0</v>
      </c>
      <c r="E42">
        <v>0</v>
      </c>
      <c r="F42">
        <v>8192</v>
      </c>
      <c r="G42">
        <v>8192</v>
      </c>
      <c r="H42">
        <v>8192</v>
      </c>
      <c r="I42">
        <v>0</v>
      </c>
    </row>
    <row r="43" spans="1:9" ht="15.75" customHeight="1" x14ac:dyDescent="0.1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8192</v>
      </c>
    </row>
    <row r="44" spans="1:9" ht="15.75" customHeight="1" x14ac:dyDescent="0.1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ht="15.75" customHeight="1" x14ac:dyDescent="0.1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ht="15.75" customHeight="1" x14ac:dyDescent="0.1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ht="15.75" customHeight="1" x14ac:dyDescent="0.1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ht="15.75" customHeight="1" x14ac:dyDescent="0.15">
      <c r="A48" t="s">
        <v>47</v>
      </c>
      <c r="B48">
        <v>9864960</v>
      </c>
      <c r="C48">
        <v>11304972</v>
      </c>
      <c r="D48">
        <v>11040279</v>
      </c>
      <c r="E48">
        <v>8568239</v>
      </c>
      <c r="F48">
        <v>7656738</v>
      </c>
      <c r="G48">
        <v>6668572</v>
      </c>
      <c r="H48">
        <v>5217184</v>
      </c>
      <c r="I48">
        <v>5218727</v>
      </c>
    </row>
    <row r="49" spans="1:9" ht="15.75" customHeight="1" x14ac:dyDescent="0.15">
      <c r="A49" t="s">
        <v>48</v>
      </c>
      <c r="B49">
        <v>4608814</v>
      </c>
      <c r="C49">
        <v>5103684</v>
      </c>
      <c r="D49">
        <v>5250264</v>
      </c>
      <c r="E49">
        <v>2924371</v>
      </c>
      <c r="F49">
        <v>2556678</v>
      </c>
      <c r="G49">
        <v>3010721</v>
      </c>
      <c r="H49">
        <v>2422241</v>
      </c>
      <c r="I49">
        <v>2070635</v>
      </c>
    </row>
    <row r="50" spans="1:9" ht="15.75" customHeight="1" x14ac:dyDescent="0.15">
      <c r="A50" t="s">
        <v>49</v>
      </c>
      <c r="B50">
        <v>401813</v>
      </c>
      <c r="C50">
        <v>259874</v>
      </c>
      <c r="D50">
        <v>395324</v>
      </c>
      <c r="E50">
        <v>233185</v>
      </c>
      <c r="F50">
        <v>153593</v>
      </c>
      <c r="G50">
        <v>229845</v>
      </c>
      <c r="H50">
        <v>135786</v>
      </c>
      <c r="I50">
        <v>170823</v>
      </c>
    </row>
    <row r="51" spans="1:9" ht="15.75" customHeight="1" x14ac:dyDescent="0.15">
      <c r="A51" t="s">
        <v>50</v>
      </c>
      <c r="B51">
        <v>3664689</v>
      </c>
      <c r="C51">
        <v>4140030</v>
      </c>
      <c r="D51">
        <v>4081340</v>
      </c>
      <c r="E51">
        <v>2338118</v>
      </c>
      <c r="F51">
        <v>1996776</v>
      </c>
      <c r="G51">
        <v>2711561</v>
      </c>
      <c r="H51">
        <v>2072725</v>
      </c>
      <c r="I51">
        <v>1739894</v>
      </c>
    </row>
    <row r="52" spans="1:9" ht="15.75" customHeight="1" x14ac:dyDescent="0.1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ht="15.75" customHeight="1" x14ac:dyDescent="0.15">
      <c r="A53" t="s">
        <v>52</v>
      </c>
      <c r="B53">
        <v>542312</v>
      </c>
      <c r="C53">
        <v>640442</v>
      </c>
      <c r="D53">
        <v>773600</v>
      </c>
      <c r="E53">
        <v>353068</v>
      </c>
      <c r="F53">
        <v>406309</v>
      </c>
      <c r="G53">
        <v>69315</v>
      </c>
      <c r="H53">
        <v>213730</v>
      </c>
      <c r="I53">
        <v>159918</v>
      </c>
    </row>
    <row r="54" spans="1:9" ht="15.75" customHeight="1" x14ac:dyDescent="0.15">
      <c r="A54" t="s">
        <v>53</v>
      </c>
      <c r="B54">
        <v>0</v>
      </c>
      <c r="C54">
        <v>63338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ht="15.75" customHeight="1" x14ac:dyDescent="0.1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ht="15.75" customHeight="1" x14ac:dyDescent="0.15">
      <c r="A56" t="s">
        <v>55</v>
      </c>
      <c r="B56">
        <v>5013716</v>
      </c>
      <c r="C56">
        <v>5309746</v>
      </c>
      <c r="D56">
        <v>4632483</v>
      </c>
      <c r="E56">
        <v>3374197</v>
      </c>
      <c r="F56">
        <v>3111429</v>
      </c>
      <c r="G56">
        <v>3053922</v>
      </c>
      <c r="H56">
        <v>2457865</v>
      </c>
      <c r="I56">
        <v>2435304</v>
      </c>
    </row>
    <row r="57" spans="1:9" ht="15.75" customHeight="1" x14ac:dyDescent="0.15">
      <c r="A57" t="s">
        <v>56</v>
      </c>
      <c r="B57">
        <v>4256399</v>
      </c>
      <c r="C57">
        <v>3896776</v>
      </c>
      <c r="D57">
        <v>2966203</v>
      </c>
      <c r="E57">
        <v>3180616</v>
      </c>
      <c r="F57">
        <v>2787212</v>
      </c>
      <c r="G57">
        <v>2642901</v>
      </c>
      <c r="H57">
        <v>2353521</v>
      </c>
      <c r="I57">
        <v>2381302</v>
      </c>
    </row>
    <row r="58" spans="1:9" ht="15.75" customHeight="1" x14ac:dyDescent="0.1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ht="15.75" customHeight="1" x14ac:dyDescent="0.1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ht="15.75" customHeight="1" x14ac:dyDescent="0.1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ht="15.75" customHeight="1" x14ac:dyDescent="0.1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ht="15.75" customHeight="1" x14ac:dyDescent="0.15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ht="15.75" customHeight="1" x14ac:dyDescent="0.15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ht="15.75" customHeight="1" x14ac:dyDescent="0.15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ht="15.75" customHeight="1" x14ac:dyDescent="0.15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t="15.75" customHeight="1" x14ac:dyDescent="0.15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t="15.75" customHeight="1" x14ac:dyDescent="0.15">
      <c r="A67" t="s">
        <v>66</v>
      </c>
      <c r="B67">
        <v>11273</v>
      </c>
      <c r="C67">
        <v>121727</v>
      </c>
      <c r="D67">
        <v>578618</v>
      </c>
      <c r="E67">
        <v>112666</v>
      </c>
      <c r="F67">
        <v>284700</v>
      </c>
      <c r="G67">
        <v>175791</v>
      </c>
      <c r="H67">
        <v>57954</v>
      </c>
      <c r="I67">
        <v>4758</v>
      </c>
    </row>
    <row r="68" spans="1:9" ht="15.75" customHeight="1" x14ac:dyDescent="0.15">
      <c r="A68" t="s">
        <v>67</v>
      </c>
      <c r="B68">
        <v>12001</v>
      </c>
      <c r="C68">
        <v>21254</v>
      </c>
      <c r="D68">
        <v>127045</v>
      </c>
      <c r="E68">
        <v>34606</v>
      </c>
      <c r="F68">
        <v>0</v>
      </c>
      <c r="G68">
        <v>0</v>
      </c>
      <c r="H68">
        <v>0</v>
      </c>
      <c r="I68">
        <v>0</v>
      </c>
    </row>
    <row r="69" spans="1:9" ht="15.75" customHeight="1" x14ac:dyDescent="0.15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ht="15.75" customHeight="1" x14ac:dyDescent="0.15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ht="15.75" customHeight="1" x14ac:dyDescent="0.15">
      <c r="A71" t="s">
        <v>70</v>
      </c>
      <c r="B71">
        <v>120585</v>
      </c>
      <c r="C71">
        <v>110959</v>
      </c>
      <c r="D71">
        <v>51330</v>
      </c>
      <c r="E71">
        <v>38017</v>
      </c>
      <c r="F71">
        <v>39517</v>
      </c>
      <c r="G71">
        <v>235230</v>
      </c>
      <c r="H71">
        <v>46390</v>
      </c>
      <c r="I71">
        <v>49244</v>
      </c>
    </row>
    <row r="72" spans="1:9" ht="15.75" customHeight="1" x14ac:dyDescent="0.15">
      <c r="A72" t="s">
        <v>71</v>
      </c>
      <c r="B72">
        <v>613458</v>
      </c>
      <c r="C72">
        <v>1159030</v>
      </c>
      <c r="D72">
        <v>909287</v>
      </c>
      <c r="E72">
        <v>8292</v>
      </c>
      <c r="F72">
        <v>0</v>
      </c>
      <c r="G72">
        <v>0</v>
      </c>
      <c r="H72">
        <v>0</v>
      </c>
      <c r="I72">
        <v>0</v>
      </c>
    </row>
    <row r="73" spans="1:9" ht="15.75" customHeight="1" x14ac:dyDescent="0.15">
      <c r="A73" t="s">
        <v>72</v>
      </c>
      <c r="B73">
        <v>4388257</v>
      </c>
      <c r="C73">
        <v>4129462</v>
      </c>
      <c r="D73">
        <v>3596151</v>
      </c>
      <c r="E73">
        <v>3331299</v>
      </c>
      <c r="F73">
        <v>3111429</v>
      </c>
      <c r="G73">
        <v>3053922</v>
      </c>
      <c r="H73">
        <v>2457865</v>
      </c>
      <c r="I73">
        <v>2435304</v>
      </c>
    </row>
    <row r="74" spans="1:9" ht="15.75" customHeight="1" x14ac:dyDescent="0.15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t="15.75" customHeight="1" x14ac:dyDescent="0.15">
      <c r="A75" t="s">
        <v>74</v>
      </c>
      <c r="B75">
        <v>625459</v>
      </c>
      <c r="C75">
        <v>1180284</v>
      </c>
      <c r="D75">
        <v>1036332</v>
      </c>
      <c r="E75">
        <v>42898</v>
      </c>
      <c r="F75">
        <v>0</v>
      </c>
      <c r="G75">
        <v>0</v>
      </c>
      <c r="H75">
        <v>0</v>
      </c>
      <c r="I75">
        <v>0</v>
      </c>
    </row>
    <row r="76" spans="1:9" ht="15.75" customHeight="1" x14ac:dyDescent="0.15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ht="15.75" customHeight="1" x14ac:dyDescent="0.15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ht="15.75" customHeight="1" x14ac:dyDescent="0.15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ht="15.75" customHeight="1" x14ac:dyDescent="0.15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ht="15.75" customHeight="1" x14ac:dyDescent="0.15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ht="15.75" customHeight="1" x14ac:dyDescent="0.15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ht="15.75" customHeight="1" x14ac:dyDescent="0.15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ht="15.75" customHeight="1" x14ac:dyDescent="0.15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ht="15.75" customHeight="1" x14ac:dyDescent="0.1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ht="15.75" customHeight="1" x14ac:dyDescent="0.15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ht="15.75" customHeight="1" x14ac:dyDescent="0.1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ht="15.75" customHeight="1" x14ac:dyDescent="0.15">
      <c r="A87" t="s">
        <v>85</v>
      </c>
      <c r="B87">
        <v>242430</v>
      </c>
      <c r="C87">
        <v>891542</v>
      </c>
      <c r="D87">
        <v>1157532</v>
      </c>
      <c r="E87">
        <v>2269671</v>
      </c>
      <c r="F87">
        <v>1988631</v>
      </c>
      <c r="G87">
        <v>603929</v>
      </c>
      <c r="H87">
        <v>337078</v>
      </c>
      <c r="I87">
        <v>712788</v>
      </c>
    </row>
    <row r="88" spans="1:9" ht="15.75" customHeight="1" x14ac:dyDescent="0.15">
      <c r="A88" t="s">
        <v>86</v>
      </c>
      <c r="B88">
        <v>241919</v>
      </c>
      <c r="C88">
        <v>891422</v>
      </c>
      <c r="D88">
        <v>1157445</v>
      </c>
      <c r="E88">
        <v>2269599</v>
      </c>
      <c r="F88">
        <v>1988227</v>
      </c>
      <c r="G88">
        <v>603874</v>
      </c>
      <c r="H88">
        <v>336843</v>
      </c>
      <c r="I88">
        <v>712192</v>
      </c>
    </row>
    <row r="89" spans="1:9" ht="15.75" customHeight="1" x14ac:dyDescent="0.1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t="15.75" customHeight="1" x14ac:dyDescent="0.15">
      <c r="A90" t="s">
        <v>88</v>
      </c>
      <c r="B90">
        <v>511</v>
      </c>
      <c r="C90">
        <v>120</v>
      </c>
      <c r="D90">
        <v>87</v>
      </c>
      <c r="E90">
        <v>72</v>
      </c>
      <c r="F90">
        <v>404</v>
      </c>
      <c r="G90">
        <v>55</v>
      </c>
      <c r="H90">
        <v>235</v>
      </c>
      <c r="I90">
        <v>596</v>
      </c>
    </row>
    <row r="91" spans="1:9" ht="15.75" customHeight="1" x14ac:dyDescent="0.15">
      <c r="A91" t="s">
        <v>89</v>
      </c>
      <c r="B91">
        <v>82949</v>
      </c>
      <c r="C91">
        <v>66553</v>
      </c>
      <c r="D91">
        <v>67834</v>
      </c>
      <c r="E91">
        <v>70670</v>
      </c>
      <c r="F91">
        <v>65092</v>
      </c>
      <c r="G91">
        <v>26537</v>
      </c>
      <c r="H91">
        <v>36724</v>
      </c>
      <c r="I91">
        <v>24511</v>
      </c>
    </row>
    <row r="92" spans="1:9" ht="15.75" customHeight="1" x14ac:dyDescent="0.1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ht="15.75" customHeight="1" x14ac:dyDescent="0.15">
      <c r="A93" t="s">
        <v>91</v>
      </c>
      <c r="B93">
        <v>18790859</v>
      </c>
      <c r="C93">
        <v>20554377</v>
      </c>
      <c r="D93">
        <v>20723060</v>
      </c>
      <c r="E93">
        <v>18204611</v>
      </c>
      <c r="F93">
        <v>14795011</v>
      </c>
      <c r="G93">
        <v>9311398</v>
      </c>
      <c r="H93">
        <v>6455031</v>
      </c>
      <c r="I93">
        <v>6151737</v>
      </c>
    </row>
    <row r="94" spans="1:9" ht="15.75" customHeight="1" x14ac:dyDescent="0.15">
      <c r="A94" t="s">
        <v>92</v>
      </c>
    </row>
    <row r="95" spans="1:9" ht="15.75" customHeight="1" x14ac:dyDescent="0.15">
      <c r="A95" t="s">
        <v>93</v>
      </c>
    </row>
    <row r="96" spans="1:9" ht="15.75" customHeight="1" x14ac:dyDescent="0.15">
      <c r="A96" t="s">
        <v>94</v>
      </c>
      <c r="B96">
        <v>5757287</v>
      </c>
      <c r="C96">
        <v>5227552</v>
      </c>
      <c r="D96">
        <v>4660887</v>
      </c>
      <c r="E96">
        <v>4082303</v>
      </c>
      <c r="F96">
        <v>3206001</v>
      </c>
      <c r="G96">
        <v>2384718</v>
      </c>
      <c r="H96">
        <v>1733081</v>
      </c>
      <c r="I96">
        <v>1062658</v>
      </c>
    </row>
    <row r="97" spans="1:9" ht="15.75" customHeight="1" x14ac:dyDescent="0.15">
      <c r="A97" t="s">
        <v>95</v>
      </c>
      <c r="B97">
        <v>140000</v>
      </c>
      <c r="C97">
        <v>140000</v>
      </c>
      <c r="D97">
        <v>140000</v>
      </c>
      <c r="E97">
        <v>140000</v>
      </c>
      <c r="F97">
        <v>140000</v>
      </c>
      <c r="G97">
        <v>140000</v>
      </c>
      <c r="H97">
        <v>140000</v>
      </c>
      <c r="I97">
        <v>140000</v>
      </c>
    </row>
    <row r="98" spans="1:9" ht="15.75" customHeight="1" x14ac:dyDescent="0.1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ht="15.75" customHeight="1" x14ac:dyDescent="0.1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ht="15.75" customHeight="1" x14ac:dyDescent="0.1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t="15.75" customHeight="1" x14ac:dyDescent="0.1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ht="15.75" customHeight="1" x14ac:dyDescent="0.1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ht="15.75" customHeight="1" x14ac:dyDescent="0.1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ht="15.75" customHeight="1" x14ac:dyDescent="0.15">
      <c r="A104" t="s">
        <v>102</v>
      </c>
      <c r="B104">
        <v>28000</v>
      </c>
      <c r="C104">
        <v>28000</v>
      </c>
      <c r="D104">
        <v>28000</v>
      </c>
      <c r="E104">
        <v>28000</v>
      </c>
      <c r="F104">
        <v>28000</v>
      </c>
      <c r="G104">
        <v>28000</v>
      </c>
      <c r="H104">
        <v>18237</v>
      </c>
      <c r="I104">
        <v>0</v>
      </c>
    </row>
    <row r="105" spans="1:9" ht="15.75" customHeight="1" x14ac:dyDescent="0.15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ht="15.75" customHeight="1" x14ac:dyDescent="0.1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ht="15.75" customHeight="1" x14ac:dyDescent="0.15">
      <c r="A107" t="s">
        <v>105</v>
      </c>
      <c r="B107">
        <v>4689554</v>
      </c>
      <c r="C107">
        <v>4492885</v>
      </c>
      <c r="D107">
        <v>3814306</v>
      </c>
      <c r="E107">
        <v>2953000</v>
      </c>
      <c r="F107">
        <v>2116719</v>
      </c>
      <c r="G107">
        <v>1465082</v>
      </c>
      <c r="H107">
        <v>904419</v>
      </c>
      <c r="I107">
        <v>-1</v>
      </c>
    </row>
    <row r="108" spans="1:9" ht="15.75" customHeight="1" x14ac:dyDescent="0.15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ht="15.75" customHeight="1" x14ac:dyDescent="0.15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ht="15.75" customHeight="1" x14ac:dyDescent="0.1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557913</v>
      </c>
    </row>
    <row r="111" spans="1:9" ht="15.75" customHeight="1" x14ac:dyDescent="0.15">
      <c r="A111" t="s">
        <v>109</v>
      </c>
      <c r="B111">
        <v>899733</v>
      </c>
      <c r="C111">
        <v>566667</v>
      </c>
      <c r="D111">
        <v>678581</v>
      </c>
      <c r="E111">
        <v>961303</v>
      </c>
      <c r="F111">
        <v>921282</v>
      </c>
      <c r="G111">
        <v>751636</v>
      </c>
      <c r="H111">
        <v>670425</v>
      </c>
      <c r="I111">
        <v>364746</v>
      </c>
    </row>
    <row r="112" spans="1:9" ht="15.75" customHeight="1" x14ac:dyDescent="0.1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ht="15.75" customHeight="1" x14ac:dyDescent="0.1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ht="15.75" customHeight="1" x14ac:dyDescent="0.1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ht="15.75" customHeight="1" x14ac:dyDescent="0.1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ht="15.75" customHeight="1" x14ac:dyDescent="0.1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ht="15.75" customHeight="1" x14ac:dyDescent="0.1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ht="15.75" customHeight="1" x14ac:dyDescent="0.1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ht="15.75" customHeight="1" x14ac:dyDescent="0.15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ht="15.75" customHeight="1" x14ac:dyDescent="0.15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41042</v>
      </c>
      <c r="I120">
        <v>41042</v>
      </c>
    </row>
    <row r="121" spans="1:9" ht="15.75" customHeight="1" x14ac:dyDescent="0.1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ht="15.75" customHeight="1" x14ac:dyDescent="0.1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ht="15.75" customHeight="1" x14ac:dyDescent="0.1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ht="15.75" customHeight="1" x14ac:dyDescent="0.1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41042</v>
      </c>
      <c r="I124">
        <v>41042</v>
      </c>
    </row>
    <row r="125" spans="1:9" ht="15.75" customHeight="1" x14ac:dyDescent="0.1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ht="15.75" customHeight="1" x14ac:dyDescent="0.15">
      <c r="A126" t="s">
        <v>124</v>
      </c>
      <c r="B126">
        <v>191675</v>
      </c>
      <c r="C126">
        <v>179286</v>
      </c>
      <c r="D126">
        <v>189098</v>
      </c>
      <c r="E126">
        <v>197380</v>
      </c>
      <c r="F126">
        <v>174392</v>
      </c>
      <c r="G126">
        <v>206556</v>
      </c>
      <c r="H126">
        <v>187238</v>
      </c>
      <c r="I126">
        <v>173667</v>
      </c>
    </row>
    <row r="127" spans="1:9" ht="15.75" customHeight="1" x14ac:dyDescent="0.15">
      <c r="A127" t="s">
        <v>125</v>
      </c>
    </row>
    <row r="128" spans="1:9" ht="15.75" customHeight="1" x14ac:dyDescent="0.15">
      <c r="A128" t="s">
        <v>126</v>
      </c>
      <c r="B128">
        <v>11906052</v>
      </c>
      <c r="C128">
        <v>13914499</v>
      </c>
      <c r="D128">
        <v>14618344</v>
      </c>
      <c r="E128">
        <v>13815442</v>
      </c>
      <c r="F128">
        <v>11347602</v>
      </c>
      <c r="G128">
        <v>6671454</v>
      </c>
      <c r="H128">
        <v>4468030</v>
      </c>
      <c r="I128">
        <v>4868877</v>
      </c>
    </row>
    <row r="129" spans="1:9" ht="15.75" customHeight="1" x14ac:dyDescent="0.1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ht="15.75" customHeight="1" x14ac:dyDescent="0.1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ht="15.75" customHeight="1" x14ac:dyDescent="0.1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ht="15.75" customHeight="1" x14ac:dyDescent="0.15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ht="15.75" customHeight="1" x14ac:dyDescent="0.1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ht="15.75" customHeight="1" x14ac:dyDescent="0.1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ht="15.75" customHeight="1" x14ac:dyDescent="0.15">
      <c r="A135" t="s">
        <v>133</v>
      </c>
      <c r="B135">
        <v>3395294</v>
      </c>
      <c r="C135">
        <v>3987523</v>
      </c>
      <c r="D135">
        <v>4519420</v>
      </c>
      <c r="E135">
        <v>3495062</v>
      </c>
      <c r="F135">
        <v>2923930</v>
      </c>
      <c r="G135">
        <v>3390744</v>
      </c>
      <c r="H135">
        <v>1825267</v>
      </c>
      <c r="I135">
        <v>1954310</v>
      </c>
    </row>
    <row r="136" spans="1:9" ht="15.75" customHeight="1" x14ac:dyDescent="0.15">
      <c r="A136" t="s">
        <v>134</v>
      </c>
      <c r="B136">
        <v>5110204</v>
      </c>
      <c r="C136">
        <v>6691873</v>
      </c>
      <c r="D136">
        <v>6691933</v>
      </c>
      <c r="E136">
        <v>7333471</v>
      </c>
      <c r="F136">
        <v>6304053</v>
      </c>
      <c r="G136">
        <v>588287</v>
      </c>
      <c r="H136">
        <v>808395</v>
      </c>
      <c r="I136">
        <v>952264</v>
      </c>
    </row>
    <row r="137" spans="1:9" ht="15.75" customHeight="1" x14ac:dyDescent="0.15">
      <c r="A137" t="s">
        <v>135</v>
      </c>
      <c r="B137">
        <v>435</v>
      </c>
      <c r="C137">
        <v>435</v>
      </c>
      <c r="D137">
        <v>435</v>
      </c>
      <c r="E137">
        <v>435</v>
      </c>
      <c r="F137">
        <v>310</v>
      </c>
      <c r="G137">
        <v>0</v>
      </c>
      <c r="H137">
        <v>120</v>
      </c>
      <c r="I137">
        <v>0</v>
      </c>
    </row>
    <row r="138" spans="1:9" ht="15.75" customHeight="1" x14ac:dyDescent="0.15">
      <c r="A138" t="s">
        <v>136</v>
      </c>
      <c r="B138">
        <v>0</v>
      </c>
      <c r="C138">
        <v>0</v>
      </c>
      <c r="D138">
        <v>25580</v>
      </c>
      <c r="E138">
        <v>38724</v>
      </c>
      <c r="F138">
        <v>0</v>
      </c>
      <c r="G138">
        <v>0</v>
      </c>
      <c r="H138">
        <v>0</v>
      </c>
      <c r="I138">
        <v>0</v>
      </c>
    </row>
    <row r="139" spans="1:9" ht="15.75" customHeight="1" x14ac:dyDescent="0.1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73</v>
      </c>
      <c r="H139">
        <v>73</v>
      </c>
      <c r="I139">
        <v>0</v>
      </c>
    </row>
    <row r="140" spans="1:9" ht="15.75" customHeight="1" x14ac:dyDescent="0.15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ht="15.75" customHeight="1" x14ac:dyDescent="0.15">
      <c r="A141" t="s">
        <v>139</v>
      </c>
      <c r="B141">
        <v>2274193</v>
      </c>
      <c r="C141">
        <v>2343088</v>
      </c>
      <c r="D141">
        <v>2517619</v>
      </c>
      <c r="E141">
        <v>2142223</v>
      </c>
      <c r="F141">
        <v>1385728</v>
      </c>
      <c r="G141">
        <v>2083244</v>
      </c>
      <c r="H141">
        <v>1195746</v>
      </c>
      <c r="I141">
        <v>1264218</v>
      </c>
    </row>
    <row r="142" spans="1:9" ht="15.75" customHeight="1" x14ac:dyDescent="0.1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ht="15.75" customHeight="1" x14ac:dyDescent="0.1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ht="15.75" customHeight="1" x14ac:dyDescent="0.1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ht="15.75" customHeight="1" x14ac:dyDescent="0.1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ht="15.75" customHeight="1" x14ac:dyDescent="0.1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ht="15.75" customHeight="1" x14ac:dyDescent="0.1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ht="15.75" customHeight="1" x14ac:dyDescent="0.1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ht="15.75" customHeight="1" x14ac:dyDescent="0.1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ht="15.75" customHeight="1" x14ac:dyDescent="0.1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ht="15.75" customHeight="1" x14ac:dyDescent="0.1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ht="15.75" customHeight="1" x14ac:dyDescent="0.1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ht="15.75" customHeight="1" x14ac:dyDescent="0.15">
      <c r="A153" t="s">
        <v>151</v>
      </c>
      <c r="B153">
        <v>235721</v>
      </c>
      <c r="C153">
        <v>135216</v>
      </c>
      <c r="D153">
        <v>65377</v>
      </c>
      <c r="E153">
        <v>105582</v>
      </c>
      <c r="F153">
        <v>106674</v>
      </c>
      <c r="G153">
        <v>51877</v>
      </c>
      <c r="H153">
        <v>163119</v>
      </c>
      <c r="I153">
        <v>243381</v>
      </c>
    </row>
    <row r="154" spans="1:9" ht="15.75" customHeight="1" x14ac:dyDescent="0.1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ht="15.75" customHeight="1" x14ac:dyDescent="0.15">
      <c r="A155" t="s">
        <v>153</v>
      </c>
      <c r="B155">
        <v>70140</v>
      </c>
      <c r="C155">
        <v>86558</v>
      </c>
      <c r="D155">
        <v>64694</v>
      </c>
      <c r="E155">
        <v>66189</v>
      </c>
      <c r="F155">
        <v>45686</v>
      </c>
      <c r="G155">
        <v>58094</v>
      </c>
      <c r="H155">
        <v>53295</v>
      </c>
      <c r="I155">
        <v>60311</v>
      </c>
    </row>
    <row r="156" spans="1:9" ht="15.75" customHeight="1" x14ac:dyDescent="0.1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ht="15.75" customHeight="1" x14ac:dyDescent="0.15">
      <c r="A157" t="s">
        <v>155</v>
      </c>
      <c r="B157">
        <v>820065</v>
      </c>
      <c r="C157">
        <v>669806</v>
      </c>
      <c r="D157">
        <v>733286</v>
      </c>
      <c r="E157">
        <v>633756</v>
      </c>
      <c r="F157">
        <v>581221</v>
      </c>
      <c r="G157">
        <v>499135</v>
      </c>
      <c r="H157">
        <v>422015</v>
      </c>
      <c r="I157">
        <v>394393</v>
      </c>
    </row>
    <row r="158" spans="1:9" ht="15.75" customHeight="1" x14ac:dyDescent="0.1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ht="15.75" customHeight="1" x14ac:dyDescent="0.15">
      <c r="A159" t="s">
        <v>157</v>
      </c>
      <c r="B159">
        <v>6795848</v>
      </c>
      <c r="C159">
        <v>7222626</v>
      </c>
      <c r="D159">
        <v>7900831</v>
      </c>
      <c r="E159">
        <v>6443247</v>
      </c>
      <c r="F159">
        <v>5043549</v>
      </c>
      <c r="G159">
        <v>6083167</v>
      </c>
      <c r="H159">
        <v>3659635</v>
      </c>
      <c r="I159">
        <v>3916613</v>
      </c>
    </row>
    <row r="160" spans="1:9" ht="15.75" customHeight="1" x14ac:dyDescent="0.15">
      <c r="A160" t="s">
        <v>158</v>
      </c>
      <c r="B160">
        <v>5110204</v>
      </c>
      <c r="C160">
        <v>6691873</v>
      </c>
      <c r="D160">
        <v>6717513</v>
      </c>
      <c r="E160">
        <v>7372195</v>
      </c>
      <c r="F160">
        <v>6304053</v>
      </c>
      <c r="G160">
        <v>588287</v>
      </c>
      <c r="H160">
        <v>808395</v>
      </c>
      <c r="I160">
        <v>952264</v>
      </c>
    </row>
    <row r="161" spans="1:9" ht="15.75" customHeight="1" x14ac:dyDescent="0.15">
      <c r="A161" t="s">
        <v>159</v>
      </c>
      <c r="B161">
        <v>6795848</v>
      </c>
      <c r="C161">
        <v>7222626</v>
      </c>
      <c r="D161">
        <v>7900831</v>
      </c>
      <c r="E161">
        <v>6443247</v>
      </c>
      <c r="F161">
        <v>5043549</v>
      </c>
      <c r="G161">
        <v>6083167</v>
      </c>
      <c r="H161">
        <v>3659635</v>
      </c>
      <c r="I161">
        <v>3916613</v>
      </c>
    </row>
    <row r="162" spans="1:9" ht="15.75" customHeight="1" x14ac:dyDescent="0.15">
      <c r="A162" t="s">
        <v>160</v>
      </c>
      <c r="B162">
        <v>5110204</v>
      </c>
      <c r="C162">
        <v>6691873</v>
      </c>
      <c r="D162">
        <v>6717513</v>
      </c>
      <c r="E162">
        <v>7372195</v>
      </c>
      <c r="F162">
        <v>6304053</v>
      </c>
      <c r="G162">
        <v>588287</v>
      </c>
      <c r="H162">
        <v>808395</v>
      </c>
      <c r="I162">
        <v>952264</v>
      </c>
    </row>
    <row r="163" spans="1:9" ht="15.75" customHeight="1" x14ac:dyDescent="0.15">
      <c r="A163" t="s">
        <v>161</v>
      </c>
      <c r="B163">
        <v>935845</v>
      </c>
      <c r="C163">
        <v>1233040</v>
      </c>
      <c r="D163">
        <v>1254731</v>
      </c>
      <c r="E163">
        <v>109486</v>
      </c>
      <c r="F163">
        <v>67016</v>
      </c>
      <c r="G163">
        <v>48670</v>
      </c>
      <c r="H163">
        <v>25640</v>
      </c>
      <c r="I163">
        <v>5493</v>
      </c>
    </row>
    <row r="164" spans="1:9" ht="15.75" customHeight="1" x14ac:dyDescent="0.1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ht="15.75" customHeight="1" x14ac:dyDescent="0.15">
      <c r="A165" t="s">
        <v>163</v>
      </c>
      <c r="B165">
        <v>18790859</v>
      </c>
      <c r="C165">
        <v>20554377</v>
      </c>
      <c r="D165">
        <v>20723060</v>
      </c>
      <c r="E165">
        <v>18204611</v>
      </c>
      <c r="F165">
        <v>14795011</v>
      </c>
      <c r="G165">
        <v>9311398</v>
      </c>
      <c r="H165">
        <v>6455031</v>
      </c>
      <c r="I165">
        <v>6151737</v>
      </c>
    </row>
    <row r="166" spans="1:9" ht="15.75" customHeight="1" x14ac:dyDescent="0.1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ht="15.75" customHeight="1" x14ac:dyDescent="0.15">
      <c r="A167" t="s">
        <v>165</v>
      </c>
    </row>
    <row r="168" spans="1:9" ht="15.75" customHeight="1" x14ac:dyDescent="0.15">
      <c r="A168" t="s">
        <v>166</v>
      </c>
      <c r="B168">
        <v>21175083</v>
      </c>
      <c r="C168">
        <v>21333756</v>
      </c>
      <c r="D168">
        <v>20175039</v>
      </c>
      <c r="E168">
        <v>15943683</v>
      </c>
      <c r="F168">
        <v>13994258</v>
      </c>
      <c r="G168">
        <v>14096980</v>
      </c>
      <c r="H168">
        <v>11927860</v>
      </c>
      <c r="I168">
        <v>9845054</v>
      </c>
    </row>
    <row r="169" spans="1:9" ht="15.75" customHeight="1" x14ac:dyDescent="0.15">
      <c r="A169" t="s">
        <v>167</v>
      </c>
      <c r="B169">
        <v>21463379</v>
      </c>
      <c r="C169">
        <v>20988520</v>
      </c>
      <c r="D169">
        <v>17588847</v>
      </c>
      <c r="E169">
        <v>15559839</v>
      </c>
      <c r="F169">
        <v>14316092</v>
      </c>
      <c r="G169">
        <v>13473198</v>
      </c>
      <c r="H169">
        <v>11493812</v>
      </c>
      <c r="I169">
        <v>9891413</v>
      </c>
    </row>
    <row r="170" spans="1:9" ht="15.75" customHeight="1" x14ac:dyDescent="0.15">
      <c r="A170" t="s">
        <v>168</v>
      </c>
      <c r="B170">
        <v>-573471</v>
      </c>
      <c r="C170">
        <v>-74468</v>
      </c>
      <c r="D170">
        <v>2163754</v>
      </c>
      <c r="E170">
        <v>288102</v>
      </c>
      <c r="F170">
        <v>-377792</v>
      </c>
      <c r="G170">
        <v>494422</v>
      </c>
      <c r="H170">
        <v>386643</v>
      </c>
      <c r="I170">
        <v>-75281</v>
      </c>
    </row>
    <row r="171" spans="1:9" ht="15.75" customHeight="1" x14ac:dyDescent="0.1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ht="15.75" customHeight="1" x14ac:dyDescent="0.15">
      <c r="A172" t="s">
        <v>170</v>
      </c>
      <c r="B172">
        <v>-573471</v>
      </c>
      <c r="C172">
        <v>-74468</v>
      </c>
      <c r="D172">
        <v>2163754</v>
      </c>
      <c r="E172">
        <v>288102</v>
      </c>
      <c r="F172">
        <v>-377792</v>
      </c>
      <c r="G172">
        <v>494422</v>
      </c>
      <c r="H172">
        <v>386643</v>
      </c>
      <c r="I172">
        <v>-75281</v>
      </c>
    </row>
    <row r="173" spans="1:9" ht="15.75" customHeight="1" x14ac:dyDescent="0.1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ht="15.75" customHeight="1" x14ac:dyDescent="0.15">
      <c r="A174" t="s">
        <v>172</v>
      </c>
      <c r="B174">
        <v>285175</v>
      </c>
      <c r="C174">
        <v>419704</v>
      </c>
      <c r="D174">
        <v>422438</v>
      </c>
      <c r="E174">
        <v>95742</v>
      </c>
      <c r="F174">
        <v>55958</v>
      </c>
      <c r="G174">
        <v>129360</v>
      </c>
      <c r="H174">
        <v>47405</v>
      </c>
      <c r="I174">
        <v>28922</v>
      </c>
    </row>
    <row r="175" spans="1:9" ht="15.75" customHeight="1" x14ac:dyDescent="0.15">
      <c r="A175" t="s">
        <v>173</v>
      </c>
      <c r="B175">
        <v>97559</v>
      </c>
      <c r="C175">
        <v>265833</v>
      </c>
      <c r="D175">
        <v>189996</v>
      </c>
      <c r="E175">
        <v>17223</v>
      </c>
      <c r="F175">
        <v>35171</v>
      </c>
      <c r="G175">
        <v>52406</v>
      </c>
      <c r="H175">
        <v>21783</v>
      </c>
      <c r="I175">
        <v>2994</v>
      </c>
    </row>
    <row r="176" spans="1:9" ht="15.75" customHeight="1" x14ac:dyDescent="0.15">
      <c r="A176" t="s">
        <v>174</v>
      </c>
      <c r="B176">
        <v>19586234</v>
      </c>
      <c r="C176">
        <v>20216429</v>
      </c>
      <c r="D176">
        <v>19211064</v>
      </c>
      <c r="E176">
        <v>14532426</v>
      </c>
      <c r="F176">
        <v>12642532</v>
      </c>
      <c r="G176">
        <v>13027353</v>
      </c>
      <c r="H176">
        <v>10874910</v>
      </c>
      <c r="I176">
        <v>9209207</v>
      </c>
    </row>
    <row r="177" spans="1:9" ht="15.75" customHeight="1" x14ac:dyDescent="0.15">
      <c r="A177" t="s">
        <v>175</v>
      </c>
      <c r="B177">
        <v>14699595</v>
      </c>
      <c r="C177">
        <v>14953922</v>
      </c>
      <c r="D177">
        <v>13825249</v>
      </c>
      <c r="E177">
        <v>10511247</v>
      </c>
      <c r="F177">
        <v>9060210</v>
      </c>
      <c r="G177">
        <v>9472095</v>
      </c>
      <c r="H177">
        <v>7620373</v>
      </c>
      <c r="I177">
        <v>6509298</v>
      </c>
    </row>
    <row r="178" spans="1:9" ht="15.75" customHeight="1" x14ac:dyDescent="0.15">
      <c r="A178" t="s">
        <v>176</v>
      </c>
      <c r="B178">
        <v>2422226</v>
      </c>
      <c r="C178">
        <v>2512120</v>
      </c>
      <c r="D178">
        <v>2928006</v>
      </c>
      <c r="E178">
        <v>2010409</v>
      </c>
      <c r="F178">
        <v>1917407</v>
      </c>
      <c r="G178">
        <v>1966664</v>
      </c>
      <c r="H178">
        <v>1696231</v>
      </c>
      <c r="I178">
        <v>1342031</v>
      </c>
    </row>
    <row r="179" spans="1:9" ht="15.75" customHeight="1" x14ac:dyDescent="0.15">
      <c r="A179" t="s">
        <v>177</v>
      </c>
      <c r="B179">
        <v>117380</v>
      </c>
      <c r="C179">
        <v>75105</v>
      </c>
      <c r="D179">
        <v>85474</v>
      </c>
      <c r="E179">
        <v>78590</v>
      </c>
      <c r="F179">
        <v>73502</v>
      </c>
      <c r="G179">
        <v>66140</v>
      </c>
      <c r="H179">
        <v>53268</v>
      </c>
      <c r="I179">
        <v>64128</v>
      </c>
    </row>
    <row r="180" spans="1:9" ht="15.75" customHeight="1" x14ac:dyDescent="0.15">
      <c r="A180" t="s">
        <v>178</v>
      </c>
      <c r="B180">
        <v>1498458</v>
      </c>
      <c r="C180">
        <v>1556067</v>
      </c>
      <c r="D180">
        <v>1602450</v>
      </c>
      <c r="E180">
        <v>1479224</v>
      </c>
      <c r="F180">
        <v>1291439</v>
      </c>
      <c r="G180">
        <v>1276116</v>
      </c>
      <c r="H180">
        <v>1096036</v>
      </c>
      <c r="I180">
        <v>863572</v>
      </c>
    </row>
    <row r="181" spans="1:9" ht="15.75" customHeight="1" x14ac:dyDescent="0.15">
      <c r="A181" t="s">
        <v>179</v>
      </c>
      <c r="B181">
        <v>1114481</v>
      </c>
      <c r="C181">
        <v>1153603</v>
      </c>
      <c r="D181">
        <v>1171537</v>
      </c>
      <c r="E181">
        <v>1109703</v>
      </c>
      <c r="F181">
        <v>995556</v>
      </c>
      <c r="G181">
        <v>970126</v>
      </c>
      <c r="H181">
        <v>843534</v>
      </c>
      <c r="I181">
        <v>639901</v>
      </c>
    </row>
    <row r="182" spans="1:9" ht="15.75" customHeight="1" x14ac:dyDescent="0.15">
      <c r="A182" t="s">
        <v>180</v>
      </c>
      <c r="B182">
        <v>304319</v>
      </c>
      <c r="C182">
        <v>320564</v>
      </c>
      <c r="D182">
        <v>339324</v>
      </c>
      <c r="E182">
        <v>306352</v>
      </c>
      <c r="F182">
        <v>246288</v>
      </c>
      <c r="G182">
        <v>257238</v>
      </c>
      <c r="H182">
        <v>208162</v>
      </c>
      <c r="I182">
        <v>183386</v>
      </c>
    </row>
    <row r="183" spans="1:9" ht="15.75" customHeight="1" x14ac:dyDescent="0.15">
      <c r="A183" t="s">
        <v>181</v>
      </c>
      <c r="B183">
        <v>34063</v>
      </c>
      <c r="C183">
        <v>69740</v>
      </c>
      <c r="D183">
        <v>82699</v>
      </c>
      <c r="E183">
        <v>58425</v>
      </c>
      <c r="F183">
        <v>46870</v>
      </c>
      <c r="G183">
        <v>46263</v>
      </c>
      <c r="H183">
        <v>42176</v>
      </c>
      <c r="I183">
        <v>40285</v>
      </c>
    </row>
    <row r="184" spans="1:9" ht="15.75" customHeight="1" x14ac:dyDescent="0.15">
      <c r="A184" t="s">
        <v>182</v>
      </c>
      <c r="B184">
        <v>39635</v>
      </c>
      <c r="C184">
        <v>5780</v>
      </c>
      <c r="D184">
        <v>2900</v>
      </c>
      <c r="E184">
        <v>1409</v>
      </c>
      <c r="F184">
        <v>1108</v>
      </c>
      <c r="G184">
        <v>889</v>
      </c>
      <c r="H184">
        <v>729</v>
      </c>
      <c r="I184">
        <v>0</v>
      </c>
    </row>
    <row r="185" spans="1:9" ht="15.75" customHeight="1" x14ac:dyDescent="0.15">
      <c r="A185" t="s">
        <v>183</v>
      </c>
      <c r="B185">
        <v>5960</v>
      </c>
      <c r="C185">
        <v>6380</v>
      </c>
      <c r="D185">
        <v>5990</v>
      </c>
      <c r="E185">
        <v>3335</v>
      </c>
      <c r="F185">
        <v>1617</v>
      </c>
      <c r="G185">
        <v>1600</v>
      </c>
      <c r="H185">
        <v>1435</v>
      </c>
      <c r="I185">
        <v>0</v>
      </c>
    </row>
    <row r="186" spans="1:9" ht="15.75" customHeight="1" x14ac:dyDescent="0.15">
      <c r="A186" t="s">
        <v>184</v>
      </c>
      <c r="B186">
        <v>79658</v>
      </c>
      <c r="C186">
        <v>81900</v>
      </c>
      <c r="D186">
        <v>91589</v>
      </c>
      <c r="E186">
        <v>63169</v>
      </c>
      <c r="F186">
        <v>49595</v>
      </c>
      <c r="G186">
        <v>48752</v>
      </c>
      <c r="H186">
        <v>44340</v>
      </c>
      <c r="I186">
        <v>40285</v>
      </c>
    </row>
    <row r="187" spans="1:9" ht="15.75" customHeight="1" x14ac:dyDescent="0.15">
      <c r="A187" t="s">
        <v>185</v>
      </c>
      <c r="B187">
        <v>938458</v>
      </c>
      <c r="C187">
        <v>919596</v>
      </c>
      <c r="D187">
        <v>871102</v>
      </c>
      <c r="E187">
        <v>486381</v>
      </c>
      <c r="F187">
        <v>185223</v>
      </c>
      <c r="G187">
        <v>193878</v>
      </c>
      <c r="H187">
        <v>196923</v>
      </c>
      <c r="I187">
        <v>182462</v>
      </c>
    </row>
    <row r="188" spans="1:9" ht="15.75" customHeight="1" x14ac:dyDescent="0.15">
      <c r="A188" t="s">
        <v>186</v>
      </c>
      <c r="B188">
        <v>37282</v>
      </c>
      <c r="C188">
        <v>33337</v>
      </c>
      <c r="D188">
        <v>33064</v>
      </c>
      <c r="E188">
        <v>992</v>
      </c>
      <c r="F188">
        <v>0</v>
      </c>
      <c r="G188">
        <v>0</v>
      </c>
      <c r="H188">
        <v>1976</v>
      </c>
      <c r="I188">
        <v>1976</v>
      </c>
    </row>
    <row r="189" spans="1:9" ht="15.75" customHeight="1" x14ac:dyDescent="0.15">
      <c r="A189" t="s">
        <v>187</v>
      </c>
      <c r="B189">
        <v>879520</v>
      </c>
      <c r="C189">
        <v>866491</v>
      </c>
      <c r="D189">
        <v>822987</v>
      </c>
      <c r="E189">
        <v>469298</v>
      </c>
      <c r="F189">
        <v>171279</v>
      </c>
      <c r="G189">
        <v>180598</v>
      </c>
      <c r="H189">
        <v>182986</v>
      </c>
      <c r="I189">
        <v>172299</v>
      </c>
    </row>
    <row r="190" spans="1:9" ht="15.75" customHeight="1" x14ac:dyDescent="0.1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ht="15.75" customHeight="1" x14ac:dyDescent="0.15">
      <c r="A191" t="s">
        <v>189</v>
      </c>
      <c r="B191">
        <v>916802</v>
      </c>
      <c r="C191">
        <v>899828</v>
      </c>
      <c r="D191">
        <v>856051</v>
      </c>
      <c r="E191">
        <v>470290</v>
      </c>
      <c r="F191">
        <v>171279</v>
      </c>
      <c r="G191">
        <v>180598</v>
      </c>
      <c r="H191">
        <v>184962</v>
      </c>
      <c r="I191">
        <v>174275</v>
      </c>
    </row>
    <row r="192" spans="1:9" ht="15.75" customHeight="1" x14ac:dyDescent="0.15">
      <c r="A192" t="s">
        <v>190</v>
      </c>
      <c r="B192">
        <v>21656</v>
      </c>
      <c r="C192">
        <v>19768</v>
      </c>
      <c r="D192">
        <v>15051</v>
      </c>
      <c r="E192">
        <v>16091</v>
      </c>
      <c r="F192">
        <v>13944</v>
      </c>
      <c r="G192">
        <v>13280</v>
      </c>
      <c r="H192">
        <v>11961</v>
      </c>
      <c r="I192">
        <v>8187</v>
      </c>
    </row>
    <row r="193" spans="1:9" ht="15.75" customHeight="1" x14ac:dyDescent="0.15">
      <c r="A193" t="s">
        <v>191</v>
      </c>
      <c r="B193">
        <v>-141939</v>
      </c>
      <c r="C193">
        <v>135450</v>
      </c>
      <c r="D193">
        <v>-162139</v>
      </c>
      <c r="E193">
        <v>-79592</v>
      </c>
      <c r="F193">
        <v>76252</v>
      </c>
      <c r="G193">
        <v>-94059</v>
      </c>
      <c r="H193">
        <v>35037</v>
      </c>
      <c r="I193">
        <v>-61620</v>
      </c>
    </row>
    <row r="194" spans="1:9" ht="15.75" customHeight="1" x14ac:dyDescent="0.15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41042</v>
      </c>
    </row>
    <row r="195" spans="1:9" ht="15.75" customHeight="1" x14ac:dyDescent="0.1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ht="15.75" customHeight="1" x14ac:dyDescent="0.15">
      <c r="A196" t="s">
        <v>194</v>
      </c>
      <c r="B196">
        <v>52056</v>
      </c>
      <c r="C196">
        <v>64169</v>
      </c>
      <c r="D196">
        <v>60922</v>
      </c>
      <c r="E196">
        <v>46167</v>
      </c>
      <c r="F196">
        <v>38499</v>
      </c>
      <c r="G196">
        <v>146519</v>
      </c>
      <c r="H196">
        <v>177042</v>
      </c>
      <c r="I196">
        <v>268294</v>
      </c>
    </row>
    <row r="197" spans="1:9" ht="15.75" customHeight="1" x14ac:dyDescent="0.15">
      <c r="A197" t="s">
        <v>195</v>
      </c>
      <c r="B197">
        <v>1588849</v>
      </c>
      <c r="C197">
        <v>1117327</v>
      </c>
      <c r="D197">
        <v>963975</v>
      </c>
      <c r="E197">
        <v>1411257</v>
      </c>
      <c r="F197">
        <v>1351726</v>
      </c>
      <c r="G197">
        <v>1069627</v>
      </c>
      <c r="H197">
        <v>1052950</v>
      </c>
      <c r="I197">
        <v>635847</v>
      </c>
    </row>
    <row r="198" spans="1:9" ht="15.75" customHeight="1" x14ac:dyDescent="0.15">
      <c r="A198" t="s">
        <v>196</v>
      </c>
      <c r="B198">
        <v>4025765</v>
      </c>
      <c r="C198">
        <v>3592990</v>
      </c>
      <c r="D198">
        <v>3437527</v>
      </c>
      <c r="E198">
        <v>3376862</v>
      </c>
      <c r="F198">
        <v>2828388</v>
      </c>
      <c r="G198">
        <v>2539621</v>
      </c>
      <c r="H198">
        <v>2345909</v>
      </c>
      <c r="I198">
        <v>1722923</v>
      </c>
    </row>
    <row r="199" spans="1:9" ht="15.75" customHeight="1" x14ac:dyDescent="0.15">
      <c r="A199" t="s">
        <v>197</v>
      </c>
      <c r="B199">
        <v>-501648</v>
      </c>
      <c r="C199">
        <v>-526256</v>
      </c>
      <c r="D199">
        <v>-253466</v>
      </c>
      <c r="E199">
        <v>-207017</v>
      </c>
      <c r="F199">
        <v>-158955</v>
      </c>
      <c r="G199">
        <v>-98799</v>
      </c>
      <c r="H199">
        <v>-101816</v>
      </c>
      <c r="I199">
        <v>-102408</v>
      </c>
    </row>
    <row r="200" spans="1:9" ht="15.75" customHeight="1" x14ac:dyDescent="0.1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ht="15.75" customHeight="1" x14ac:dyDescent="0.1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ht="15.75" customHeight="1" x14ac:dyDescent="0.1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ht="15.75" customHeight="1" x14ac:dyDescent="0.1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ht="15.75" customHeight="1" x14ac:dyDescent="0.15">
      <c r="A204" t="s">
        <v>202</v>
      </c>
      <c r="B204">
        <v>1756</v>
      </c>
      <c r="C204">
        <v>2087</v>
      </c>
      <c r="D204">
        <v>208</v>
      </c>
      <c r="E204">
        <v>391</v>
      </c>
      <c r="F204">
        <v>205</v>
      </c>
      <c r="G204">
        <v>4131</v>
      </c>
      <c r="H204">
        <v>185</v>
      </c>
      <c r="I204">
        <v>99</v>
      </c>
    </row>
    <row r="205" spans="1:9" ht="15.75" customHeight="1" x14ac:dyDescent="0.1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ht="15.75" customHeight="1" x14ac:dyDescent="0.15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ht="15.75" customHeight="1" x14ac:dyDescent="0.15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ht="15.75" customHeight="1" x14ac:dyDescent="0.15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ht="15.75" customHeight="1" x14ac:dyDescent="0.15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ht="15.75" customHeight="1" x14ac:dyDescent="0.15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ht="15.75" customHeight="1" x14ac:dyDescent="0.15">
      <c r="A211" t="s">
        <v>207</v>
      </c>
      <c r="B211">
        <v>1756</v>
      </c>
      <c r="C211">
        <v>2087</v>
      </c>
      <c r="D211">
        <v>208</v>
      </c>
      <c r="E211">
        <v>391</v>
      </c>
      <c r="F211">
        <v>205</v>
      </c>
      <c r="G211">
        <v>4131</v>
      </c>
      <c r="H211">
        <v>185</v>
      </c>
      <c r="I211">
        <v>99</v>
      </c>
    </row>
    <row r="212" spans="1:9" ht="15.75" customHeight="1" x14ac:dyDescent="0.15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ht="15.75" customHeight="1" x14ac:dyDescent="0.15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ht="15.75" customHeight="1" x14ac:dyDescent="0.15">
      <c r="A214" t="s">
        <v>209</v>
      </c>
      <c r="B214">
        <v>503404</v>
      </c>
      <c r="C214">
        <v>528343</v>
      </c>
      <c r="D214">
        <v>253674</v>
      </c>
      <c r="E214">
        <v>207408</v>
      </c>
      <c r="F214">
        <v>159160</v>
      </c>
      <c r="G214">
        <v>102930</v>
      </c>
      <c r="H214">
        <v>102001</v>
      </c>
      <c r="I214">
        <v>102507</v>
      </c>
    </row>
    <row r="215" spans="1:9" ht="15.75" customHeight="1" x14ac:dyDescent="0.15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ht="15.75" customHeight="1" x14ac:dyDescent="0.15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ht="15.75" customHeight="1" x14ac:dyDescent="0.15">
      <c r="A21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ht="15.75" customHeight="1" x14ac:dyDescent="0.15">
      <c r="A218" t="s">
        <v>211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ht="15.75" customHeight="1" x14ac:dyDescent="0.15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ht="15.75" customHeight="1" x14ac:dyDescent="0.15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ht="15.75" customHeight="1" x14ac:dyDescent="0.15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ht="15.75" customHeight="1" x14ac:dyDescent="0.15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ht="15.75" customHeight="1" x14ac:dyDescent="0.15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ht="15.75" customHeight="1" x14ac:dyDescent="0.15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ht="15.75" customHeight="1" x14ac:dyDescent="0.15">
      <c r="A225" t="s">
        <v>218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ht="15.75" customHeight="1" x14ac:dyDescent="0.15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ht="15.75" customHeight="1" x14ac:dyDescent="0.15">
      <c r="A227" t="s">
        <v>220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ht="15.75" customHeight="1" x14ac:dyDescent="0.15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ht="15.75" customHeight="1" x14ac:dyDescent="0.15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ht="15.75" customHeight="1" x14ac:dyDescent="0.15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ht="15.75" customHeight="1" x14ac:dyDescent="0.15">
      <c r="A231" t="s">
        <v>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ht="15.75" customHeight="1" x14ac:dyDescent="0.15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ht="15.75" customHeight="1" x14ac:dyDescent="0.15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ht="15.75" customHeight="1" x14ac:dyDescent="0.15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ht="15.75" customHeight="1" x14ac:dyDescent="0.15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ht="15.75" customHeight="1" x14ac:dyDescent="0.15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ht="15.75" customHeight="1" x14ac:dyDescent="0.15">
      <c r="A237" t="s">
        <v>230</v>
      </c>
      <c r="B237">
        <v>1087201</v>
      </c>
      <c r="C237">
        <v>591071</v>
      </c>
      <c r="D237">
        <v>710509</v>
      </c>
      <c r="E237">
        <v>1204240</v>
      </c>
      <c r="F237">
        <v>1192771</v>
      </c>
      <c r="G237">
        <v>970828</v>
      </c>
      <c r="H237">
        <v>951134</v>
      </c>
      <c r="I237">
        <v>533439</v>
      </c>
    </row>
    <row r="238" spans="1:9" ht="15.75" customHeight="1" x14ac:dyDescent="0.15">
      <c r="A238" t="s">
        <v>231</v>
      </c>
      <c r="B238">
        <v>187468</v>
      </c>
      <c r="C238">
        <v>24404</v>
      </c>
      <c r="D238">
        <v>31928</v>
      </c>
      <c r="E238">
        <v>242937</v>
      </c>
      <c r="F238">
        <v>271489</v>
      </c>
      <c r="G238">
        <v>219192</v>
      </c>
      <c r="H238">
        <v>280709</v>
      </c>
      <c r="I238">
        <v>168693</v>
      </c>
    </row>
    <row r="239" spans="1:9" ht="15.75" customHeight="1" x14ac:dyDescent="0.15">
      <c r="A239" t="s">
        <v>232</v>
      </c>
      <c r="B239">
        <v>187468</v>
      </c>
      <c r="C239">
        <v>21620</v>
      </c>
      <c r="D239">
        <v>31928</v>
      </c>
      <c r="E239">
        <v>242937</v>
      </c>
      <c r="F239">
        <v>271489</v>
      </c>
      <c r="G239">
        <v>220987</v>
      </c>
      <c r="H239">
        <v>281130</v>
      </c>
      <c r="I239">
        <v>168693</v>
      </c>
    </row>
    <row r="240" spans="1:9" ht="15.75" customHeight="1" x14ac:dyDescent="0.15">
      <c r="A240" t="s">
        <v>233</v>
      </c>
      <c r="B240">
        <v>0</v>
      </c>
      <c r="C240">
        <v>2784</v>
      </c>
      <c r="D240">
        <v>0</v>
      </c>
      <c r="E240">
        <v>0</v>
      </c>
      <c r="F240">
        <v>0</v>
      </c>
      <c r="G240">
        <v>-1795</v>
      </c>
      <c r="H240">
        <v>-421</v>
      </c>
      <c r="I240">
        <v>0</v>
      </c>
    </row>
    <row r="241" spans="1:9" ht="15.75" customHeight="1" x14ac:dyDescent="0.15">
      <c r="A241" t="s">
        <v>234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ht="15.75" customHeight="1" x14ac:dyDescent="0.15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ht="15.75" customHeight="1" x14ac:dyDescent="0.15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ht="15.75" customHeight="1" x14ac:dyDescent="0.15">
      <c r="A244" t="s">
        <v>237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ht="15.75" customHeight="1" x14ac:dyDescent="0.15">
      <c r="A245" t="s">
        <v>238</v>
      </c>
      <c r="B245">
        <v>899733</v>
      </c>
      <c r="C245">
        <v>566667</v>
      </c>
      <c r="D245">
        <v>678581</v>
      </c>
      <c r="E245">
        <v>961303</v>
      </c>
      <c r="F245">
        <v>921282</v>
      </c>
      <c r="G245">
        <v>751636</v>
      </c>
      <c r="H245">
        <v>670425</v>
      </c>
      <c r="I245">
        <v>364746</v>
      </c>
    </row>
    <row r="246" spans="1:9" ht="15.75" customHeight="1" x14ac:dyDescent="0.15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ht="15.75" customHeight="1" x14ac:dyDescent="0.15">
      <c r="A247" t="s">
        <v>240</v>
      </c>
    </row>
    <row r="248" spans="1:9" ht="15.75" customHeight="1" x14ac:dyDescent="0.15">
      <c r="A248" t="s">
        <v>241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2"/>
  <sheetViews>
    <sheetView topLeftCell="A209" zoomScaleNormal="100" workbookViewId="0">
      <selection activeCell="N242" sqref="N242"/>
    </sheetView>
  </sheetViews>
  <sheetFormatPr baseColWidth="10" defaultColWidth="10.83203125" defaultRowHeight="12.75" customHeight="1" x14ac:dyDescent="0.15"/>
  <cols>
    <col min="1" max="1" width="55.33203125" style="1" customWidth="1"/>
    <col min="2" max="11" width="16.83203125" style="2" hidden="1" customWidth="1"/>
    <col min="12" max="12" width="2" style="3" customWidth="1"/>
    <col min="13" max="13" width="3.1640625" style="3" customWidth="1"/>
    <col min="14" max="14" width="42.6640625" style="3" customWidth="1"/>
    <col min="15" max="15" width="20.5" style="3" customWidth="1"/>
    <col min="16" max="16384" width="10.83203125" style="3"/>
  </cols>
  <sheetData>
    <row r="1" spans="1:26" s="8" customFormat="1" ht="18.75" customHeight="1" x14ac:dyDescent="0.15">
      <c r="A1" s="4" t="s">
        <v>242</v>
      </c>
      <c r="B1" s="5">
        <f>input!B1</f>
        <v>2024</v>
      </c>
      <c r="C1" s="5">
        <f>input!C1</f>
        <v>2023</v>
      </c>
      <c r="D1" s="5">
        <f>input!D1</f>
        <v>2022</v>
      </c>
      <c r="E1" s="5">
        <f>input!E1</f>
        <v>2021</v>
      </c>
      <c r="F1" s="5">
        <f>input!F1</f>
        <v>2020</v>
      </c>
      <c r="G1" s="5">
        <f>input!G1</f>
        <v>2019</v>
      </c>
      <c r="H1" s="5">
        <f>input!H1</f>
        <v>2018</v>
      </c>
      <c r="I1" s="5">
        <f>input!I1</f>
        <v>2017</v>
      </c>
      <c r="J1" s="5">
        <f>input!J1</f>
        <v>0</v>
      </c>
      <c r="K1" s="5">
        <f>input!K1</f>
        <v>0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11" customFormat="1" ht="13.5" customHeight="1" x14ac:dyDescent="0.15">
      <c r="A2" s="9" t="str">
        <f>input!A2</f>
        <v>A. CREDITI VERSO SOCI</v>
      </c>
      <c r="B2" s="10">
        <f>$M2*input!B2</f>
        <v>0</v>
      </c>
      <c r="C2" s="10">
        <f>$M2*input!C2</f>
        <v>0</v>
      </c>
      <c r="D2" s="10">
        <f>$M2*input!D2</f>
        <v>0</v>
      </c>
      <c r="E2" s="10">
        <f>$M2*input!E2</f>
        <v>0</v>
      </c>
      <c r="F2" s="10">
        <f>$M2*input!F2</f>
        <v>0</v>
      </c>
      <c r="G2" s="10">
        <f>$M2*input!G2</f>
        <v>0</v>
      </c>
      <c r="H2" s="10">
        <f>$M2*input!H2</f>
        <v>0</v>
      </c>
      <c r="I2" s="10">
        <f>$M2*input!I2</f>
        <v>0</v>
      </c>
      <c r="J2" s="10">
        <f>$M2*input!J2</f>
        <v>0</v>
      </c>
      <c r="K2" s="10">
        <f>$M2*input!K2</f>
        <v>0</v>
      </c>
      <c r="M2" s="11">
        <v>-1</v>
      </c>
      <c r="N2" s="12" t="s">
        <v>245</v>
      </c>
    </row>
    <row r="3" spans="1:26" ht="13" x14ac:dyDescent="0.15">
      <c r="A3" s="13" t="str">
        <f>input!A3</f>
        <v>Quota di capitale richiamata</v>
      </c>
      <c r="B3" s="2">
        <f>$M3*input!B3</f>
        <v>0</v>
      </c>
      <c r="C3" s="2">
        <f>$M3*input!C3</f>
        <v>0</v>
      </c>
      <c r="D3" s="2">
        <f>$M3*input!D3</f>
        <v>0</v>
      </c>
      <c r="E3" s="2">
        <f>$M3*input!E3</f>
        <v>0</v>
      </c>
      <c r="F3" s="2">
        <f>$M3*input!F3</f>
        <v>0</v>
      </c>
      <c r="G3" s="2">
        <f>$M3*input!G3</f>
        <v>0</v>
      </c>
      <c r="H3" s="2">
        <f>$M3*input!H3</f>
        <v>0</v>
      </c>
      <c r="I3" s="2">
        <f>$M3*input!I3</f>
        <v>0</v>
      </c>
      <c r="J3" s="2">
        <f>$M3*input!J3</f>
        <v>0</v>
      </c>
      <c r="K3" s="2">
        <f>$M3*input!K3</f>
        <v>0</v>
      </c>
      <c r="M3" s="3">
        <v>1</v>
      </c>
    </row>
    <row r="4" spans="1:26" ht="13" x14ac:dyDescent="0.15">
      <c r="A4" s="13"/>
    </row>
    <row r="5" spans="1:26" s="11" customFormat="1" ht="13.5" customHeight="1" x14ac:dyDescent="0.15">
      <c r="A5" s="9" t="str">
        <f>input!A4</f>
        <v>B. TOTALE IMMOBILIZZAZIONI sep.ind. Di quelle conc. In loc. Finanz.</v>
      </c>
      <c r="B5" s="10">
        <f>$M5*input!B4</f>
        <v>8842950</v>
      </c>
      <c r="C5" s="10">
        <f>$M5*input!C4</f>
        <v>9182852</v>
      </c>
      <c r="D5" s="10">
        <f>$M5*input!D4</f>
        <v>9614947</v>
      </c>
      <c r="E5" s="10">
        <f>$M5*input!E4</f>
        <v>9565702</v>
      </c>
      <c r="F5" s="10">
        <f>$M5*input!F4</f>
        <v>7073181</v>
      </c>
      <c r="G5" s="10">
        <f>$M5*input!G4</f>
        <v>2616289</v>
      </c>
      <c r="H5" s="10">
        <f>$M5*input!H4</f>
        <v>1201123</v>
      </c>
      <c r="I5" s="10">
        <f>$M5*input!I4</f>
        <v>908499</v>
      </c>
      <c r="J5" s="10">
        <f>$M5*input!J4</f>
        <v>0</v>
      </c>
      <c r="K5" s="10">
        <f>$M5*input!K4</f>
        <v>0</v>
      </c>
      <c r="M5" s="11">
        <v>1</v>
      </c>
    </row>
    <row r="6" spans="1:26" ht="13" x14ac:dyDescent="0.15">
      <c r="A6" s="13" t="str">
        <f>input!A5</f>
        <v>B.I. TOTALE IMMOB. IMMATERIALI</v>
      </c>
      <c r="B6" s="2">
        <f>$M6*input!B5</f>
        <v>89523</v>
      </c>
      <c r="C6" s="2">
        <f>$M6*input!C5</f>
        <v>106380</v>
      </c>
      <c r="D6" s="2">
        <f>$M6*input!D5</f>
        <v>139717</v>
      </c>
      <c r="E6" s="2">
        <f>$M6*input!E5</f>
        <v>76490</v>
      </c>
      <c r="F6" s="2">
        <f>$M6*input!F5</f>
        <v>33453</v>
      </c>
      <c r="G6" s="2">
        <f>$M6*input!G5</f>
        <v>7543</v>
      </c>
      <c r="H6" s="2">
        <f>$M6*input!H5</f>
        <v>0</v>
      </c>
      <c r="I6" s="2">
        <f>$M6*input!I5</f>
        <v>1977</v>
      </c>
      <c r="J6" s="2">
        <f>$M6*input!J5</f>
        <v>0</v>
      </c>
      <c r="K6" s="2">
        <f>$M6*input!K5</f>
        <v>0</v>
      </c>
      <c r="M6" s="3">
        <v>1</v>
      </c>
      <c r="N6" s="3" t="s">
        <v>246</v>
      </c>
    </row>
    <row r="7" spans="1:26" ht="13" x14ac:dyDescent="0.15">
      <c r="A7" s="14" t="str">
        <f>input!A6</f>
        <v>B.I.1. Costi impianto e ampl.</v>
      </c>
      <c r="B7" s="2">
        <f>$M7*input!B6</f>
        <v>0</v>
      </c>
      <c r="C7" s="2">
        <f>$M7*input!C6</f>
        <v>0</v>
      </c>
      <c r="D7" s="2">
        <f>$M7*input!D6</f>
        <v>0</v>
      </c>
      <c r="E7" s="2">
        <f>$M7*input!E6</f>
        <v>0</v>
      </c>
      <c r="F7" s="2">
        <f>$M7*input!F6</f>
        <v>0</v>
      </c>
      <c r="G7" s="2">
        <f>$M7*input!G6</f>
        <v>0</v>
      </c>
      <c r="H7" s="2">
        <f>$M7*input!H6</f>
        <v>0</v>
      </c>
      <c r="I7" s="2">
        <f>$M7*input!I6</f>
        <v>0</v>
      </c>
      <c r="J7" s="2">
        <f>$M7*input!J6</f>
        <v>0</v>
      </c>
      <c r="K7" s="2">
        <f>$M7*input!K6</f>
        <v>0</v>
      </c>
      <c r="M7" s="3">
        <v>1</v>
      </c>
    </row>
    <row r="8" spans="1:26" ht="13" x14ac:dyDescent="0.15">
      <c r="A8" s="14" t="str">
        <f>input!A7</f>
        <v>B.I.2. Costi ricerca e pubb.</v>
      </c>
      <c r="B8" s="2">
        <f>$M8*input!B7</f>
        <v>0</v>
      </c>
      <c r="C8" s="2">
        <f>$M8*input!C7</f>
        <v>0</v>
      </c>
      <c r="D8" s="2">
        <f>$M8*input!D7</f>
        <v>0</v>
      </c>
      <c r="E8" s="2">
        <f>$M8*input!E7</f>
        <v>0</v>
      </c>
      <c r="F8" s="2">
        <f>$M8*input!F7</f>
        <v>0</v>
      </c>
      <c r="G8" s="2">
        <f>$M8*input!G7</f>
        <v>0</v>
      </c>
      <c r="H8" s="2">
        <f>$M8*input!H7</f>
        <v>0</v>
      </c>
      <c r="I8" s="2">
        <f>$M8*input!I7</f>
        <v>0</v>
      </c>
      <c r="J8" s="2">
        <f>$M8*input!J7</f>
        <v>0</v>
      </c>
      <c r="K8" s="2">
        <f>$M8*input!K7</f>
        <v>0</v>
      </c>
      <c r="M8" s="3">
        <v>1</v>
      </c>
    </row>
    <row r="9" spans="1:26" ht="13" x14ac:dyDescent="0.15">
      <c r="A9" s="14" t="str">
        <f>input!A8</f>
        <v>B.I.3. Diritti brevetto ind.</v>
      </c>
      <c r="B9" s="2">
        <f>$M9*input!B8</f>
        <v>64590</v>
      </c>
      <c r="C9" s="2">
        <f>$M9*input!C8</f>
        <v>97381</v>
      </c>
      <c r="D9" s="2">
        <f>$M9*input!D8</f>
        <v>130172</v>
      </c>
      <c r="E9" s="2">
        <f>$M9*input!E8</f>
        <v>3968</v>
      </c>
      <c r="F9" s="2">
        <f>$M9*input!F8</f>
        <v>4960</v>
      </c>
      <c r="G9" s="2">
        <f>$M9*input!G8</f>
        <v>0</v>
      </c>
      <c r="H9" s="2">
        <f>$M9*input!H8</f>
        <v>0</v>
      </c>
      <c r="I9" s="2">
        <f>$M9*input!I8</f>
        <v>0</v>
      </c>
      <c r="J9" s="2">
        <f>$M9*input!J8</f>
        <v>0</v>
      </c>
      <c r="K9" s="2">
        <f>$M9*input!K8</f>
        <v>0</v>
      </c>
      <c r="M9" s="3">
        <v>1</v>
      </c>
    </row>
    <row r="10" spans="1:26" ht="13" x14ac:dyDescent="0.15">
      <c r="A10" s="14" t="str">
        <f>input!A9</f>
        <v>B.I.4. Concessioni, licenze</v>
      </c>
      <c r="B10" s="2">
        <f>$M10*input!B9</f>
        <v>8453</v>
      </c>
      <c r="C10" s="2">
        <f>$M10*input!C9</f>
        <v>8999</v>
      </c>
      <c r="D10" s="2">
        <f>$M10*input!D9</f>
        <v>9545</v>
      </c>
      <c r="E10" s="2">
        <f>$M10*input!E9</f>
        <v>0</v>
      </c>
      <c r="F10" s="2">
        <f>$M10*input!F9</f>
        <v>0</v>
      </c>
      <c r="G10" s="2">
        <f>$M10*input!G9</f>
        <v>0</v>
      </c>
      <c r="H10" s="2">
        <f>$M10*input!H9</f>
        <v>0</v>
      </c>
      <c r="I10" s="2">
        <f>$M10*input!I9</f>
        <v>0</v>
      </c>
      <c r="J10" s="2">
        <f>$M10*input!J9</f>
        <v>0</v>
      </c>
      <c r="K10" s="2">
        <f>$M10*input!K9</f>
        <v>0</v>
      </c>
      <c r="M10" s="3">
        <v>1</v>
      </c>
    </row>
    <row r="11" spans="1:26" ht="13" x14ac:dyDescent="0.15">
      <c r="A11" s="14" t="str">
        <f>input!A10</f>
        <v>B.I.5. Avviamento/Differenza di consolidamento</v>
      </c>
      <c r="B11" s="2">
        <f>$M11*input!B10</f>
        <v>0</v>
      </c>
      <c r="C11" s="2">
        <f>$M11*input!C10</f>
        <v>0</v>
      </c>
      <c r="D11" s="2">
        <f>$M11*input!D10</f>
        <v>0</v>
      </c>
      <c r="E11" s="2">
        <f>$M11*input!E10</f>
        <v>0</v>
      </c>
      <c r="F11" s="2">
        <f>$M11*input!F10</f>
        <v>0</v>
      </c>
      <c r="G11" s="2">
        <f>$M11*input!G10</f>
        <v>0</v>
      </c>
      <c r="H11" s="2">
        <f>$M11*input!H10</f>
        <v>0</v>
      </c>
      <c r="I11" s="2">
        <f>$M11*input!I10</f>
        <v>0</v>
      </c>
      <c r="J11" s="2">
        <f>$M11*input!J10</f>
        <v>0</v>
      </c>
      <c r="K11" s="2">
        <f>$M11*input!K10</f>
        <v>0</v>
      </c>
      <c r="M11" s="3">
        <v>1</v>
      </c>
    </row>
    <row r="12" spans="1:26" ht="13" x14ac:dyDescent="0.15">
      <c r="A12" s="14" t="str">
        <f>input!A11</f>
        <v>di cui: Avviamento</v>
      </c>
      <c r="B12" s="2">
        <f>$M12*input!B11</f>
        <v>0</v>
      </c>
      <c r="C12" s="2">
        <f>$M12*input!C11</f>
        <v>0</v>
      </c>
      <c r="D12" s="2">
        <f>$M12*input!D11</f>
        <v>0</v>
      </c>
      <c r="E12" s="2">
        <f>$M12*input!E11</f>
        <v>0</v>
      </c>
      <c r="F12" s="2">
        <f>$M12*input!F11</f>
        <v>0</v>
      </c>
      <c r="G12" s="2">
        <f>$M12*input!G11</f>
        <v>0</v>
      </c>
      <c r="H12" s="2">
        <f>$M12*input!H11</f>
        <v>0</v>
      </c>
      <c r="I12" s="2">
        <f>$M12*input!I11</f>
        <v>0</v>
      </c>
      <c r="J12" s="2">
        <f>$M12*input!J11</f>
        <v>0</v>
      </c>
      <c r="K12" s="2">
        <f>$M12*input!K11</f>
        <v>0</v>
      </c>
      <c r="M12" s="3">
        <v>1</v>
      </c>
    </row>
    <row r="13" spans="1:26" ht="13" x14ac:dyDescent="0.15">
      <c r="A13" s="14" t="str">
        <f>input!A12</f>
        <v>B.I.6. Imm. in corso</v>
      </c>
      <c r="B13" s="2">
        <f>$M13*input!B12</f>
        <v>0</v>
      </c>
      <c r="C13" s="2">
        <f>$M13*input!C12</f>
        <v>0</v>
      </c>
      <c r="D13" s="2">
        <f>$M13*input!D12</f>
        <v>0</v>
      </c>
      <c r="E13" s="2">
        <f>$M13*input!E12</f>
        <v>67622</v>
      </c>
      <c r="F13" s="2">
        <f>$M13*input!F12</f>
        <v>28493</v>
      </c>
      <c r="G13" s="2">
        <f>$M13*input!G12</f>
        <v>7543</v>
      </c>
      <c r="H13" s="2">
        <f>$M13*input!H12</f>
        <v>0</v>
      </c>
      <c r="I13" s="2">
        <f>$M13*input!I12</f>
        <v>0</v>
      </c>
      <c r="J13" s="2">
        <f>$M13*input!J12</f>
        <v>0</v>
      </c>
      <c r="K13" s="2">
        <f>$M13*input!K12</f>
        <v>0</v>
      </c>
      <c r="M13" s="3">
        <v>1</v>
      </c>
    </row>
    <row r="14" spans="1:26" ht="13" x14ac:dyDescent="0.15">
      <c r="A14" s="14" t="str">
        <f>input!A13</f>
        <v>B.I.7. Altre immobiliz. Immateriali</v>
      </c>
      <c r="B14" s="2">
        <f>$M14*input!B13</f>
        <v>16480</v>
      </c>
      <c r="C14" s="2">
        <f>$M14*input!C13</f>
        <v>0</v>
      </c>
      <c r="D14" s="2">
        <f>$M14*input!D13</f>
        <v>0</v>
      </c>
      <c r="E14" s="2">
        <f>$M14*input!E13</f>
        <v>4900</v>
      </c>
      <c r="F14" s="2">
        <f>$M14*input!F13</f>
        <v>0</v>
      </c>
      <c r="G14" s="2">
        <f>$M14*input!G13</f>
        <v>0</v>
      </c>
      <c r="H14" s="2">
        <f>$M14*input!H13</f>
        <v>0</v>
      </c>
      <c r="I14" s="2">
        <f>$M14*input!I13</f>
        <v>1977</v>
      </c>
      <c r="J14" s="2">
        <f>$M14*input!J13</f>
        <v>0</v>
      </c>
      <c r="K14" s="2">
        <f>$M14*input!K13</f>
        <v>0</v>
      </c>
      <c r="M14" s="3">
        <v>1</v>
      </c>
    </row>
    <row r="15" spans="1:26" ht="13" x14ac:dyDescent="0.15">
      <c r="A15" s="14" t="str">
        <f>input!A14</f>
        <v>Fondo amm.to Immob. Immateriali</v>
      </c>
      <c r="B15" s="2">
        <f>$M15*input!B14</f>
        <v>0</v>
      </c>
      <c r="C15" s="2">
        <f>$M15*input!C14</f>
        <v>0</v>
      </c>
      <c r="D15" s="2">
        <f>$M15*input!D14</f>
        <v>0</v>
      </c>
      <c r="E15" s="2">
        <f>$M15*input!E14</f>
        <v>0</v>
      </c>
      <c r="F15" s="2">
        <f>$M15*input!F14</f>
        <v>0</v>
      </c>
      <c r="G15" s="2">
        <f>$M15*input!G14</f>
        <v>0</v>
      </c>
      <c r="H15" s="2">
        <f>$M15*input!H14</f>
        <v>0</v>
      </c>
      <c r="I15" s="2">
        <f>$M15*input!I14</f>
        <v>0</v>
      </c>
      <c r="J15" s="2">
        <f>$M15*input!J14</f>
        <v>0</v>
      </c>
      <c r="K15" s="2">
        <f>$M15*input!K14</f>
        <v>0</v>
      </c>
      <c r="M15" s="3">
        <v>1</v>
      </c>
    </row>
    <row r="16" spans="1:26" ht="13" x14ac:dyDescent="0.15">
      <c r="A16" s="13" t="str">
        <f>input!A15</f>
        <v>B.II. TOTALE IMMOB. MATERIALI</v>
      </c>
      <c r="B16" s="2">
        <f>$M16*input!B15</f>
        <v>8694725</v>
      </c>
      <c r="C16" s="2">
        <f>$M16*input!C15</f>
        <v>9017770</v>
      </c>
      <c r="D16" s="2">
        <f>$M16*input!D15</f>
        <v>9416528</v>
      </c>
      <c r="E16" s="2">
        <f>$M16*input!E15</f>
        <v>9430510</v>
      </c>
      <c r="F16" s="2">
        <f>$M16*input!F15</f>
        <v>7025024</v>
      </c>
      <c r="G16" s="2">
        <f>$M16*input!G15</f>
        <v>2594042</v>
      </c>
      <c r="H16" s="2">
        <f>$M16*input!H15</f>
        <v>1186419</v>
      </c>
      <c r="I16" s="2">
        <f>$M16*input!I15</f>
        <v>891818</v>
      </c>
      <c r="J16" s="2">
        <f>$M16*input!J15</f>
        <v>0</v>
      </c>
      <c r="K16" s="2">
        <f>$M16*input!K15</f>
        <v>0</v>
      </c>
      <c r="M16" s="3">
        <v>1</v>
      </c>
      <c r="N16" s="3" t="s">
        <v>247</v>
      </c>
    </row>
    <row r="17" spans="1:14" ht="13" x14ac:dyDescent="0.15">
      <c r="A17" s="13" t="str">
        <f>input!A16</f>
        <v>di cui: Beni materiali concessi in locazione finanziaria</v>
      </c>
      <c r="B17" s="2">
        <f>$M17*input!B16</f>
        <v>0</v>
      </c>
      <c r="C17" s="2">
        <f>$M17*input!C16</f>
        <v>0</v>
      </c>
      <c r="D17" s="2">
        <f>$M17*input!D16</f>
        <v>0</v>
      </c>
      <c r="E17" s="2">
        <f>$M17*input!E16</f>
        <v>0</v>
      </c>
      <c r="F17" s="2">
        <f>$M17*input!F16</f>
        <v>0</v>
      </c>
      <c r="G17" s="2">
        <f>$M17*input!G16</f>
        <v>0</v>
      </c>
      <c r="H17" s="2">
        <f>$M17*input!H16</f>
        <v>0</v>
      </c>
      <c r="I17" s="2">
        <f>$M17*input!I16</f>
        <v>0</v>
      </c>
      <c r="J17" s="2">
        <f>$M17*input!J16</f>
        <v>0</v>
      </c>
      <c r="K17" s="2">
        <f>$M17*input!K16</f>
        <v>0</v>
      </c>
      <c r="M17" s="3">
        <v>1</v>
      </c>
    </row>
    <row r="18" spans="1:14" ht="13" x14ac:dyDescent="0.15">
      <c r="A18" s="14" t="str">
        <f>input!A17</f>
        <v>B.II.1. Terreni e fabbricati</v>
      </c>
      <c r="B18" s="2">
        <f>$M18*input!B17</f>
        <v>6069102</v>
      </c>
      <c r="C18" s="2">
        <f>$M18*input!C17</f>
        <v>6328571</v>
      </c>
      <c r="D18" s="2">
        <f>$M18*input!D17</f>
        <v>6543383</v>
      </c>
      <c r="E18" s="2">
        <f>$M18*input!E17</f>
        <v>6374984</v>
      </c>
      <c r="F18" s="2">
        <f>$M18*input!F17</f>
        <v>396319</v>
      </c>
      <c r="G18" s="2">
        <f>$M18*input!G17</f>
        <v>412628</v>
      </c>
      <c r="H18" s="2">
        <f>$M18*input!H17</f>
        <v>418736</v>
      </c>
      <c r="I18" s="2">
        <f>$M18*input!I17</f>
        <v>324645</v>
      </c>
      <c r="J18" s="2">
        <f>$M18*input!J17</f>
        <v>0</v>
      </c>
      <c r="K18" s="2">
        <f>$M18*input!K17</f>
        <v>0</v>
      </c>
      <c r="M18" s="3">
        <v>1</v>
      </c>
    </row>
    <row r="19" spans="1:14" ht="13" x14ac:dyDescent="0.15">
      <c r="A19" s="14" t="str">
        <f>input!A18</f>
        <v>B.II.2. Impianti</v>
      </c>
      <c r="B19" s="2">
        <f>$M19*input!B18</f>
        <v>1774810</v>
      </c>
      <c r="C19" s="2">
        <f>$M19*input!C18</f>
        <v>2137598</v>
      </c>
      <c r="D19" s="2">
        <f>$M19*input!D18</f>
        <v>2352511</v>
      </c>
      <c r="E19" s="2">
        <f>$M19*input!E18</f>
        <v>2232169</v>
      </c>
      <c r="F19" s="2">
        <f>$M19*input!F18</f>
        <v>1801043</v>
      </c>
      <c r="G19" s="2">
        <f>$M19*input!G18</f>
        <v>258024</v>
      </c>
      <c r="H19" s="2">
        <f>$M19*input!H18</f>
        <v>302043</v>
      </c>
      <c r="I19" s="2">
        <f>$M19*input!I18</f>
        <v>336024</v>
      </c>
      <c r="J19" s="2">
        <f>$M19*input!J18</f>
        <v>0</v>
      </c>
      <c r="K19" s="2">
        <f>$M19*input!K18</f>
        <v>0</v>
      </c>
      <c r="M19" s="3">
        <v>1</v>
      </c>
    </row>
    <row r="20" spans="1:14" ht="13" x14ac:dyDescent="0.15">
      <c r="A20" s="14" t="str">
        <f>input!A19</f>
        <v>B.II.3. Attrez. industriali</v>
      </c>
      <c r="B20" s="2">
        <f>$M20*input!B19</f>
        <v>197170</v>
      </c>
      <c r="C20" s="2">
        <f>$M20*input!C19</f>
        <v>187192</v>
      </c>
      <c r="D20" s="2">
        <f>$M20*input!D19</f>
        <v>184756</v>
      </c>
      <c r="E20" s="2">
        <f>$M20*input!E19</f>
        <v>168289</v>
      </c>
      <c r="F20" s="2">
        <f>$M20*input!F19</f>
        <v>141111</v>
      </c>
      <c r="G20" s="2">
        <f>$M20*input!G19</f>
        <v>110856</v>
      </c>
      <c r="H20" s="2">
        <f>$M20*input!H19</f>
        <v>130147</v>
      </c>
      <c r="I20" s="2">
        <f>$M20*input!I19</f>
        <v>133231</v>
      </c>
      <c r="J20" s="2">
        <f>$M20*input!J19</f>
        <v>0</v>
      </c>
      <c r="K20" s="2">
        <f>$M20*input!K19</f>
        <v>0</v>
      </c>
      <c r="M20" s="3">
        <v>1</v>
      </c>
    </row>
    <row r="21" spans="1:14" ht="13" x14ac:dyDescent="0.15">
      <c r="A21" s="14" t="str">
        <f>input!A20</f>
        <v>B.II.4. Altri beni</v>
      </c>
      <c r="B21" s="2">
        <f>$M21*input!B20</f>
        <v>177873</v>
      </c>
      <c r="C21" s="2">
        <f>$M21*input!C20</f>
        <v>244518</v>
      </c>
      <c r="D21" s="2">
        <f>$M21*input!D20</f>
        <v>312178</v>
      </c>
      <c r="E21" s="2">
        <f>$M21*input!E20</f>
        <v>236539</v>
      </c>
      <c r="F21" s="2">
        <f>$M21*input!F20</f>
        <v>116965</v>
      </c>
      <c r="G21" s="2">
        <f>$M21*input!G20</f>
        <v>45295</v>
      </c>
      <c r="H21" s="2">
        <f>$M21*input!H20</f>
        <v>68843</v>
      </c>
      <c r="I21" s="2">
        <f>$M21*input!I20</f>
        <v>97918</v>
      </c>
      <c r="J21" s="2">
        <f>$M21*input!J20</f>
        <v>0</v>
      </c>
      <c r="K21" s="2">
        <f>$M21*input!K20</f>
        <v>0</v>
      </c>
      <c r="M21" s="3">
        <v>1</v>
      </c>
    </row>
    <row r="22" spans="1:14" ht="13" x14ac:dyDescent="0.15">
      <c r="A22" s="14" t="str">
        <f>input!A21</f>
        <v>B.II.5. Imm. in corso/acconti</v>
      </c>
      <c r="B22" s="2">
        <f>$M22*input!B21</f>
        <v>475770</v>
      </c>
      <c r="C22" s="2">
        <f>$M22*input!C21</f>
        <v>119891</v>
      </c>
      <c r="D22" s="2">
        <f>$M22*input!D21</f>
        <v>23700</v>
      </c>
      <c r="E22" s="2">
        <f>$M22*input!E21</f>
        <v>418529</v>
      </c>
      <c r="F22" s="2">
        <f>$M22*input!F21</f>
        <v>4569586</v>
      </c>
      <c r="G22" s="2">
        <f>$M22*input!G21</f>
        <v>1767239</v>
      </c>
      <c r="H22" s="2">
        <f>$M22*input!H21</f>
        <v>266650</v>
      </c>
      <c r="I22" s="2">
        <f>$M22*input!I21</f>
        <v>0</v>
      </c>
      <c r="J22" s="2">
        <f>$M22*input!J21</f>
        <v>0</v>
      </c>
      <c r="K22" s="2">
        <f>$M22*input!K21</f>
        <v>0</v>
      </c>
      <c r="M22" s="3">
        <v>1</v>
      </c>
    </row>
    <row r="23" spans="1:14" ht="13" x14ac:dyDescent="0.15">
      <c r="A23" s="14" t="str">
        <f>input!A22</f>
        <v>Fondo amm.to Immob. Materiali</v>
      </c>
      <c r="B23" s="2">
        <f>$M23*input!B22</f>
        <v>0</v>
      </c>
      <c r="C23" s="2">
        <f>$M23*input!C22</f>
        <v>0</v>
      </c>
      <c r="D23" s="2">
        <f>$M23*input!D22</f>
        <v>0</v>
      </c>
      <c r="E23" s="2">
        <f>$M23*input!E22</f>
        <v>0</v>
      </c>
      <c r="F23" s="2">
        <f>$M23*input!F22</f>
        <v>0</v>
      </c>
      <c r="G23" s="2">
        <f>$M23*input!G22</f>
        <v>0</v>
      </c>
      <c r="H23" s="2">
        <f>$M23*input!H22</f>
        <v>0</v>
      </c>
      <c r="I23" s="2">
        <f>$M23*input!I22</f>
        <v>0</v>
      </c>
      <c r="J23" s="2">
        <f>$M23*input!J22</f>
        <v>0</v>
      </c>
      <c r="K23" s="2">
        <f>$M23*input!K22</f>
        <v>0</v>
      </c>
      <c r="M23" s="3">
        <v>1</v>
      </c>
    </row>
    <row r="24" spans="1:14" ht="13" x14ac:dyDescent="0.15">
      <c r="A24" s="13" t="str">
        <f>input!A23</f>
        <v>B.III. TOTALE IMMOB. FINANZIARIE</v>
      </c>
      <c r="B24" s="2">
        <f>$M24*input!B23</f>
        <v>58702</v>
      </c>
      <c r="C24" s="2">
        <f>$M24*input!C23</f>
        <v>58702</v>
      </c>
      <c r="D24" s="2">
        <f>$M24*input!D23</f>
        <v>58702</v>
      </c>
      <c r="E24" s="2">
        <f>$M24*input!E23</f>
        <v>58702</v>
      </c>
      <c r="F24" s="2">
        <f>$M24*input!F23</f>
        <v>14704</v>
      </c>
      <c r="G24" s="2">
        <f>$M24*input!G23</f>
        <v>14704</v>
      </c>
      <c r="H24" s="2">
        <f>$M24*input!H23</f>
        <v>14704</v>
      </c>
      <c r="I24" s="2">
        <f>$M24*input!I23</f>
        <v>14704</v>
      </c>
      <c r="J24" s="2">
        <f>$M24*input!J23</f>
        <v>0</v>
      </c>
      <c r="K24" s="2">
        <f>$M24*input!K23</f>
        <v>0</v>
      </c>
      <c r="M24" s="3">
        <v>1</v>
      </c>
    </row>
    <row r="25" spans="1:14" ht="13" x14ac:dyDescent="0.15">
      <c r="A25" s="14" t="str">
        <f>input!A24</f>
        <v>di cui: esigibili entro l'esercizio successivo</v>
      </c>
      <c r="B25" s="2">
        <f>$M25*input!B24</f>
        <v>0</v>
      </c>
      <c r="C25" s="2">
        <f>$M25*input!C24</f>
        <v>0</v>
      </c>
      <c r="D25" s="2">
        <f>$M25*input!D24</f>
        <v>0</v>
      </c>
      <c r="E25" s="2">
        <f>$M25*input!E24</f>
        <v>0</v>
      </c>
      <c r="F25" s="2">
        <f>$M25*input!F24</f>
        <v>8192</v>
      </c>
      <c r="G25" s="2">
        <f>$M25*input!G24</f>
        <v>8192</v>
      </c>
      <c r="H25" s="2">
        <f>$M25*input!H24</f>
        <v>8192</v>
      </c>
      <c r="I25" s="2">
        <f>$M25*input!I24</f>
        <v>0</v>
      </c>
      <c r="J25" s="2">
        <f>$M25*input!J24</f>
        <v>0</v>
      </c>
      <c r="K25" s="2">
        <f>$M25*input!K24</f>
        <v>0</v>
      </c>
      <c r="M25" s="3">
        <v>1</v>
      </c>
    </row>
    <row r="26" spans="1:14" ht="13" x14ac:dyDescent="0.15">
      <c r="A26" s="14" t="str">
        <f>input!A25</f>
        <v>B.III.1. TOT Partecipazioni</v>
      </c>
      <c r="B26" s="2">
        <f>$M26*input!B25</f>
        <v>58702</v>
      </c>
      <c r="C26" s="2">
        <f>$M26*input!C25</f>
        <v>58702</v>
      </c>
      <c r="D26" s="2">
        <f>$M26*input!D25</f>
        <v>58702</v>
      </c>
      <c r="E26" s="2">
        <f>$M26*input!E25</f>
        <v>58702</v>
      </c>
      <c r="F26" s="2">
        <f>$M26*input!F25</f>
        <v>6512</v>
      </c>
      <c r="G26" s="2">
        <f>$M26*input!G25</f>
        <v>6512</v>
      </c>
      <c r="H26" s="2">
        <f>$M26*input!H25</f>
        <v>6512</v>
      </c>
      <c r="I26" s="2">
        <f>$M26*input!I25</f>
        <v>6512</v>
      </c>
      <c r="J26" s="2">
        <f>$M26*input!J25</f>
        <v>0</v>
      </c>
      <c r="K26" s="2">
        <f>$M26*input!K25</f>
        <v>0</v>
      </c>
      <c r="M26" s="3">
        <v>1</v>
      </c>
    </row>
    <row r="27" spans="1:14" ht="13" x14ac:dyDescent="0.15">
      <c r="A27" s="15" t="str">
        <f>input!A26</f>
        <v>B.III.1.a. Imprese controllate</v>
      </c>
      <c r="B27" s="2">
        <f>$M27*input!B26</f>
        <v>0</v>
      </c>
      <c r="C27" s="2">
        <f>$M27*input!C26</f>
        <v>0</v>
      </c>
      <c r="D27" s="2">
        <f>$M27*input!D26</f>
        <v>0</v>
      </c>
      <c r="E27" s="2">
        <f>$M27*input!E26</f>
        <v>0</v>
      </c>
      <c r="F27" s="2">
        <f>$M27*input!F26</f>
        <v>0</v>
      </c>
      <c r="G27" s="2">
        <f>$M27*input!G26</f>
        <v>0</v>
      </c>
      <c r="H27" s="2">
        <f>$M27*input!H26</f>
        <v>0</v>
      </c>
      <c r="I27" s="2">
        <f>$M27*input!I26</f>
        <v>0</v>
      </c>
      <c r="J27" s="2">
        <f>$M27*input!J26</f>
        <v>0</v>
      </c>
      <c r="K27" s="2">
        <f>$M27*input!K26</f>
        <v>0</v>
      </c>
      <c r="M27" s="3">
        <v>1</v>
      </c>
      <c r="N27" s="3" t="s">
        <v>248</v>
      </c>
    </row>
    <row r="28" spans="1:14" ht="13" x14ac:dyDescent="0.15">
      <c r="A28" s="15" t="str">
        <f>input!A27</f>
        <v>B.III.1.b. Imprese collegate</v>
      </c>
      <c r="B28" s="2">
        <f>$M28*input!B27</f>
        <v>0</v>
      </c>
      <c r="C28" s="2">
        <f>$M28*input!C27</f>
        <v>0</v>
      </c>
      <c r="D28" s="2">
        <f>$M28*input!D27</f>
        <v>0</v>
      </c>
      <c r="E28" s="2">
        <f>$M28*input!E27</f>
        <v>0</v>
      </c>
      <c r="F28" s="2">
        <f>$M28*input!F27</f>
        <v>0</v>
      </c>
      <c r="G28" s="2">
        <f>$M28*input!G27</f>
        <v>0</v>
      </c>
      <c r="H28" s="2">
        <f>$M28*input!H27</f>
        <v>0</v>
      </c>
      <c r="I28" s="2">
        <f>$M28*input!I27</f>
        <v>0</v>
      </c>
      <c r="J28" s="2">
        <f>$M28*input!J27</f>
        <v>0</v>
      </c>
      <c r="K28" s="2">
        <f>$M28*input!K27</f>
        <v>0</v>
      </c>
      <c r="M28" s="3">
        <v>1</v>
      </c>
      <c r="N28" s="3" t="s">
        <v>248</v>
      </c>
    </row>
    <row r="29" spans="1:14" ht="13" x14ac:dyDescent="0.15">
      <c r="A29" s="15" t="str">
        <f>input!A28</f>
        <v>B.III.1.c. Imprese controllanti</v>
      </c>
      <c r="B29" s="2">
        <f>$M29*input!B28</f>
        <v>0</v>
      </c>
      <c r="C29" s="2">
        <f>$M29*input!C28</f>
        <v>0</v>
      </c>
      <c r="D29" s="2">
        <f>$M29*input!D28</f>
        <v>0</v>
      </c>
      <c r="E29" s="2">
        <f>$M29*input!E28</f>
        <v>0</v>
      </c>
      <c r="F29" s="2">
        <f>$M29*input!F28</f>
        <v>0</v>
      </c>
      <c r="G29" s="2">
        <f>$M29*input!G28</f>
        <v>0</v>
      </c>
      <c r="H29" s="2">
        <f>$M29*input!H28</f>
        <v>0</v>
      </c>
      <c r="I29" s="2">
        <f>$M29*input!I28</f>
        <v>0</v>
      </c>
      <c r="J29" s="2">
        <f>$M29*input!J28</f>
        <v>0</v>
      </c>
      <c r="K29" s="2">
        <f>$M29*input!K28</f>
        <v>0</v>
      </c>
      <c r="M29" s="3">
        <v>1</v>
      </c>
      <c r="N29" s="3" t="s">
        <v>249</v>
      </c>
    </row>
    <row r="30" spans="1:14" ht="13" x14ac:dyDescent="0.15">
      <c r="A30" s="15" t="str">
        <f>input!A29</f>
        <v>B.III.1.d. In imprese sottoposte al controllo delle controllanti</v>
      </c>
      <c r="B30" s="2">
        <f>$M30*input!B29</f>
        <v>0</v>
      </c>
      <c r="C30" s="2">
        <f>$M30*input!C29</f>
        <v>0</v>
      </c>
      <c r="D30" s="2">
        <f>$M30*input!D29</f>
        <v>0</v>
      </c>
      <c r="E30" s="2">
        <f>$M30*input!E29</f>
        <v>0</v>
      </c>
      <c r="F30" s="2">
        <f>$M30*input!F29</f>
        <v>0</v>
      </c>
      <c r="G30" s="2">
        <f>$M30*input!G29</f>
        <v>0</v>
      </c>
      <c r="H30" s="2">
        <f>$M30*input!H29</f>
        <v>0</v>
      </c>
      <c r="I30" s="2">
        <f>$M30*input!I29</f>
        <v>0</v>
      </c>
      <c r="J30" s="2">
        <f>$M30*input!J29</f>
        <v>0</v>
      </c>
      <c r="K30" s="2">
        <f>$M30*input!K29</f>
        <v>0</v>
      </c>
      <c r="M30" s="3">
        <v>1</v>
      </c>
      <c r="N30" s="3" t="s">
        <v>249</v>
      </c>
    </row>
    <row r="31" spans="1:14" ht="13" x14ac:dyDescent="0.15">
      <c r="A31" s="15" t="str">
        <f>input!A30</f>
        <v>B.III.1.d.bis. Altre imprese</v>
      </c>
      <c r="B31" s="2">
        <f>$M31*input!B30</f>
        <v>58702</v>
      </c>
      <c r="C31" s="2">
        <f>$M31*input!C30</f>
        <v>58702</v>
      </c>
      <c r="D31" s="2">
        <f>$M31*input!D30</f>
        <v>58702</v>
      </c>
      <c r="E31" s="2">
        <f>$M31*input!E30</f>
        <v>58702</v>
      </c>
      <c r="F31" s="2">
        <f>$M31*input!F30</f>
        <v>6512</v>
      </c>
      <c r="G31" s="2">
        <f>$M31*input!G30</f>
        <v>6512</v>
      </c>
      <c r="H31" s="2">
        <f>$M31*input!H30</f>
        <v>6512</v>
      </c>
      <c r="I31" s="2">
        <f>$M31*input!I30</f>
        <v>6512</v>
      </c>
      <c r="J31" s="2">
        <f>$M31*input!J30</f>
        <v>0</v>
      </c>
      <c r="K31" s="2">
        <f>$M31*input!K30</f>
        <v>0</v>
      </c>
      <c r="M31" s="3">
        <v>1</v>
      </c>
      <c r="N31" s="3" t="s">
        <v>248</v>
      </c>
    </row>
    <row r="32" spans="1:14" ht="13" x14ac:dyDescent="0.15">
      <c r="A32" s="14" t="str">
        <f>input!A31</f>
        <v>B.III.2. TOT CREDITI Imm. Fin.</v>
      </c>
      <c r="B32" s="2">
        <f>$M32*input!B31</f>
        <v>0</v>
      </c>
      <c r="C32" s="2">
        <f>$M32*input!C31</f>
        <v>0</v>
      </c>
      <c r="D32" s="2">
        <f>$M32*input!D31</f>
        <v>0</v>
      </c>
      <c r="E32" s="2">
        <f>$M32*input!E31</f>
        <v>0</v>
      </c>
      <c r="F32" s="2">
        <f>$M32*input!F31</f>
        <v>8192</v>
      </c>
      <c r="G32" s="2">
        <f>$M32*input!G31</f>
        <v>8192</v>
      </c>
      <c r="H32" s="2">
        <f>$M32*input!H31</f>
        <v>8192</v>
      </c>
      <c r="I32" s="2">
        <f>$M32*input!I31</f>
        <v>8192</v>
      </c>
      <c r="J32" s="2">
        <f>$M32*input!J31</f>
        <v>0</v>
      </c>
      <c r="K32" s="2">
        <f>$M32*input!K31</f>
        <v>0</v>
      </c>
      <c r="M32" s="3">
        <v>1</v>
      </c>
    </row>
    <row r="33" spans="1:14" ht="13" x14ac:dyDescent="0.15">
      <c r="A33" s="15" t="str">
        <f>input!A32</f>
        <v>B.III.2.a. Cred. vs Controllate entro</v>
      </c>
      <c r="B33" s="2">
        <f>$M33*input!B32</f>
        <v>0</v>
      </c>
      <c r="C33" s="2">
        <f>$M33*input!C32</f>
        <v>0</v>
      </c>
      <c r="D33" s="2">
        <f>$M33*input!D32</f>
        <v>0</v>
      </c>
      <c r="E33" s="2">
        <f>$M33*input!E32</f>
        <v>0</v>
      </c>
      <c r="F33" s="2">
        <f>$M33*input!F32</f>
        <v>0</v>
      </c>
      <c r="G33" s="2">
        <f>$M33*input!G32</f>
        <v>0</v>
      </c>
      <c r="H33" s="2">
        <f>$M33*input!H32</f>
        <v>0</v>
      </c>
      <c r="I33" s="2">
        <f>$M33*input!I32</f>
        <v>0</v>
      </c>
      <c r="J33" s="2">
        <f>$M33*input!J32</f>
        <v>0</v>
      </c>
      <c r="K33" s="2">
        <f>$M33*input!K32</f>
        <v>0</v>
      </c>
      <c r="M33" s="3">
        <v>1</v>
      </c>
      <c r="N33" s="3" t="s">
        <v>250</v>
      </c>
    </row>
    <row r="34" spans="1:14" ht="13" x14ac:dyDescent="0.15">
      <c r="A34" s="15" t="str">
        <f>input!A33</f>
        <v>B.III.2.a. Cred. vs Controllate oltre</v>
      </c>
      <c r="B34" s="2">
        <f>$M34*input!B33</f>
        <v>0</v>
      </c>
      <c r="C34" s="2">
        <f>$M34*input!C33</f>
        <v>0</v>
      </c>
      <c r="D34" s="2">
        <f>$M34*input!D33</f>
        <v>0</v>
      </c>
      <c r="E34" s="2">
        <f>$M34*input!E33</f>
        <v>0</v>
      </c>
      <c r="F34" s="2">
        <f>$M34*input!F33</f>
        <v>0</v>
      </c>
      <c r="G34" s="2">
        <f>$M34*input!G33</f>
        <v>0</v>
      </c>
      <c r="H34" s="2">
        <f>$M34*input!H33</f>
        <v>0</v>
      </c>
      <c r="I34" s="2">
        <f>$M34*input!I33</f>
        <v>0</v>
      </c>
      <c r="J34" s="2">
        <f>$M34*input!J33</f>
        <v>0</v>
      </c>
      <c r="K34" s="2">
        <f>$M34*input!K33</f>
        <v>0</v>
      </c>
      <c r="M34" s="3">
        <v>1</v>
      </c>
      <c r="N34" s="3" t="s">
        <v>250</v>
      </c>
    </row>
    <row r="35" spans="1:14" ht="13" x14ac:dyDescent="0.15">
      <c r="A35" s="15" t="str">
        <f>input!A34</f>
        <v>B.III.2.b. Cred. vs Collegate entro</v>
      </c>
      <c r="B35" s="2">
        <f>$M35*input!B34</f>
        <v>0</v>
      </c>
      <c r="C35" s="2">
        <f>$M35*input!C34</f>
        <v>0</v>
      </c>
      <c r="D35" s="2">
        <f>$M35*input!D34</f>
        <v>0</v>
      </c>
      <c r="E35" s="2">
        <f>$M35*input!E34</f>
        <v>0</v>
      </c>
      <c r="F35" s="2">
        <f>$M35*input!F34</f>
        <v>0</v>
      </c>
      <c r="G35" s="2">
        <f>$M35*input!G34</f>
        <v>0</v>
      </c>
      <c r="H35" s="2">
        <f>$M35*input!H34</f>
        <v>0</v>
      </c>
      <c r="I35" s="2">
        <f>$M35*input!I34</f>
        <v>0</v>
      </c>
      <c r="J35" s="2">
        <f>$M35*input!J34</f>
        <v>0</v>
      </c>
      <c r="K35" s="2">
        <f>$M35*input!K34</f>
        <v>0</v>
      </c>
      <c r="M35" s="3">
        <v>1</v>
      </c>
      <c r="N35" s="3" t="s">
        <v>250</v>
      </c>
    </row>
    <row r="36" spans="1:14" ht="13" x14ac:dyDescent="0.15">
      <c r="A36" s="15" t="str">
        <f>input!A35</f>
        <v>B.III.2.b. Cred. vs Collegate oltre</v>
      </c>
      <c r="B36" s="2">
        <f>$M36*input!B35</f>
        <v>0</v>
      </c>
      <c r="C36" s="2">
        <f>$M36*input!C35</f>
        <v>0</v>
      </c>
      <c r="D36" s="2">
        <f>$M36*input!D35</f>
        <v>0</v>
      </c>
      <c r="E36" s="2">
        <f>$M36*input!E35</f>
        <v>0</v>
      </c>
      <c r="F36" s="2">
        <f>$M36*input!F35</f>
        <v>0</v>
      </c>
      <c r="G36" s="2">
        <f>$M36*input!G35</f>
        <v>0</v>
      </c>
      <c r="H36" s="2">
        <f>$M36*input!H35</f>
        <v>0</v>
      </c>
      <c r="I36" s="2">
        <f>$M36*input!I35</f>
        <v>0</v>
      </c>
      <c r="J36" s="2">
        <f>$M36*input!J35</f>
        <v>0</v>
      </c>
      <c r="K36" s="2">
        <f>$M36*input!K35</f>
        <v>0</v>
      </c>
      <c r="M36" s="3">
        <v>1</v>
      </c>
      <c r="N36" s="3" t="s">
        <v>250</v>
      </c>
    </row>
    <row r="37" spans="1:14" ht="13" x14ac:dyDescent="0.15">
      <c r="A37" s="15" t="str">
        <f>input!A36</f>
        <v>B.III.2.c. Cred. vs Controllanti entro</v>
      </c>
      <c r="B37" s="2">
        <f>$M37*input!B36</f>
        <v>0</v>
      </c>
      <c r="C37" s="2">
        <f>$M37*input!C36</f>
        <v>0</v>
      </c>
      <c r="D37" s="2">
        <f>$M37*input!D36</f>
        <v>0</v>
      </c>
      <c r="E37" s="2">
        <f>$M37*input!E36</f>
        <v>0</v>
      </c>
      <c r="F37" s="2">
        <f>$M37*input!F36</f>
        <v>0</v>
      </c>
      <c r="G37" s="2">
        <f>$M37*input!G36</f>
        <v>0</v>
      </c>
      <c r="H37" s="2">
        <f>$M37*input!H36</f>
        <v>0</v>
      </c>
      <c r="I37" s="2">
        <f>$M37*input!I36</f>
        <v>0</v>
      </c>
      <c r="J37" s="2">
        <f>$M37*input!J36</f>
        <v>0</v>
      </c>
      <c r="K37" s="2">
        <f>$M37*input!K36</f>
        <v>0</v>
      </c>
      <c r="M37" s="3">
        <v>-1</v>
      </c>
      <c r="N37" s="3" t="s">
        <v>245</v>
      </c>
    </row>
    <row r="38" spans="1:14" ht="13" x14ac:dyDescent="0.15">
      <c r="A38" s="15" t="str">
        <f>input!A37</f>
        <v>B.III.2.c. Cred. vs Controllanti oltre</v>
      </c>
      <c r="B38" s="2">
        <f>$M38*input!B37</f>
        <v>0</v>
      </c>
      <c r="C38" s="2">
        <f>$M38*input!C37</f>
        <v>0</v>
      </c>
      <c r="D38" s="2">
        <f>$M38*input!D37</f>
        <v>0</v>
      </c>
      <c r="E38" s="2">
        <f>$M38*input!E37</f>
        <v>0</v>
      </c>
      <c r="F38" s="2">
        <f>$M38*input!F37</f>
        <v>0</v>
      </c>
      <c r="G38" s="2">
        <f>$M38*input!G37</f>
        <v>0</v>
      </c>
      <c r="H38" s="2">
        <f>$M38*input!H37</f>
        <v>0</v>
      </c>
      <c r="I38" s="2">
        <f>$M38*input!I37</f>
        <v>0</v>
      </c>
      <c r="J38" s="2">
        <f>$M38*input!J37</f>
        <v>0</v>
      </c>
      <c r="K38" s="2">
        <f>$M38*input!K37</f>
        <v>0</v>
      </c>
      <c r="M38" s="3">
        <v>-1</v>
      </c>
      <c r="N38" s="3" t="s">
        <v>245</v>
      </c>
    </row>
    <row r="39" spans="1:14" ht="13" x14ac:dyDescent="0.15">
      <c r="A39" s="15" t="str">
        <f>input!A38</f>
        <v>B.III.2.d. Cred. vs imprese sottoposte al controllo delle controllanti entro</v>
      </c>
      <c r="B39" s="2">
        <f>$M39*input!B38</f>
        <v>0</v>
      </c>
      <c r="C39" s="2">
        <f>$M39*input!C38</f>
        <v>0</v>
      </c>
      <c r="D39" s="2">
        <f>$M39*input!D38</f>
        <v>0</v>
      </c>
      <c r="E39" s="2">
        <f>$M39*input!E38</f>
        <v>0</v>
      </c>
      <c r="F39" s="2">
        <f>$M39*input!F38</f>
        <v>0</v>
      </c>
      <c r="G39" s="2">
        <f>$M39*input!G38</f>
        <v>0</v>
      </c>
      <c r="H39" s="2">
        <f>$M39*input!H38</f>
        <v>0</v>
      </c>
      <c r="I39" s="2">
        <f>$M39*input!I38</f>
        <v>0</v>
      </c>
      <c r="J39" s="2">
        <f>$M39*input!J38</f>
        <v>0</v>
      </c>
      <c r="K39" s="2">
        <f>$M39*input!K38</f>
        <v>0</v>
      </c>
      <c r="M39" s="3">
        <v>-1</v>
      </c>
      <c r="N39" s="3" t="s">
        <v>245</v>
      </c>
    </row>
    <row r="40" spans="1:14" ht="13" x14ac:dyDescent="0.15">
      <c r="A40" s="15" t="str">
        <f>input!A39</f>
        <v>B.III.2.d. Cred. vs imprese sottoposte al controllo delle controllanti oltre</v>
      </c>
      <c r="B40" s="2">
        <f>$M40*input!B39</f>
        <v>0</v>
      </c>
      <c r="C40" s="2">
        <f>$M40*input!C39</f>
        <v>0</v>
      </c>
      <c r="D40" s="2">
        <f>$M40*input!D39</f>
        <v>0</v>
      </c>
      <c r="E40" s="2">
        <f>$M40*input!E39</f>
        <v>0</v>
      </c>
      <c r="F40" s="2">
        <f>$M40*input!F39</f>
        <v>0</v>
      </c>
      <c r="G40" s="2">
        <f>$M40*input!G39</f>
        <v>0</v>
      </c>
      <c r="H40" s="2">
        <f>$M40*input!H39</f>
        <v>0</v>
      </c>
      <c r="I40" s="2">
        <f>$M40*input!I39</f>
        <v>0</v>
      </c>
      <c r="J40" s="2">
        <f>$M40*input!J39</f>
        <v>0</v>
      </c>
      <c r="K40" s="2">
        <f>$M40*input!K39</f>
        <v>0</v>
      </c>
      <c r="M40" s="3">
        <v>-1</v>
      </c>
      <c r="N40" s="3" t="s">
        <v>245</v>
      </c>
    </row>
    <row r="41" spans="1:14" ht="13" x14ac:dyDescent="0.15">
      <c r="A41" s="15" t="str">
        <f>input!A40</f>
        <v>B.III.2.d.bis. Cred. vs Altri entro</v>
      </c>
      <c r="B41" s="2">
        <f>$M41*input!B40</f>
        <v>0</v>
      </c>
      <c r="C41" s="2">
        <f>$M41*input!C40</f>
        <v>0</v>
      </c>
      <c r="D41" s="2">
        <f>$M41*input!D40</f>
        <v>0</v>
      </c>
      <c r="E41" s="2">
        <f>$M41*input!E40</f>
        <v>0</v>
      </c>
      <c r="F41" s="2">
        <f>$M41*input!F40</f>
        <v>8192</v>
      </c>
      <c r="G41" s="2">
        <f>$M41*input!G40</f>
        <v>8192</v>
      </c>
      <c r="H41" s="2">
        <f>$M41*input!H40</f>
        <v>8192</v>
      </c>
      <c r="I41" s="2">
        <f>$M41*input!I40</f>
        <v>0</v>
      </c>
      <c r="J41" s="2">
        <f>$M41*input!J40</f>
        <v>0</v>
      </c>
      <c r="K41" s="2">
        <f>$M41*input!K40</f>
        <v>0</v>
      </c>
      <c r="M41" s="3">
        <v>1</v>
      </c>
      <c r="N41" s="3" t="s">
        <v>251</v>
      </c>
    </row>
    <row r="42" spans="1:14" ht="12" customHeight="1" x14ac:dyDescent="0.15">
      <c r="A42" s="15" t="str">
        <f>input!A41</f>
        <v>B.III.2.d.bis Cred. vs Altri oltre</v>
      </c>
      <c r="B42" s="2">
        <f>$M42*input!B41</f>
        <v>0</v>
      </c>
      <c r="C42" s="2">
        <f>$M42*input!C41</f>
        <v>0</v>
      </c>
      <c r="D42" s="2">
        <f>$M42*input!D41</f>
        <v>0</v>
      </c>
      <c r="E42" s="2">
        <f>$M42*input!E41</f>
        <v>0</v>
      </c>
      <c r="F42" s="2">
        <f>$M42*input!F41</f>
        <v>0</v>
      </c>
      <c r="G42" s="2">
        <f>$M42*input!G41</f>
        <v>0</v>
      </c>
      <c r="H42" s="2">
        <f>$M42*input!H41</f>
        <v>0</v>
      </c>
      <c r="I42" s="2">
        <f>$M42*input!I41</f>
        <v>8192</v>
      </c>
      <c r="J42" s="2">
        <f>$M42*input!J41</f>
        <v>0</v>
      </c>
      <c r="K42" s="2">
        <f>$M42*input!K41</f>
        <v>0</v>
      </c>
      <c r="M42" s="3">
        <v>1</v>
      </c>
      <c r="N42" s="3" t="s">
        <v>251</v>
      </c>
    </row>
    <row r="43" spans="1:14" ht="13" x14ac:dyDescent="0.15">
      <c r="A43" s="14" t="str">
        <f>input!A42</f>
        <v>B.III. CREDITI FIN. A BREVE</v>
      </c>
      <c r="B43" s="2">
        <f>$M43*input!B42</f>
        <v>0</v>
      </c>
      <c r="C43" s="2">
        <f>$M43*input!C42</f>
        <v>0</v>
      </c>
      <c r="D43" s="2">
        <f>$M43*input!D42</f>
        <v>0</v>
      </c>
      <c r="E43" s="2">
        <f>$M43*input!E42</f>
        <v>0</v>
      </c>
      <c r="F43" s="2">
        <f>$M43*input!F42</f>
        <v>8192</v>
      </c>
      <c r="G43" s="2">
        <f>$M43*input!G42</f>
        <v>8192</v>
      </c>
      <c r="H43" s="2">
        <f>$M43*input!H42</f>
        <v>8192</v>
      </c>
      <c r="I43" s="2">
        <f>$M43*input!I42</f>
        <v>0</v>
      </c>
      <c r="J43" s="2">
        <f>$M43*input!J42</f>
        <v>0</v>
      </c>
      <c r="K43" s="2">
        <f>$M43*input!K42</f>
        <v>0</v>
      </c>
      <c r="M43" s="3">
        <v>1</v>
      </c>
    </row>
    <row r="44" spans="1:14" ht="13" x14ac:dyDescent="0.15">
      <c r="A44" s="14" t="str">
        <f>input!A43</f>
        <v>B.III. CREDITI FIN. A OLTRE</v>
      </c>
      <c r="B44" s="2">
        <f>$M44*input!B43</f>
        <v>0</v>
      </c>
      <c r="C44" s="2">
        <f>$M44*input!C43</f>
        <v>0</v>
      </c>
      <c r="D44" s="2">
        <f>$M44*input!D43</f>
        <v>0</v>
      </c>
      <c r="E44" s="2">
        <f>$M44*input!E43</f>
        <v>0</v>
      </c>
      <c r="F44" s="2">
        <f>$M44*input!F43</f>
        <v>0</v>
      </c>
      <c r="G44" s="2">
        <f>$M44*input!G43</f>
        <v>0</v>
      </c>
      <c r="H44" s="2">
        <f>$M44*input!H43</f>
        <v>0</v>
      </c>
      <c r="I44" s="2">
        <f>$M44*input!I43</f>
        <v>8192</v>
      </c>
      <c r="J44" s="2">
        <f>$M44*input!J43</f>
        <v>0</v>
      </c>
      <c r="K44" s="2">
        <f>$M44*input!K43</f>
        <v>0</v>
      </c>
      <c r="M44" s="3">
        <v>1</v>
      </c>
    </row>
    <row r="45" spans="1:14" ht="13" x14ac:dyDescent="0.15">
      <c r="A45" s="14" t="str">
        <f>input!A44</f>
        <v>B.III.3. Altri titoli</v>
      </c>
      <c r="B45" s="2">
        <f>$M45*input!B44</f>
        <v>0</v>
      </c>
      <c r="C45" s="2">
        <f>$M45*input!C44</f>
        <v>0</v>
      </c>
      <c r="D45" s="2">
        <f>$M45*input!D44</f>
        <v>0</v>
      </c>
      <c r="E45" s="2">
        <f>$M45*input!E44</f>
        <v>0</v>
      </c>
      <c r="F45" s="2">
        <f>$M45*input!F44</f>
        <v>0</v>
      </c>
      <c r="G45" s="2">
        <f>$M45*input!G44</f>
        <v>0</v>
      </c>
      <c r="H45" s="2">
        <f>$M45*input!H44</f>
        <v>0</v>
      </c>
      <c r="I45" s="2">
        <f>$M45*input!I44</f>
        <v>0</v>
      </c>
      <c r="J45" s="2">
        <f>$M45*input!J44</f>
        <v>0</v>
      </c>
      <c r="K45" s="2">
        <f>$M45*input!K44</f>
        <v>0</v>
      </c>
      <c r="M45" s="3">
        <v>1</v>
      </c>
      <c r="N45" s="3" t="s">
        <v>248</v>
      </c>
    </row>
    <row r="46" spans="1:14" ht="13" x14ac:dyDescent="0.15">
      <c r="A46" s="15" t="str">
        <f>input!A45</f>
        <v>B.III.3.bis. Azioni proprie</v>
      </c>
      <c r="B46" s="2">
        <f>$M46*input!B45</f>
        <v>0</v>
      </c>
      <c r="C46" s="2">
        <f>$M46*input!C45</f>
        <v>0</v>
      </c>
      <c r="D46" s="2">
        <f>$M46*input!D45</f>
        <v>0</v>
      </c>
      <c r="E46" s="2">
        <f>$M46*input!E45</f>
        <v>0</v>
      </c>
      <c r="F46" s="2">
        <f>$M46*input!F45</f>
        <v>0</v>
      </c>
      <c r="G46" s="2">
        <f>$M46*input!G45</f>
        <v>0</v>
      </c>
      <c r="H46" s="2">
        <f>$M46*input!H45</f>
        <v>0</v>
      </c>
      <c r="I46" s="2">
        <f>$M46*input!I45</f>
        <v>0</v>
      </c>
      <c r="J46" s="2">
        <f>$M46*input!J45</f>
        <v>0</v>
      </c>
      <c r="K46" s="2">
        <f>$M46*input!K45</f>
        <v>0</v>
      </c>
      <c r="M46" s="3">
        <v>-1</v>
      </c>
      <c r="N46" s="3" t="s">
        <v>249</v>
      </c>
    </row>
    <row r="47" spans="1:14" ht="13" x14ac:dyDescent="0.15">
      <c r="A47" s="14" t="str">
        <f>input!A46</f>
        <v>B.III.4. Strumenti finanziari derivati attivi</v>
      </c>
      <c r="B47" s="2">
        <f>$M47*input!B46</f>
        <v>0</v>
      </c>
      <c r="C47" s="2">
        <f>$M47*input!C46</f>
        <v>0</v>
      </c>
      <c r="D47" s="2">
        <f>$M47*input!D46</f>
        <v>0</v>
      </c>
      <c r="E47" s="2">
        <f>$M47*input!E46</f>
        <v>0</v>
      </c>
      <c r="F47" s="2">
        <f>$M47*input!F46</f>
        <v>0</v>
      </c>
      <c r="G47" s="2">
        <f>$M47*input!G46</f>
        <v>0</v>
      </c>
      <c r="H47" s="2">
        <f>$M47*input!H46</f>
        <v>0</v>
      </c>
      <c r="I47" s="2">
        <f>$M47*input!I46</f>
        <v>0</v>
      </c>
      <c r="J47" s="2">
        <f>$M47*input!J46</f>
        <v>0</v>
      </c>
      <c r="K47" s="2">
        <f>$M47*input!K46</f>
        <v>0</v>
      </c>
      <c r="M47" s="3">
        <v>1</v>
      </c>
      <c r="N47" s="3" t="s">
        <v>252</v>
      </c>
    </row>
    <row r="48" spans="1:14" ht="13" x14ac:dyDescent="0.15">
      <c r="A48" s="13" t="str">
        <f>input!A47</f>
        <v>Azioni proprie DI CUI: Val nominale</v>
      </c>
      <c r="B48" s="2">
        <f>$M48*input!B47</f>
        <v>0</v>
      </c>
      <c r="C48" s="2">
        <f>$M48*input!C47</f>
        <v>0</v>
      </c>
      <c r="D48" s="2">
        <f>$M48*input!D47</f>
        <v>0</v>
      </c>
      <c r="E48" s="2">
        <f>$M48*input!E47</f>
        <v>0</v>
      </c>
      <c r="F48" s="2">
        <f>$M48*input!F47</f>
        <v>0</v>
      </c>
      <c r="G48" s="2">
        <f>$M48*input!G47</f>
        <v>0</v>
      </c>
      <c r="H48" s="2">
        <f>$M48*input!H47</f>
        <v>0</v>
      </c>
      <c r="I48" s="2">
        <f>$M48*input!I47</f>
        <v>0</v>
      </c>
      <c r="J48" s="2">
        <f>$M48*input!J47</f>
        <v>0</v>
      </c>
      <c r="K48" s="2">
        <f>$M48*input!K47</f>
        <v>0</v>
      </c>
      <c r="M48" s="3">
        <v>1</v>
      </c>
    </row>
    <row r="49" spans="1:14" ht="13" x14ac:dyDescent="0.15">
      <c r="A49" s="16" t="s">
        <v>253</v>
      </c>
    </row>
    <row r="50" spans="1:14" s="11" customFormat="1" ht="13.5" customHeight="1" x14ac:dyDescent="0.15">
      <c r="A50" s="9" t="str">
        <f>input!A48</f>
        <v>C. ATTIVO CIRCOLANTE</v>
      </c>
      <c r="B50" s="10">
        <f>$M50*input!B48</f>
        <v>9864960</v>
      </c>
      <c r="C50" s="10">
        <f>$M50*input!C48</f>
        <v>11304972</v>
      </c>
      <c r="D50" s="10">
        <f>$M50*input!D48</f>
        <v>11040279</v>
      </c>
      <c r="E50" s="10">
        <f>$M50*input!E48</f>
        <v>8568239</v>
      </c>
      <c r="F50" s="10">
        <f>$M50*input!F48</f>
        <v>7656738</v>
      </c>
      <c r="G50" s="10">
        <f>$M50*input!G48</f>
        <v>6668572</v>
      </c>
      <c r="H50" s="10">
        <f>$M50*input!H48</f>
        <v>5217184</v>
      </c>
      <c r="I50" s="10">
        <f>$M50*input!I48</f>
        <v>5218727</v>
      </c>
      <c r="J50" s="10">
        <f>$M50*input!J48</f>
        <v>0</v>
      </c>
      <c r="K50" s="10">
        <f>$M50*input!K48</f>
        <v>0</v>
      </c>
      <c r="M50" s="11">
        <v>1</v>
      </c>
    </row>
    <row r="51" spans="1:14" ht="13" x14ac:dyDescent="0.15">
      <c r="A51" s="13" t="str">
        <f>input!A49</f>
        <v>C.I. TOTALE RIMANENZE</v>
      </c>
      <c r="B51" s="2">
        <f>$M51*input!B49</f>
        <v>4608814</v>
      </c>
      <c r="C51" s="2">
        <f>$M51*input!C49</f>
        <v>5103684</v>
      </c>
      <c r="D51" s="2">
        <f>$M51*input!D49</f>
        <v>5250264</v>
      </c>
      <c r="E51" s="2">
        <f>$M51*input!E49</f>
        <v>2924371</v>
      </c>
      <c r="F51" s="2">
        <f>$M51*input!F49</f>
        <v>2556678</v>
      </c>
      <c r="G51" s="2">
        <f>$M51*input!G49</f>
        <v>3010721</v>
      </c>
      <c r="H51" s="2">
        <f>$M51*input!H49</f>
        <v>2422241</v>
      </c>
      <c r="I51" s="2">
        <f>$M51*input!I49</f>
        <v>2070635</v>
      </c>
      <c r="J51" s="2">
        <f>$M51*input!J49</f>
        <v>0</v>
      </c>
      <c r="K51" s="2">
        <f>$M51*input!K49</f>
        <v>0</v>
      </c>
      <c r="M51" s="3">
        <v>1</v>
      </c>
    </row>
    <row r="52" spans="1:14" ht="13" x14ac:dyDescent="0.15">
      <c r="A52" s="14" t="str">
        <f>input!A50</f>
        <v>C.I.1. Materie prime</v>
      </c>
      <c r="B52" s="2">
        <f>$M52*input!B50</f>
        <v>401813</v>
      </c>
      <c r="C52" s="2">
        <f>$M52*input!C50</f>
        <v>259874</v>
      </c>
      <c r="D52" s="2">
        <f>$M52*input!D50</f>
        <v>395324</v>
      </c>
      <c r="E52" s="2">
        <f>$M52*input!E50</f>
        <v>233185</v>
      </c>
      <c r="F52" s="2">
        <f>$M52*input!F50</f>
        <v>153593</v>
      </c>
      <c r="G52" s="2">
        <f>$M52*input!G50</f>
        <v>229845</v>
      </c>
      <c r="H52" s="2">
        <f>$M52*input!H50</f>
        <v>135786</v>
      </c>
      <c r="I52" s="2">
        <f>$M52*input!I50</f>
        <v>170823</v>
      </c>
      <c r="J52" s="2">
        <f>$M52*input!J50</f>
        <v>0</v>
      </c>
      <c r="K52" s="2">
        <f>$M52*input!K50</f>
        <v>0</v>
      </c>
      <c r="M52" s="3">
        <v>1</v>
      </c>
      <c r="N52" s="3" t="s">
        <v>254</v>
      </c>
    </row>
    <row r="53" spans="1:14" ht="13" x14ac:dyDescent="0.15">
      <c r="A53" s="14" t="str">
        <f>input!A51</f>
        <v>C.I.2. Prodotti semilav./in corso</v>
      </c>
      <c r="B53" s="2">
        <f>$M53*input!B51</f>
        <v>3664689</v>
      </c>
      <c r="C53" s="2">
        <f>$M53*input!C51</f>
        <v>4140030</v>
      </c>
      <c r="D53" s="2">
        <f>$M53*input!D51</f>
        <v>4081340</v>
      </c>
      <c r="E53" s="2">
        <f>$M53*input!E51</f>
        <v>2338118</v>
      </c>
      <c r="F53" s="2">
        <f>$M53*input!F51</f>
        <v>1996776</v>
      </c>
      <c r="G53" s="2">
        <f>$M53*input!G51</f>
        <v>2711561</v>
      </c>
      <c r="H53" s="2">
        <f>$M53*input!H51</f>
        <v>2072725</v>
      </c>
      <c r="I53" s="2">
        <f>$M53*input!I51</f>
        <v>1739894</v>
      </c>
      <c r="J53" s="2">
        <f>$M53*input!J51</f>
        <v>0</v>
      </c>
      <c r="K53" s="2">
        <f>$M53*input!K51</f>
        <v>0</v>
      </c>
      <c r="M53" s="3">
        <v>1</v>
      </c>
      <c r="N53" s="3" t="s">
        <v>254</v>
      </c>
    </row>
    <row r="54" spans="1:14" ht="13" x14ac:dyDescent="0.15">
      <c r="A54" s="14" t="str">
        <f>input!A52</f>
        <v>C.I.3. Lavori in corso</v>
      </c>
      <c r="B54" s="2">
        <f>$M54*input!B52</f>
        <v>0</v>
      </c>
      <c r="C54" s="2">
        <f>$M54*input!C52</f>
        <v>0</v>
      </c>
      <c r="D54" s="2">
        <f>$M54*input!D52</f>
        <v>0</v>
      </c>
      <c r="E54" s="2">
        <f>$M54*input!E52</f>
        <v>0</v>
      </c>
      <c r="F54" s="2">
        <f>$M54*input!F52</f>
        <v>0</v>
      </c>
      <c r="G54" s="2">
        <f>$M54*input!G52</f>
        <v>0</v>
      </c>
      <c r="H54" s="2">
        <f>$M54*input!H52</f>
        <v>0</v>
      </c>
      <c r="I54" s="2">
        <f>$M54*input!I52</f>
        <v>0</v>
      </c>
      <c r="J54" s="2">
        <f>$M54*input!J52</f>
        <v>0</v>
      </c>
      <c r="K54" s="2">
        <f>$M54*input!K52</f>
        <v>0</v>
      </c>
      <c r="M54" s="3">
        <v>1</v>
      </c>
      <c r="N54" s="3" t="s">
        <v>254</v>
      </c>
    </row>
    <row r="55" spans="1:14" ht="13" x14ac:dyDescent="0.15">
      <c r="A55" s="14" t="str">
        <f>input!A53</f>
        <v>C.I.4. Prodotti finiti</v>
      </c>
      <c r="B55" s="2">
        <f>$M55*input!B53</f>
        <v>542312</v>
      </c>
      <c r="C55" s="2">
        <f>$M55*input!C53</f>
        <v>640442</v>
      </c>
      <c r="D55" s="2">
        <f>$M55*input!D53</f>
        <v>773600</v>
      </c>
      <c r="E55" s="2">
        <f>$M55*input!E53</f>
        <v>353068</v>
      </c>
      <c r="F55" s="2">
        <f>$M55*input!F53</f>
        <v>406309</v>
      </c>
      <c r="G55" s="2">
        <f>$M55*input!G53</f>
        <v>69315</v>
      </c>
      <c r="H55" s="2">
        <f>$M55*input!H53</f>
        <v>213730</v>
      </c>
      <c r="I55" s="2">
        <f>$M55*input!I53</f>
        <v>159918</v>
      </c>
      <c r="J55" s="2">
        <f>$M55*input!J53</f>
        <v>0</v>
      </c>
      <c r="K55" s="2">
        <f>$M55*input!K53</f>
        <v>0</v>
      </c>
      <c r="M55" s="3">
        <v>1</v>
      </c>
      <c r="N55" s="3" t="s">
        <v>254</v>
      </c>
    </row>
    <row r="56" spans="1:14" ht="13" x14ac:dyDescent="0.15">
      <c r="A56" s="14" t="str">
        <f>input!A54</f>
        <v>C.I.5. Acconti</v>
      </c>
      <c r="B56" s="2">
        <f>$M56*input!B54</f>
        <v>0</v>
      </c>
      <c r="C56" s="2">
        <f>$M56*input!C54</f>
        <v>63338</v>
      </c>
      <c r="D56" s="2">
        <f>$M56*input!D54</f>
        <v>0</v>
      </c>
      <c r="E56" s="2">
        <f>$M56*input!E54</f>
        <v>0</v>
      </c>
      <c r="F56" s="2">
        <f>$M56*input!F54</f>
        <v>0</v>
      </c>
      <c r="G56" s="2">
        <f>$M56*input!G54</f>
        <v>0</v>
      </c>
      <c r="H56" s="2">
        <f>$M56*input!H54</f>
        <v>0</v>
      </c>
      <c r="I56" s="2">
        <f>$M56*input!I54</f>
        <v>0</v>
      </c>
      <c r="J56" s="2">
        <f>$M56*input!J54</f>
        <v>0</v>
      </c>
      <c r="K56" s="2">
        <f>$M56*input!K54</f>
        <v>0</v>
      </c>
      <c r="M56" s="3">
        <v>1</v>
      </c>
      <c r="N56" s="3" t="s">
        <v>255</v>
      </c>
    </row>
    <row r="57" spans="1:14" ht="13" x14ac:dyDescent="0.15">
      <c r="A57" s="14" t="str">
        <f>input!A55</f>
        <v>Immobilizzazioni materiali destinate alla vendita</v>
      </c>
      <c r="B57" s="2">
        <f>$M57*input!B55</f>
        <v>0</v>
      </c>
      <c r="C57" s="2">
        <f>$M57*input!C55</f>
        <v>0</v>
      </c>
      <c r="D57" s="2">
        <f>$M57*input!D55</f>
        <v>0</v>
      </c>
      <c r="E57" s="2">
        <f>$M57*input!E55</f>
        <v>0</v>
      </c>
      <c r="F57" s="2">
        <f>$M57*input!F55</f>
        <v>0</v>
      </c>
      <c r="G57" s="2">
        <f>$M57*input!G55</f>
        <v>0</v>
      </c>
      <c r="H57" s="2">
        <f>$M57*input!H55</f>
        <v>0</v>
      </c>
      <c r="I57" s="2">
        <f>$M57*input!I55</f>
        <v>0</v>
      </c>
      <c r="J57" s="2">
        <f>$M57*input!J55</f>
        <v>0</v>
      </c>
      <c r="K57" s="2">
        <f>$M57*input!K55</f>
        <v>0</v>
      </c>
      <c r="M57" s="3">
        <v>1</v>
      </c>
      <c r="N57" s="3" t="s">
        <v>247</v>
      </c>
    </row>
    <row r="58" spans="1:14" ht="13" x14ac:dyDescent="0.15">
      <c r="A58" s="13" t="str">
        <f>input!A56</f>
        <v>C.II. TOTALE CREDITI</v>
      </c>
      <c r="B58" s="2">
        <f>$M58*input!B56</f>
        <v>5013716</v>
      </c>
      <c r="C58" s="2">
        <f>$M58*input!C56</f>
        <v>5309746</v>
      </c>
      <c r="D58" s="2">
        <f>$M58*input!D56</f>
        <v>4632483</v>
      </c>
      <c r="E58" s="2">
        <f>$M58*input!E56</f>
        <v>3374197</v>
      </c>
      <c r="F58" s="2">
        <f>$M58*input!F56</f>
        <v>3111429</v>
      </c>
      <c r="G58" s="2">
        <f>$M58*input!G56</f>
        <v>3053922</v>
      </c>
      <c r="H58" s="2">
        <f>$M58*input!H56</f>
        <v>2457865</v>
      </c>
      <c r="I58" s="2">
        <f>$M58*input!I56</f>
        <v>2435304</v>
      </c>
      <c r="J58" s="2">
        <f>$M58*input!J56</f>
        <v>0</v>
      </c>
      <c r="K58" s="2">
        <f>$M58*input!K56</f>
        <v>0</v>
      </c>
      <c r="M58" s="3">
        <v>1</v>
      </c>
    </row>
    <row r="59" spans="1:14" ht="13" x14ac:dyDescent="0.15">
      <c r="A59" s="14" t="str">
        <f>input!A57</f>
        <v>C.II.1. Cred. vs Clienti entro</v>
      </c>
      <c r="B59" s="2">
        <f>$M59*input!B57</f>
        <v>4256399</v>
      </c>
      <c r="C59" s="2">
        <f>$M59*input!C57</f>
        <v>3896776</v>
      </c>
      <c r="D59" s="2">
        <f>$M59*input!D57</f>
        <v>2966203</v>
      </c>
      <c r="E59" s="2">
        <f>$M59*input!E57</f>
        <v>3180616</v>
      </c>
      <c r="F59" s="2">
        <f>$M59*input!F57</f>
        <v>2787212</v>
      </c>
      <c r="G59" s="2">
        <f>$M59*input!G57</f>
        <v>2642901</v>
      </c>
      <c r="H59" s="2">
        <f>$M59*input!H57</f>
        <v>2353521</v>
      </c>
      <c r="I59" s="2">
        <f>$M59*input!I57</f>
        <v>2381302</v>
      </c>
      <c r="J59" s="2">
        <f>$M59*input!J57</f>
        <v>0</v>
      </c>
      <c r="K59" s="2">
        <f>$M59*input!K57</f>
        <v>0</v>
      </c>
      <c r="M59" s="3">
        <v>1</v>
      </c>
      <c r="N59" s="3" t="s">
        <v>256</v>
      </c>
    </row>
    <row r="60" spans="1:14" ht="13" x14ac:dyDescent="0.15">
      <c r="A60" s="14" t="str">
        <f>input!A58</f>
        <v>C.II.1. Cred. vs Clienti oltre</v>
      </c>
      <c r="B60" s="2">
        <f>$M60*input!B58</f>
        <v>0</v>
      </c>
      <c r="C60" s="2">
        <f>$M60*input!C58</f>
        <v>0</v>
      </c>
      <c r="D60" s="2">
        <f>$M60*input!D58</f>
        <v>0</v>
      </c>
      <c r="E60" s="2">
        <f>$M60*input!E58</f>
        <v>0</v>
      </c>
      <c r="F60" s="2">
        <f>$M60*input!F58</f>
        <v>0</v>
      </c>
      <c r="G60" s="2">
        <f>$M60*input!G58</f>
        <v>0</v>
      </c>
      <c r="H60" s="2">
        <f>$M60*input!H58</f>
        <v>0</v>
      </c>
      <c r="I60" s="2">
        <f>$M60*input!I58</f>
        <v>0</v>
      </c>
      <c r="J60" s="2">
        <f>$M60*input!J58</f>
        <v>0</v>
      </c>
      <c r="K60" s="2">
        <f>$M60*input!K58</f>
        <v>0</v>
      </c>
      <c r="M60" s="3">
        <v>1</v>
      </c>
      <c r="N60" s="3" t="s">
        <v>256</v>
      </c>
    </row>
    <row r="61" spans="1:14" ht="13" x14ac:dyDescent="0.15">
      <c r="A61" s="14" t="str">
        <f>input!A59</f>
        <v>C.II.2. Cred. vs Controllate entro</v>
      </c>
      <c r="B61" s="2">
        <f>$M61*input!B59</f>
        <v>0</v>
      </c>
      <c r="C61" s="2">
        <f>$M61*input!C59</f>
        <v>0</v>
      </c>
      <c r="D61" s="2">
        <f>$M61*input!D59</f>
        <v>0</v>
      </c>
      <c r="E61" s="2">
        <f>$M61*input!E59</f>
        <v>0</v>
      </c>
      <c r="F61" s="2">
        <f>$M61*input!F59</f>
        <v>0</v>
      </c>
      <c r="G61" s="2">
        <f>$M61*input!G59</f>
        <v>0</v>
      </c>
      <c r="H61" s="2">
        <f>$M61*input!H59</f>
        <v>0</v>
      </c>
      <c r="I61" s="2">
        <f>$M61*input!I59</f>
        <v>0</v>
      </c>
      <c r="J61" s="2">
        <f>$M61*input!J59</f>
        <v>0</v>
      </c>
      <c r="K61" s="2">
        <f>$M61*input!K59</f>
        <v>0</v>
      </c>
      <c r="M61" s="3">
        <v>1</v>
      </c>
      <c r="N61" s="3" t="s">
        <v>250</v>
      </c>
    </row>
    <row r="62" spans="1:14" ht="13" x14ac:dyDescent="0.15">
      <c r="A62" s="14" t="str">
        <f>input!A60</f>
        <v>C.II.2. Cred. vs Controllate oltre</v>
      </c>
      <c r="B62" s="2">
        <f>$M62*input!B60</f>
        <v>0</v>
      </c>
      <c r="C62" s="2">
        <f>$M62*input!C60</f>
        <v>0</v>
      </c>
      <c r="D62" s="2">
        <f>$M62*input!D60</f>
        <v>0</v>
      </c>
      <c r="E62" s="2">
        <f>$M62*input!E60</f>
        <v>0</v>
      </c>
      <c r="F62" s="2">
        <f>$M62*input!F60</f>
        <v>0</v>
      </c>
      <c r="G62" s="2">
        <f>$M62*input!G60</f>
        <v>0</v>
      </c>
      <c r="H62" s="2">
        <f>$M62*input!H60</f>
        <v>0</v>
      </c>
      <c r="I62" s="2">
        <f>$M62*input!I60</f>
        <v>0</v>
      </c>
      <c r="J62" s="2">
        <f>$M62*input!J60</f>
        <v>0</v>
      </c>
      <c r="K62" s="2">
        <f>$M62*input!K60</f>
        <v>0</v>
      </c>
      <c r="M62" s="3">
        <v>1</v>
      </c>
      <c r="N62" s="3" t="s">
        <v>250</v>
      </c>
    </row>
    <row r="63" spans="1:14" ht="13" x14ac:dyDescent="0.15">
      <c r="A63" s="14" t="str">
        <f>input!A61</f>
        <v>C.II.3. Cred. vs Collegate entro</v>
      </c>
      <c r="B63" s="2">
        <f>$M63*input!B61</f>
        <v>0</v>
      </c>
      <c r="C63" s="2">
        <f>$M63*input!C61</f>
        <v>0</v>
      </c>
      <c r="D63" s="2">
        <f>$M63*input!D61</f>
        <v>0</v>
      </c>
      <c r="E63" s="2">
        <f>$M63*input!E61</f>
        <v>0</v>
      </c>
      <c r="F63" s="2">
        <f>$M63*input!F61</f>
        <v>0</v>
      </c>
      <c r="G63" s="2">
        <f>$M63*input!G61</f>
        <v>0</v>
      </c>
      <c r="H63" s="2">
        <f>$M63*input!H61</f>
        <v>0</v>
      </c>
      <c r="I63" s="2">
        <f>$M63*input!I61</f>
        <v>0</v>
      </c>
      <c r="J63" s="2">
        <f>$M63*input!J61</f>
        <v>0</v>
      </c>
      <c r="K63" s="2">
        <f>$M63*input!K61</f>
        <v>0</v>
      </c>
      <c r="M63" s="3">
        <v>1</v>
      </c>
      <c r="N63" s="3" t="s">
        <v>250</v>
      </c>
    </row>
    <row r="64" spans="1:14" ht="13" x14ac:dyDescent="0.15">
      <c r="A64" s="14" t="str">
        <f>input!A62</f>
        <v>C.II.3. Cred. vs Collegate oltre</v>
      </c>
      <c r="B64" s="2">
        <f>$M64*input!B62</f>
        <v>0</v>
      </c>
      <c r="C64" s="2">
        <f>$M64*input!C62</f>
        <v>0</v>
      </c>
      <c r="D64" s="2">
        <f>$M64*input!D62</f>
        <v>0</v>
      </c>
      <c r="E64" s="2">
        <f>$M64*input!E62</f>
        <v>0</v>
      </c>
      <c r="F64" s="2">
        <f>$M64*input!F62</f>
        <v>0</v>
      </c>
      <c r="G64" s="2">
        <f>$M64*input!G62</f>
        <v>0</v>
      </c>
      <c r="H64" s="2">
        <f>$M64*input!H62</f>
        <v>0</v>
      </c>
      <c r="I64" s="2">
        <f>$M64*input!I62</f>
        <v>0</v>
      </c>
      <c r="J64" s="2">
        <f>$M64*input!J62</f>
        <v>0</v>
      </c>
      <c r="K64" s="2">
        <f>$M64*input!K62</f>
        <v>0</v>
      </c>
      <c r="M64" s="3">
        <v>1</v>
      </c>
      <c r="N64" s="3" t="s">
        <v>250</v>
      </c>
    </row>
    <row r="65" spans="1:14" ht="13" x14ac:dyDescent="0.15">
      <c r="A65" s="14" t="str">
        <f>input!A63</f>
        <v>C.II.4. Cred. vs Controllanti entro</v>
      </c>
      <c r="B65" s="2">
        <f>$M65*input!B63</f>
        <v>0</v>
      </c>
      <c r="C65" s="2">
        <f>$M65*input!C63</f>
        <v>0</v>
      </c>
      <c r="D65" s="2">
        <f>$M65*input!D63</f>
        <v>0</v>
      </c>
      <c r="E65" s="2">
        <f>$M65*input!E63</f>
        <v>0</v>
      </c>
      <c r="F65" s="2">
        <f>$M65*input!F63</f>
        <v>0</v>
      </c>
      <c r="G65" s="2">
        <f>$M65*input!G63</f>
        <v>0</v>
      </c>
      <c r="H65" s="2">
        <f>$M65*input!H63</f>
        <v>0</v>
      </c>
      <c r="I65" s="2">
        <f>$M65*input!I63</f>
        <v>0</v>
      </c>
      <c r="J65" s="2">
        <f>$M65*input!J63</f>
        <v>0</v>
      </c>
      <c r="K65" s="2">
        <f>$M65*input!K63</f>
        <v>0</v>
      </c>
      <c r="M65" s="3">
        <v>-1</v>
      </c>
      <c r="N65" s="3" t="s">
        <v>245</v>
      </c>
    </row>
    <row r="66" spans="1:14" ht="13" x14ac:dyDescent="0.15">
      <c r="A66" s="14" t="str">
        <f>input!A64</f>
        <v>C.II.4. Cred. vs Controllanti oltre</v>
      </c>
      <c r="B66" s="2">
        <f>$M66*input!B64</f>
        <v>0</v>
      </c>
      <c r="C66" s="2">
        <f>$M66*input!C64</f>
        <v>0</v>
      </c>
      <c r="D66" s="2">
        <f>$M66*input!D64</f>
        <v>0</v>
      </c>
      <c r="E66" s="2">
        <f>$M66*input!E64</f>
        <v>0</v>
      </c>
      <c r="F66" s="2">
        <f>$M66*input!F64</f>
        <v>0</v>
      </c>
      <c r="G66" s="2">
        <f>$M66*input!G64</f>
        <v>0</v>
      </c>
      <c r="H66" s="2">
        <f>$M66*input!H64</f>
        <v>0</v>
      </c>
      <c r="I66" s="2">
        <f>$M66*input!I64</f>
        <v>0</v>
      </c>
      <c r="J66" s="2">
        <f>$M66*input!J64</f>
        <v>0</v>
      </c>
      <c r="K66" s="2">
        <f>$M66*input!K64</f>
        <v>0</v>
      </c>
      <c r="M66" s="3">
        <v>-1</v>
      </c>
      <c r="N66" s="3" t="s">
        <v>245</v>
      </c>
    </row>
    <row r="67" spans="1:14" ht="13" x14ac:dyDescent="0.15">
      <c r="A67" s="14" t="str">
        <f>input!A65</f>
        <v>C.II.5. Cred. vs imprese sottoposte al controllo delle controllanti entro</v>
      </c>
      <c r="B67" s="2">
        <f>$M67*input!B65</f>
        <v>0</v>
      </c>
      <c r="C67" s="2">
        <f>$M67*input!C65</f>
        <v>0</v>
      </c>
      <c r="D67" s="2">
        <f>$M67*input!D65</f>
        <v>0</v>
      </c>
      <c r="E67" s="2">
        <f>$M67*input!E65</f>
        <v>0</v>
      </c>
      <c r="F67" s="2">
        <f>$M67*input!F65</f>
        <v>0</v>
      </c>
      <c r="G67" s="2">
        <f>$M67*input!G65</f>
        <v>0</v>
      </c>
      <c r="H67" s="2">
        <f>$M67*input!H65</f>
        <v>0</v>
      </c>
      <c r="I67" s="2">
        <f>$M67*input!I65</f>
        <v>0</v>
      </c>
      <c r="J67" s="2">
        <f>$M67*input!J65</f>
        <v>0</v>
      </c>
      <c r="K67" s="2">
        <f>$M67*input!K65</f>
        <v>0</v>
      </c>
      <c r="M67" s="3">
        <v>-1</v>
      </c>
      <c r="N67" s="3" t="s">
        <v>245</v>
      </c>
    </row>
    <row r="68" spans="1:14" ht="13" x14ac:dyDescent="0.15">
      <c r="A68" s="14" t="str">
        <f>input!A66</f>
        <v>C.II.5. Cred. vs imprese sottoposte al controllo delle controllanti oltre</v>
      </c>
      <c r="B68" s="2">
        <f>$M68*input!B66</f>
        <v>0</v>
      </c>
      <c r="C68" s="2">
        <f>$M68*input!C66</f>
        <v>0</v>
      </c>
      <c r="D68" s="2">
        <f>$M68*input!D66</f>
        <v>0</v>
      </c>
      <c r="E68" s="2">
        <f>$M68*input!E66</f>
        <v>0</v>
      </c>
      <c r="F68" s="2">
        <f>$M68*input!F66</f>
        <v>0</v>
      </c>
      <c r="G68" s="2">
        <f>$M68*input!G66</f>
        <v>0</v>
      </c>
      <c r="H68" s="2">
        <f>$M68*input!H66</f>
        <v>0</v>
      </c>
      <c r="I68" s="2">
        <f>$M68*input!I66</f>
        <v>0</v>
      </c>
      <c r="J68" s="2">
        <f>$M68*input!J66</f>
        <v>0</v>
      </c>
      <c r="K68" s="2">
        <f>$M68*input!K66</f>
        <v>0</v>
      </c>
      <c r="M68" s="3">
        <v>-1</v>
      </c>
      <c r="N68" s="3" t="s">
        <v>245</v>
      </c>
    </row>
    <row r="69" spans="1:14" ht="13" x14ac:dyDescent="0.15">
      <c r="A69" s="14" t="str">
        <f>input!A67</f>
        <v>C.II.5.bis. Cred. tributari entro</v>
      </c>
      <c r="B69" s="2">
        <f>$M69*input!B67</f>
        <v>11273</v>
      </c>
      <c r="C69" s="2">
        <f>$M69*input!C67</f>
        <v>121727</v>
      </c>
      <c r="D69" s="2">
        <f>$M69*input!D67</f>
        <v>578618</v>
      </c>
      <c r="E69" s="2">
        <f>$M69*input!E67</f>
        <v>112666</v>
      </c>
      <c r="F69" s="2">
        <f>$M69*input!F67</f>
        <v>284700</v>
      </c>
      <c r="G69" s="2">
        <f>$M69*input!G67</f>
        <v>175791</v>
      </c>
      <c r="H69" s="2">
        <f>$M69*input!H67</f>
        <v>57954</v>
      </c>
      <c r="I69" s="2">
        <f>$M69*input!I67</f>
        <v>4758</v>
      </c>
      <c r="J69" s="2">
        <f>$M69*input!J67</f>
        <v>0</v>
      </c>
      <c r="K69" s="2">
        <f>$M69*input!K67</f>
        <v>0</v>
      </c>
      <c r="M69" s="3">
        <v>1</v>
      </c>
      <c r="N69" s="3" t="s">
        <v>257</v>
      </c>
    </row>
    <row r="70" spans="1:14" ht="13" x14ac:dyDescent="0.15">
      <c r="A70" s="14" t="str">
        <f>input!A68</f>
        <v>C.II.5.bis. Cred. tributari oltre</v>
      </c>
      <c r="B70" s="2">
        <f>$M70*input!B68</f>
        <v>12001</v>
      </c>
      <c r="C70" s="2">
        <f>$M70*input!C68</f>
        <v>21254</v>
      </c>
      <c r="D70" s="2">
        <f>$M70*input!D68</f>
        <v>127045</v>
      </c>
      <c r="E70" s="2">
        <f>$M70*input!E68</f>
        <v>34606</v>
      </c>
      <c r="F70" s="2">
        <f>$M70*input!F68</f>
        <v>0</v>
      </c>
      <c r="G70" s="2">
        <f>$M70*input!G68</f>
        <v>0</v>
      </c>
      <c r="H70" s="2">
        <f>$M70*input!H68</f>
        <v>0</v>
      </c>
      <c r="I70" s="2">
        <f>$M70*input!I68</f>
        <v>0</v>
      </c>
      <c r="J70" s="2">
        <f>$M70*input!J68</f>
        <v>0</v>
      </c>
      <c r="K70" s="2">
        <f>$M70*input!K68</f>
        <v>0</v>
      </c>
      <c r="M70" s="3">
        <v>1</v>
      </c>
      <c r="N70" s="3" t="s">
        <v>257</v>
      </c>
    </row>
    <row r="71" spans="1:14" ht="13" x14ac:dyDescent="0.15">
      <c r="A71" s="14" t="str">
        <f>input!A69</f>
        <v>C.II.5.ter. Cred. per imposte anticipate entro</v>
      </c>
      <c r="B71" s="2">
        <f>$M71*input!B69</f>
        <v>0</v>
      </c>
      <c r="C71" s="2">
        <f>$M71*input!C69</f>
        <v>0</v>
      </c>
      <c r="D71" s="2">
        <f>$M71*input!D69</f>
        <v>0</v>
      </c>
      <c r="E71" s="2">
        <f>$M71*input!E69</f>
        <v>0</v>
      </c>
      <c r="F71" s="2">
        <f>$M71*input!F69</f>
        <v>0</v>
      </c>
      <c r="G71" s="2">
        <f>$M71*input!G69</f>
        <v>0</v>
      </c>
      <c r="H71" s="2">
        <f>$M71*input!H69</f>
        <v>0</v>
      </c>
      <c r="I71" s="2">
        <f>$M71*input!I69</f>
        <v>0</v>
      </c>
      <c r="J71" s="2">
        <f>$M71*input!J69</f>
        <v>0</v>
      </c>
      <c r="K71" s="2">
        <f>$M71*input!K69</f>
        <v>0</v>
      </c>
      <c r="M71" s="3">
        <v>1</v>
      </c>
      <c r="N71" s="3" t="s">
        <v>258</v>
      </c>
    </row>
    <row r="72" spans="1:14" ht="13" x14ac:dyDescent="0.15">
      <c r="A72" s="14" t="str">
        <f>input!A70</f>
        <v>C.II.5.ter. Cred. per imposte anticipate oltre</v>
      </c>
      <c r="B72" s="2">
        <f>$M72*input!B70</f>
        <v>0</v>
      </c>
      <c r="C72" s="2">
        <f>$M72*input!C70</f>
        <v>0</v>
      </c>
      <c r="D72" s="2">
        <f>$M72*input!D70</f>
        <v>0</v>
      </c>
      <c r="E72" s="2">
        <f>$M72*input!E70</f>
        <v>0</v>
      </c>
      <c r="F72" s="2">
        <f>$M72*input!F70</f>
        <v>0</v>
      </c>
      <c r="G72" s="2">
        <f>$M72*input!G70</f>
        <v>0</v>
      </c>
      <c r="H72" s="2">
        <f>$M72*input!H70</f>
        <v>0</v>
      </c>
      <c r="I72" s="2">
        <f>$M72*input!I70</f>
        <v>0</v>
      </c>
      <c r="J72" s="2">
        <f>$M72*input!J70</f>
        <v>0</v>
      </c>
      <c r="K72" s="2">
        <f>$M72*input!K70</f>
        <v>0</v>
      </c>
      <c r="M72" s="3">
        <v>1</v>
      </c>
      <c r="N72" s="3" t="s">
        <v>258</v>
      </c>
    </row>
    <row r="73" spans="1:14" ht="13" x14ac:dyDescent="0.15">
      <c r="A73" s="14" t="str">
        <f>input!A71</f>
        <v>C.II.5.quater. Cred. verso altri entro</v>
      </c>
      <c r="B73" s="2">
        <f>$M73*input!B71</f>
        <v>120585</v>
      </c>
      <c r="C73" s="2">
        <f>$M73*input!C71</f>
        <v>110959</v>
      </c>
      <c r="D73" s="2">
        <f>$M73*input!D71</f>
        <v>51330</v>
      </c>
      <c r="E73" s="2">
        <f>$M73*input!E71</f>
        <v>38017</v>
      </c>
      <c r="F73" s="2">
        <f>$M73*input!F71</f>
        <v>39517</v>
      </c>
      <c r="G73" s="2">
        <f>$M73*input!G71</f>
        <v>235230</v>
      </c>
      <c r="H73" s="2">
        <f>$M73*input!H71</f>
        <v>46390</v>
      </c>
      <c r="I73" s="2">
        <f>$M73*input!I71</f>
        <v>49244</v>
      </c>
      <c r="J73" s="2">
        <f>$M73*input!J71</f>
        <v>0</v>
      </c>
      <c r="K73" s="2">
        <f>$M73*input!K71</f>
        <v>0</v>
      </c>
      <c r="M73" s="3">
        <v>1</v>
      </c>
      <c r="N73" s="3" t="s">
        <v>255</v>
      </c>
    </row>
    <row r="74" spans="1:14" ht="13" x14ac:dyDescent="0.15">
      <c r="A74" s="14" t="str">
        <f>input!A72</f>
        <v>C.II.5.quater. Cred. verso altri oltre</v>
      </c>
      <c r="B74" s="2">
        <f>$M74*input!B72</f>
        <v>613458</v>
      </c>
      <c r="C74" s="2">
        <f>$M74*input!C72</f>
        <v>1159030</v>
      </c>
      <c r="D74" s="2">
        <f>$M74*input!D72</f>
        <v>909287</v>
      </c>
      <c r="E74" s="2">
        <f>$M74*input!E72</f>
        <v>8292</v>
      </c>
      <c r="F74" s="2">
        <f>$M74*input!F72</f>
        <v>0</v>
      </c>
      <c r="G74" s="2">
        <f>$M74*input!G72</f>
        <v>0</v>
      </c>
      <c r="H74" s="2">
        <f>$M74*input!H72</f>
        <v>0</v>
      </c>
      <c r="I74" s="2">
        <f>$M74*input!I72</f>
        <v>0</v>
      </c>
      <c r="J74" s="2">
        <f>$M74*input!J72</f>
        <v>0</v>
      </c>
      <c r="K74" s="2">
        <f>$M74*input!K72</f>
        <v>0</v>
      </c>
      <c r="M74" s="3">
        <v>1</v>
      </c>
      <c r="N74" s="3" t="s">
        <v>255</v>
      </c>
    </row>
    <row r="75" spans="1:14" ht="13" x14ac:dyDescent="0.15">
      <c r="A75" s="14" t="str">
        <f>input!A73</f>
        <v>C.II. Crediti a breve</v>
      </c>
      <c r="B75" s="2">
        <f>$M75*input!B73</f>
        <v>4388257</v>
      </c>
      <c r="C75" s="2">
        <f>$M75*input!C73</f>
        <v>4129462</v>
      </c>
      <c r="D75" s="2">
        <f>$M75*input!D73</f>
        <v>3596151</v>
      </c>
      <c r="E75" s="2">
        <f>$M75*input!E73</f>
        <v>3331299</v>
      </c>
      <c r="F75" s="2">
        <f>$M75*input!F73</f>
        <v>3111429</v>
      </c>
      <c r="G75" s="2">
        <f>$M75*input!G73</f>
        <v>3053922</v>
      </c>
      <c r="H75" s="2">
        <f>$M75*input!H73</f>
        <v>2457865</v>
      </c>
      <c r="I75" s="2">
        <f>$M75*input!I73</f>
        <v>2435304</v>
      </c>
      <c r="J75" s="2">
        <f>$M75*input!J73</f>
        <v>0</v>
      </c>
      <c r="K75" s="2">
        <f>$M75*input!K73</f>
        <v>0</v>
      </c>
      <c r="M75" s="3">
        <v>1</v>
      </c>
    </row>
    <row r="76" spans="1:14" ht="13" x14ac:dyDescent="0.15">
      <c r="A76" s="14" t="str">
        <f>input!A74</f>
        <v>Crediti per imposte anticipate</v>
      </c>
      <c r="B76" s="2">
        <f>$M76*input!B74</f>
        <v>0</v>
      </c>
      <c r="C76" s="2">
        <f>$M76*input!C74</f>
        <v>0</v>
      </c>
      <c r="D76" s="2">
        <f>$M76*input!D74</f>
        <v>0</v>
      </c>
      <c r="E76" s="2">
        <f>$M76*input!E74</f>
        <v>0</v>
      </c>
      <c r="F76" s="2">
        <f>$M76*input!F74</f>
        <v>0</v>
      </c>
      <c r="G76" s="2">
        <f>$M76*input!G74</f>
        <v>0</v>
      </c>
      <c r="H76" s="2">
        <f>$M76*input!H74</f>
        <v>0</v>
      </c>
      <c r="I76" s="2">
        <f>$M76*input!I74</f>
        <v>0</v>
      </c>
      <c r="J76" s="2">
        <f>$M76*input!J74</f>
        <v>0</v>
      </c>
      <c r="K76" s="2">
        <f>$M76*input!K74</f>
        <v>0</v>
      </c>
      <c r="M76" s="3">
        <v>1</v>
      </c>
    </row>
    <row r="77" spans="1:14" ht="13" x14ac:dyDescent="0.15">
      <c r="A77" s="14" t="str">
        <f>input!A75</f>
        <v>C.II. Crediti a oltre</v>
      </c>
      <c r="B77" s="2">
        <f>$M77*input!B75</f>
        <v>625459</v>
      </c>
      <c r="C77" s="2">
        <f>$M77*input!C75</f>
        <v>1180284</v>
      </c>
      <c r="D77" s="2">
        <f>$M77*input!D75</f>
        <v>1036332</v>
      </c>
      <c r="E77" s="2">
        <f>$M77*input!E75</f>
        <v>42898</v>
      </c>
      <c r="F77" s="2">
        <f>$M77*input!F75</f>
        <v>0</v>
      </c>
      <c r="G77" s="2">
        <f>$M77*input!G75</f>
        <v>0</v>
      </c>
      <c r="H77" s="2">
        <f>$M77*input!H75</f>
        <v>0</v>
      </c>
      <c r="I77" s="2">
        <f>$M77*input!I75</f>
        <v>0</v>
      </c>
      <c r="J77" s="2">
        <f>$M77*input!J75</f>
        <v>0</v>
      </c>
      <c r="K77" s="2">
        <f>$M77*input!K75</f>
        <v>0</v>
      </c>
      <c r="M77" s="3">
        <v>1</v>
      </c>
    </row>
    <row r="78" spans="1:14" ht="13" x14ac:dyDescent="0.15">
      <c r="A78" s="13" t="str">
        <f>input!A76</f>
        <v>C.III. TOTALE ATTIVITA' FINANZIARIE</v>
      </c>
      <c r="B78" s="2">
        <f>$M78*input!B76</f>
        <v>0</v>
      </c>
      <c r="C78" s="2">
        <f>$M78*input!C76</f>
        <v>0</v>
      </c>
      <c r="D78" s="2">
        <f>$M78*input!D76</f>
        <v>0</v>
      </c>
      <c r="E78" s="2">
        <f>$M78*input!E76</f>
        <v>0</v>
      </c>
      <c r="F78" s="2">
        <f>$M78*input!F76</f>
        <v>0</v>
      </c>
      <c r="G78" s="2">
        <f>$M78*input!G76</f>
        <v>0</v>
      </c>
      <c r="H78" s="2">
        <f>$M78*input!H76</f>
        <v>0</v>
      </c>
      <c r="I78" s="2">
        <f>$M78*input!I76</f>
        <v>0</v>
      </c>
      <c r="J78" s="2">
        <f>$M78*input!J76</f>
        <v>0</v>
      </c>
      <c r="K78" s="2">
        <f>$M78*input!K76</f>
        <v>0</v>
      </c>
      <c r="M78" s="3">
        <v>1</v>
      </c>
    </row>
    <row r="79" spans="1:14" ht="13" x14ac:dyDescent="0.15">
      <c r="A79" s="14" t="str">
        <f>input!A77</f>
        <v>C.III.1. Partec.ni in Controllate</v>
      </c>
      <c r="B79" s="2">
        <f>$M79*input!B77</f>
        <v>0</v>
      </c>
      <c r="C79" s="2">
        <f>$M79*input!C77</f>
        <v>0</v>
      </c>
      <c r="D79" s="2">
        <f>$M79*input!D77</f>
        <v>0</v>
      </c>
      <c r="E79" s="2">
        <f>$M79*input!E77</f>
        <v>0</v>
      </c>
      <c r="F79" s="2">
        <f>$M79*input!F77</f>
        <v>0</v>
      </c>
      <c r="G79" s="2">
        <f>$M79*input!G77</f>
        <v>0</v>
      </c>
      <c r="H79" s="2">
        <f>$M79*input!H77</f>
        <v>0</v>
      </c>
      <c r="I79" s="2">
        <f>$M79*input!I77</f>
        <v>0</v>
      </c>
      <c r="J79" s="2">
        <f>$M79*input!J77</f>
        <v>0</v>
      </c>
      <c r="K79" s="2">
        <f>$M79*input!K77</f>
        <v>0</v>
      </c>
      <c r="M79" s="3">
        <v>1</v>
      </c>
      <c r="N79" s="3" t="s">
        <v>248</v>
      </c>
    </row>
    <row r="80" spans="1:14" ht="13" x14ac:dyDescent="0.15">
      <c r="A80" s="14" t="str">
        <f>input!A78</f>
        <v>C.III.2. Partec.ni in Collegate</v>
      </c>
      <c r="B80" s="2">
        <f>$M80*input!B78</f>
        <v>0</v>
      </c>
      <c r="C80" s="2">
        <f>$M80*input!C78</f>
        <v>0</v>
      </c>
      <c r="D80" s="2">
        <f>$M80*input!D78</f>
        <v>0</v>
      </c>
      <c r="E80" s="2">
        <f>$M80*input!E78</f>
        <v>0</v>
      </c>
      <c r="F80" s="2">
        <f>$M80*input!F78</f>
        <v>0</v>
      </c>
      <c r="G80" s="2">
        <f>$M80*input!G78</f>
        <v>0</v>
      </c>
      <c r="H80" s="2">
        <f>$M80*input!H78</f>
        <v>0</v>
      </c>
      <c r="I80" s="2">
        <f>$M80*input!I78</f>
        <v>0</v>
      </c>
      <c r="J80" s="2">
        <f>$M80*input!J78</f>
        <v>0</v>
      </c>
      <c r="K80" s="2">
        <f>$M80*input!K78</f>
        <v>0</v>
      </c>
      <c r="M80" s="3">
        <v>1</v>
      </c>
      <c r="N80" s="3" t="s">
        <v>248</v>
      </c>
    </row>
    <row r="81" spans="1:14" ht="13" x14ac:dyDescent="0.15">
      <c r="A81" s="14" t="str">
        <f>input!A79</f>
        <v>C.III.3. Partec.ni in Controllanti</v>
      </c>
      <c r="B81" s="2">
        <f>$M81*input!B79</f>
        <v>0</v>
      </c>
      <c r="C81" s="2">
        <f>$M81*input!C79</f>
        <v>0</v>
      </c>
      <c r="D81" s="2">
        <f>$M81*input!D79</f>
        <v>0</v>
      </c>
      <c r="E81" s="2">
        <f>$M81*input!E79</f>
        <v>0</v>
      </c>
      <c r="F81" s="2">
        <f>$M81*input!F79</f>
        <v>0</v>
      </c>
      <c r="G81" s="2">
        <f>$M81*input!G79</f>
        <v>0</v>
      </c>
      <c r="H81" s="2">
        <f>$M81*input!H79</f>
        <v>0</v>
      </c>
      <c r="I81" s="2">
        <f>$M81*input!I79</f>
        <v>0</v>
      </c>
      <c r="J81" s="2">
        <f>$M81*input!J79</f>
        <v>0</v>
      </c>
      <c r="K81" s="2">
        <f>$M81*input!K79</f>
        <v>0</v>
      </c>
      <c r="M81" s="3">
        <v>-1</v>
      </c>
      <c r="N81" s="3" t="s">
        <v>249</v>
      </c>
    </row>
    <row r="82" spans="1:14" ht="13" x14ac:dyDescent="0.15">
      <c r="A82" s="14" t="str">
        <f>input!A80</f>
        <v>C.III.3.bis. Partec.ni in imprese sottoposte al controllo delle controllanti</v>
      </c>
      <c r="B82" s="2">
        <f>$M82*input!B80</f>
        <v>0</v>
      </c>
      <c r="C82" s="2">
        <f>$M82*input!C80</f>
        <v>0</v>
      </c>
      <c r="D82" s="2">
        <f>$M82*input!D80</f>
        <v>0</v>
      </c>
      <c r="E82" s="2">
        <f>$M82*input!E80</f>
        <v>0</v>
      </c>
      <c r="F82" s="2">
        <f>$M82*input!F80</f>
        <v>0</v>
      </c>
      <c r="G82" s="2">
        <f>$M82*input!G80</f>
        <v>0</v>
      </c>
      <c r="H82" s="2">
        <f>$M82*input!H80</f>
        <v>0</v>
      </c>
      <c r="I82" s="2">
        <f>$M82*input!I80</f>
        <v>0</v>
      </c>
      <c r="J82" s="2">
        <f>$M82*input!J80</f>
        <v>0</v>
      </c>
      <c r="K82" s="2">
        <f>$M82*input!K80</f>
        <v>0</v>
      </c>
      <c r="M82" s="3">
        <v>-1</v>
      </c>
      <c r="N82" s="3" t="s">
        <v>249</v>
      </c>
    </row>
    <row r="83" spans="1:14" ht="13" x14ac:dyDescent="0.15">
      <c r="A83" s="14" t="str">
        <f>input!A81</f>
        <v>C.III.4. Altre Partec.ni</v>
      </c>
      <c r="B83" s="2">
        <f>$M83*input!B81</f>
        <v>0</v>
      </c>
      <c r="C83" s="2">
        <f>$M83*input!C81</f>
        <v>0</v>
      </c>
      <c r="D83" s="2">
        <f>$M83*input!D81</f>
        <v>0</v>
      </c>
      <c r="E83" s="2">
        <f>$M83*input!E81</f>
        <v>0</v>
      </c>
      <c r="F83" s="2">
        <f>$M83*input!F81</f>
        <v>0</v>
      </c>
      <c r="G83" s="2">
        <f>$M83*input!G81</f>
        <v>0</v>
      </c>
      <c r="H83" s="2">
        <f>$M83*input!H81</f>
        <v>0</v>
      </c>
      <c r="I83" s="2">
        <f>$M83*input!I81</f>
        <v>0</v>
      </c>
      <c r="J83" s="2">
        <f>$M83*input!J81</f>
        <v>0</v>
      </c>
      <c r="K83" s="2">
        <f>$M83*input!K81</f>
        <v>0</v>
      </c>
      <c r="M83" s="3">
        <v>1</v>
      </c>
      <c r="N83" s="3" t="s">
        <v>248</v>
      </c>
    </row>
    <row r="84" spans="1:14" ht="13" x14ac:dyDescent="0.15">
      <c r="A84" s="14" t="str">
        <f>input!A82</f>
        <v>C.III.4.bis. Azioni proprie</v>
      </c>
      <c r="B84" s="2">
        <f>$M84*input!B82</f>
        <v>0</v>
      </c>
      <c r="C84" s="2">
        <f>$M84*input!C82</f>
        <v>0</v>
      </c>
      <c r="D84" s="2">
        <f>$M84*input!D82</f>
        <v>0</v>
      </c>
      <c r="E84" s="2">
        <f>$M84*input!E82</f>
        <v>0</v>
      </c>
      <c r="F84" s="2">
        <f>$M84*input!F82</f>
        <v>0</v>
      </c>
      <c r="G84" s="2">
        <f>$M84*input!G82</f>
        <v>0</v>
      </c>
      <c r="H84" s="2">
        <f>$M84*input!H82</f>
        <v>0</v>
      </c>
      <c r="I84" s="2">
        <f>$M84*input!I82</f>
        <v>0</v>
      </c>
      <c r="J84" s="2">
        <f>$M84*input!J82</f>
        <v>0</v>
      </c>
      <c r="K84" s="2">
        <f>$M84*input!K82</f>
        <v>0</v>
      </c>
      <c r="M84" s="3">
        <v>-1</v>
      </c>
      <c r="N84" s="3" t="s">
        <v>249</v>
      </c>
    </row>
    <row r="85" spans="1:14" ht="13" x14ac:dyDescent="0.15">
      <c r="A85" s="14" t="str">
        <f>input!A83</f>
        <v>Azioni proprie DI CUI: Val nominale</v>
      </c>
      <c r="B85" s="2">
        <f>$M85*input!B83</f>
        <v>0</v>
      </c>
      <c r="C85" s="2">
        <f>$M85*input!C83</f>
        <v>0</v>
      </c>
      <c r="D85" s="2">
        <f>$M85*input!D83</f>
        <v>0</v>
      </c>
      <c r="E85" s="2">
        <f>$M85*input!E83</f>
        <v>0</v>
      </c>
      <c r="F85" s="2">
        <f>$M85*input!F83</f>
        <v>0</v>
      </c>
      <c r="G85" s="2">
        <f>$M85*input!G83</f>
        <v>0</v>
      </c>
      <c r="H85" s="2">
        <f>$M85*input!H83</f>
        <v>0</v>
      </c>
      <c r="I85" s="2">
        <f>$M85*input!I83</f>
        <v>0</v>
      </c>
      <c r="J85" s="2">
        <f>$M85*input!J83</f>
        <v>0</v>
      </c>
      <c r="K85" s="2">
        <f>$M85*input!K83</f>
        <v>0</v>
      </c>
      <c r="M85" s="3">
        <v>1</v>
      </c>
    </row>
    <row r="86" spans="1:14" ht="13" x14ac:dyDescent="0.15">
      <c r="A86" s="14" t="str">
        <f>input!A84</f>
        <v>C.III.5. Strumenti finanziari derivati attivi</v>
      </c>
      <c r="B86" s="2">
        <f>$M86*input!B84</f>
        <v>0</v>
      </c>
      <c r="C86" s="2">
        <f>$M86*input!C84</f>
        <v>0</v>
      </c>
      <c r="D86" s="2">
        <f>$M86*input!D84</f>
        <v>0</v>
      </c>
      <c r="E86" s="2">
        <f>$M86*input!E84</f>
        <v>0</v>
      </c>
      <c r="F86" s="2">
        <f>$M86*input!F84</f>
        <v>0</v>
      </c>
      <c r="G86" s="2">
        <f>$M86*input!G84</f>
        <v>0</v>
      </c>
      <c r="H86" s="2">
        <f>$M86*input!H84</f>
        <v>0</v>
      </c>
      <c r="I86" s="2">
        <f>$M86*input!I84</f>
        <v>0</v>
      </c>
      <c r="J86" s="2">
        <f>$M86*input!J84</f>
        <v>0</v>
      </c>
      <c r="K86" s="2">
        <f>$M86*input!K84</f>
        <v>0</v>
      </c>
      <c r="M86" s="3">
        <v>1</v>
      </c>
      <c r="N86" s="3" t="s">
        <v>252</v>
      </c>
    </row>
    <row r="87" spans="1:14" ht="13" x14ac:dyDescent="0.15">
      <c r="A87" s="14" t="str">
        <f>input!A85</f>
        <v>C.III.6. Altri titoli</v>
      </c>
      <c r="B87" s="2">
        <f>$M87*input!B85</f>
        <v>0</v>
      </c>
      <c r="C87" s="2">
        <f>$M87*input!C85</f>
        <v>0</v>
      </c>
      <c r="D87" s="2">
        <f>$M87*input!D85</f>
        <v>0</v>
      </c>
      <c r="E87" s="2">
        <f>$M87*input!E85</f>
        <v>0</v>
      </c>
      <c r="F87" s="2">
        <f>$M87*input!F85</f>
        <v>0</v>
      </c>
      <c r="G87" s="2">
        <f>$M87*input!G85</f>
        <v>0</v>
      </c>
      <c r="H87" s="2">
        <f>$M87*input!H85</f>
        <v>0</v>
      </c>
      <c r="I87" s="2">
        <f>$M87*input!I85</f>
        <v>0</v>
      </c>
      <c r="J87" s="2">
        <f>$M87*input!J85</f>
        <v>0</v>
      </c>
      <c r="K87" s="2">
        <f>$M87*input!K85</f>
        <v>0</v>
      </c>
      <c r="M87" s="3">
        <v>1</v>
      </c>
      <c r="N87" s="3" t="s">
        <v>259</v>
      </c>
    </row>
    <row r="88" spans="1:14" ht="13" x14ac:dyDescent="0.15">
      <c r="A88" s="14" t="str">
        <f>input!A86</f>
        <v>C.III.7. Attività finanziarie per la gestione accentrata della tesoreria</v>
      </c>
      <c r="B88" s="2">
        <f>$M88*input!B86</f>
        <v>0</v>
      </c>
      <c r="C88" s="2">
        <f>$M88*input!C86</f>
        <v>0</v>
      </c>
      <c r="D88" s="2">
        <f>$M88*input!D86</f>
        <v>0</v>
      </c>
      <c r="E88" s="2">
        <f>$M88*input!E86</f>
        <v>0</v>
      </c>
      <c r="F88" s="2">
        <f>$M88*input!F86</f>
        <v>0</v>
      </c>
      <c r="G88" s="2">
        <f>$M88*input!G86</f>
        <v>0</v>
      </c>
      <c r="H88" s="2">
        <f>$M88*input!H86</f>
        <v>0</v>
      </c>
      <c r="I88" s="2">
        <f>$M88*input!I86</f>
        <v>0</v>
      </c>
      <c r="J88" s="2">
        <f>$M88*input!J86</f>
        <v>0</v>
      </c>
      <c r="K88" s="2">
        <f>$M88*input!K86</f>
        <v>0</v>
      </c>
      <c r="M88" s="3">
        <v>1</v>
      </c>
      <c r="N88" s="3" t="s">
        <v>260</v>
      </c>
    </row>
    <row r="89" spans="1:14" ht="13" x14ac:dyDescent="0.15">
      <c r="A89" s="13" t="str">
        <f>input!A87</f>
        <v>C.IV. TOT. DISPON. LIQUIDE</v>
      </c>
      <c r="B89" s="2">
        <f>$M89*input!B87</f>
        <v>242430</v>
      </c>
      <c r="C89" s="2">
        <f>$M89*input!C87</f>
        <v>891542</v>
      </c>
      <c r="D89" s="2">
        <f>$M89*input!D87</f>
        <v>1157532</v>
      </c>
      <c r="E89" s="2">
        <f>$M89*input!E87</f>
        <v>2269671</v>
      </c>
      <c r="F89" s="2">
        <f>$M89*input!F87</f>
        <v>1988631</v>
      </c>
      <c r="G89" s="2">
        <f>$M89*input!G87</f>
        <v>603929</v>
      </c>
      <c r="H89" s="2">
        <f>$M89*input!H87</f>
        <v>337078</v>
      </c>
      <c r="I89" s="2">
        <f>$M89*input!I87</f>
        <v>712788</v>
      </c>
      <c r="J89" s="2">
        <f>$M89*input!J87</f>
        <v>0</v>
      </c>
      <c r="K89" s="2">
        <f>$M89*input!K87</f>
        <v>0</v>
      </c>
      <c r="M89" s="3">
        <v>1</v>
      </c>
    </row>
    <row r="90" spans="1:14" ht="13" x14ac:dyDescent="0.15">
      <c r="A90" s="14" t="str">
        <f>input!A88</f>
        <v>C.IV.1. Depositi bancari</v>
      </c>
      <c r="B90" s="2">
        <f>$M90*input!B88</f>
        <v>241919</v>
      </c>
      <c r="C90" s="2">
        <f>$M90*input!C88</f>
        <v>891422</v>
      </c>
      <c r="D90" s="2">
        <f>$M90*input!D88</f>
        <v>1157445</v>
      </c>
      <c r="E90" s="2">
        <f>$M90*input!E88</f>
        <v>2269599</v>
      </c>
      <c r="F90" s="2">
        <f>$M90*input!F88</f>
        <v>1988227</v>
      </c>
      <c r="G90" s="2">
        <f>$M90*input!G88</f>
        <v>603874</v>
      </c>
      <c r="H90" s="2">
        <f>$M90*input!H88</f>
        <v>336843</v>
      </c>
      <c r="I90" s="2">
        <f>$M90*input!I88</f>
        <v>712192</v>
      </c>
      <c r="J90" s="2">
        <f>$M90*input!J88</f>
        <v>0</v>
      </c>
      <c r="K90" s="2">
        <f>$M90*input!K88</f>
        <v>0</v>
      </c>
      <c r="M90" s="3">
        <v>1</v>
      </c>
      <c r="N90" s="3" t="s">
        <v>260</v>
      </c>
    </row>
    <row r="91" spans="1:14" ht="13" x14ac:dyDescent="0.15">
      <c r="A91" s="14" t="str">
        <f>input!A89</f>
        <v>C.IV.2. Assegni</v>
      </c>
      <c r="B91" s="2">
        <f>$M91*input!B89</f>
        <v>0</v>
      </c>
      <c r="C91" s="2">
        <f>$M91*input!C89</f>
        <v>0</v>
      </c>
      <c r="D91" s="2">
        <f>$M91*input!D89</f>
        <v>0</v>
      </c>
      <c r="E91" s="2">
        <f>$M91*input!E89</f>
        <v>0</v>
      </c>
      <c r="F91" s="2">
        <f>$M91*input!F89</f>
        <v>0</v>
      </c>
      <c r="G91" s="2">
        <f>$M91*input!G89</f>
        <v>0</v>
      </c>
      <c r="H91" s="2">
        <f>$M91*input!H89</f>
        <v>0</v>
      </c>
      <c r="I91" s="2">
        <f>$M91*input!I89</f>
        <v>0</v>
      </c>
      <c r="J91" s="2">
        <f>$M91*input!J89</f>
        <v>0</v>
      </c>
      <c r="K91" s="2">
        <f>$M91*input!K89</f>
        <v>0</v>
      </c>
      <c r="M91" s="3">
        <v>1</v>
      </c>
      <c r="N91" s="3" t="s">
        <v>260</v>
      </c>
    </row>
    <row r="92" spans="1:14" ht="13" x14ac:dyDescent="0.15">
      <c r="A92" s="14" t="str">
        <f>input!A90</f>
        <v>C.IV.3. Denaro in cassa</v>
      </c>
      <c r="B92" s="2">
        <f>$M92*input!B90</f>
        <v>511</v>
      </c>
      <c r="C92" s="2">
        <f>$M92*input!C90</f>
        <v>120</v>
      </c>
      <c r="D92" s="2">
        <f>$M92*input!D90</f>
        <v>87</v>
      </c>
      <c r="E92" s="2">
        <f>$M92*input!E90</f>
        <v>72</v>
      </c>
      <c r="F92" s="2">
        <f>$M92*input!F90</f>
        <v>404</v>
      </c>
      <c r="G92" s="2">
        <f>$M92*input!G90</f>
        <v>55</v>
      </c>
      <c r="H92" s="2">
        <f>$M92*input!H90</f>
        <v>235</v>
      </c>
      <c r="I92" s="2">
        <f>$M92*input!I90</f>
        <v>596</v>
      </c>
      <c r="J92" s="2">
        <f>$M92*input!J90</f>
        <v>0</v>
      </c>
      <c r="K92" s="2">
        <f>$M92*input!K90</f>
        <v>0</v>
      </c>
      <c r="M92" s="3">
        <v>1</v>
      </c>
      <c r="N92" s="3" t="s">
        <v>260</v>
      </c>
    </row>
    <row r="93" spans="1:14" s="11" customFormat="1" ht="13.5" customHeight="1" x14ac:dyDescent="0.15">
      <c r="A93" s="9" t="str">
        <f>input!A91</f>
        <v>D. RATEI E RISCONTI</v>
      </c>
      <c r="B93" s="10">
        <f>$M93*input!B91</f>
        <v>82949</v>
      </c>
      <c r="C93" s="10">
        <f>$M93*input!C91</f>
        <v>66553</v>
      </c>
      <c r="D93" s="10">
        <f>$M93*input!D91</f>
        <v>67834</v>
      </c>
      <c r="E93" s="10">
        <f>$M93*input!E91</f>
        <v>70670</v>
      </c>
      <c r="F93" s="10">
        <f>$M93*input!F91</f>
        <v>65092</v>
      </c>
      <c r="G93" s="10">
        <f>$M93*input!G91</f>
        <v>26537</v>
      </c>
      <c r="H93" s="10">
        <f>$M93*input!H91</f>
        <v>36724</v>
      </c>
      <c r="I93" s="10">
        <f>$M93*input!I91</f>
        <v>24511</v>
      </c>
      <c r="J93" s="10">
        <f>$M93*input!J91</f>
        <v>0</v>
      </c>
      <c r="K93" s="10">
        <f>$M93*input!K91</f>
        <v>0</v>
      </c>
      <c r="M93" s="11">
        <v>1</v>
      </c>
      <c r="N93" s="11" t="s">
        <v>255</v>
      </c>
    </row>
    <row r="94" spans="1:14" ht="13" x14ac:dyDescent="0.15">
      <c r="A94" s="13" t="str">
        <f>input!A92</f>
        <v>Disaggio su prestiti</v>
      </c>
      <c r="B94" s="2">
        <f>$M94*input!B92</f>
        <v>0</v>
      </c>
      <c r="C94" s="2">
        <f>$M94*input!C92</f>
        <v>0</v>
      </c>
      <c r="D94" s="2">
        <f>$M94*input!D92</f>
        <v>0</v>
      </c>
      <c r="E94" s="2">
        <f>$M94*input!E92</f>
        <v>0</v>
      </c>
      <c r="F94" s="2">
        <f>$M94*input!F92</f>
        <v>0</v>
      </c>
      <c r="G94" s="2">
        <f>$M94*input!G92</f>
        <v>0</v>
      </c>
      <c r="H94" s="2">
        <f>$M94*input!H92</f>
        <v>0</v>
      </c>
      <c r="I94" s="2">
        <f>$M94*input!I92</f>
        <v>0</v>
      </c>
      <c r="J94" s="2">
        <f>$M94*input!J92</f>
        <v>0</v>
      </c>
      <c r="K94" s="2">
        <f>$M94*input!K92</f>
        <v>0</v>
      </c>
      <c r="M94" s="3">
        <v>1</v>
      </c>
    </row>
    <row r="95" spans="1:14" s="19" customFormat="1" ht="13.5" customHeight="1" x14ac:dyDescent="0.15">
      <c r="A95" s="17" t="str">
        <f>input!A93</f>
        <v>TOTALE ATTIVO</v>
      </c>
      <c r="B95" s="18">
        <f>$M95*input!B93</f>
        <v>18790859</v>
      </c>
      <c r="C95" s="18">
        <f>$M95*input!C93</f>
        <v>20554377</v>
      </c>
      <c r="D95" s="18">
        <f>$M95*input!D93</f>
        <v>20723060</v>
      </c>
      <c r="E95" s="18">
        <f>$M95*input!E93</f>
        <v>18204611</v>
      </c>
      <c r="F95" s="18">
        <f>$M95*input!F93</f>
        <v>14795011</v>
      </c>
      <c r="G95" s="18">
        <f>$M95*input!G93</f>
        <v>9311398</v>
      </c>
      <c r="H95" s="18">
        <f>$M95*input!H93</f>
        <v>6455031</v>
      </c>
      <c r="I95" s="18">
        <f>$M95*input!I93</f>
        <v>6151737</v>
      </c>
      <c r="J95" s="18">
        <f>$M95*input!J93</f>
        <v>0</v>
      </c>
      <c r="K95" s="18">
        <f>$M95*input!K93</f>
        <v>0</v>
      </c>
      <c r="L95" s="11"/>
      <c r="M95" s="11">
        <v>1</v>
      </c>
    </row>
    <row r="96" spans="1:14" ht="13" x14ac:dyDescent="0.15">
      <c r="A96" s="3"/>
    </row>
    <row r="97" spans="1:14" ht="18" customHeight="1" x14ac:dyDescent="0.15">
      <c r="A97" s="20" t="str">
        <f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pans="1:14" s="11" customFormat="1" ht="13.5" customHeight="1" x14ac:dyDescent="0.15">
      <c r="A98" s="9" t="str">
        <f>input!A95</f>
        <v>PATRIMONIO NETTO</v>
      </c>
      <c r="B98" s="10">
        <f>$M98*input!B95</f>
        <v>0</v>
      </c>
      <c r="C98" s="10">
        <f>$M98*input!C95</f>
        <v>0</v>
      </c>
      <c r="D98" s="10">
        <f>$M98*input!D95</f>
        <v>0</v>
      </c>
      <c r="E98" s="10">
        <f>$M98*input!E95</f>
        <v>0</v>
      </c>
      <c r="F98" s="10">
        <f>$M98*input!F95</f>
        <v>0</v>
      </c>
      <c r="G98" s="10">
        <f>$M98*input!G95</f>
        <v>0</v>
      </c>
      <c r="H98" s="10">
        <f>$M98*input!H95</f>
        <v>0</v>
      </c>
      <c r="I98" s="10">
        <f>$M98*input!I95</f>
        <v>0</v>
      </c>
      <c r="J98" s="10">
        <f>$M98*input!J95</f>
        <v>0</v>
      </c>
      <c r="K98" s="10">
        <f>$M98*input!K95</f>
        <v>0</v>
      </c>
      <c r="M98" s="11">
        <v>1</v>
      </c>
    </row>
    <row r="99" spans="1:14" ht="13" x14ac:dyDescent="0.15">
      <c r="A99" s="1" t="str">
        <f>input!A96</f>
        <v>A. TOTALE PATRIMONIO NETTO</v>
      </c>
      <c r="B99" s="2">
        <f>$M99*input!B96</f>
        <v>5757287</v>
      </c>
      <c r="C99" s="2">
        <f>$M99*input!C96</f>
        <v>5227552</v>
      </c>
      <c r="D99" s="2">
        <f>$M99*input!D96</f>
        <v>4660887</v>
      </c>
      <c r="E99" s="2">
        <f>$M99*input!E96</f>
        <v>4082303</v>
      </c>
      <c r="F99" s="2">
        <f>$M99*input!F96</f>
        <v>3206001</v>
      </c>
      <c r="G99" s="2">
        <f>$M99*input!G96</f>
        <v>2384718</v>
      </c>
      <c r="H99" s="2">
        <f>$M99*input!H96</f>
        <v>1733081</v>
      </c>
      <c r="I99" s="2">
        <f>$M99*input!I96</f>
        <v>1062658</v>
      </c>
      <c r="J99" s="2">
        <f>$M99*input!J96</f>
        <v>0</v>
      </c>
      <c r="K99" s="2">
        <f>$M99*input!K96</f>
        <v>0</v>
      </c>
      <c r="M99" s="3">
        <v>1</v>
      </c>
    </row>
    <row r="100" spans="1:14" ht="13" x14ac:dyDescent="0.15">
      <c r="A100" s="13" t="str">
        <f>input!A97</f>
        <v>A.I. Capitale sociale</v>
      </c>
      <c r="B100" s="2">
        <f>$M100*input!B97</f>
        <v>140000</v>
      </c>
      <c r="C100" s="2">
        <f>$M100*input!C97</f>
        <v>140000</v>
      </c>
      <c r="D100" s="2">
        <f>$M100*input!D97</f>
        <v>140000</v>
      </c>
      <c r="E100" s="2">
        <f>$M100*input!E97</f>
        <v>140000</v>
      </c>
      <c r="F100" s="2">
        <f>$M100*input!F97</f>
        <v>140000</v>
      </c>
      <c r="G100" s="2">
        <f>$M100*input!G97</f>
        <v>140000</v>
      </c>
      <c r="H100" s="2">
        <f>$M100*input!H97</f>
        <v>140000</v>
      </c>
      <c r="I100" s="2">
        <f>$M100*input!I97</f>
        <v>140000</v>
      </c>
      <c r="J100" s="2">
        <f>$M100*input!J97</f>
        <v>0</v>
      </c>
      <c r="K100" s="2">
        <f>$M100*input!K97</f>
        <v>0</v>
      </c>
      <c r="M100" s="3">
        <v>1</v>
      </c>
      <c r="N100" s="3" t="s">
        <v>261</v>
      </c>
    </row>
    <row r="101" spans="1:14" ht="13" x14ac:dyDescent="0.15">
      <c r="A101" s="14" t="str">
        <f>input!A98</f>
        <v>di cui: Versamenti soci in c/capitale</v>
      </c>
      <c r="B101" s="2">
        <f>$M101*input!B98</f>
        <v>0</v>
      </c>
      <c r="C101" s="2">
        <f>$M101*input!C98</f>
        <v>0</v>
      </c>
      <c r="D101" s="2">
        <f>$M101*input!D98</f>
        <v>0</v>
      </c>
      <c r="E101" s="2">
        <f>$M101*input!E98</f>
        <v>0</v>
      </c>
      <c r="F101" s="2">
        <f>$M101*input!F98</f>
        <v>0</v>
      </c>
      <c r="G101" s="2">
        <f>$M101*input!G98</f>
        <v>0</v>
      </c>
      <c r="H101" s="2">
        <f>$M101*input!H98</f>
        <v>0</v>
      </c>
      <c r="I101" s="2">
        <f>$M101*input!I98</f>
        <v>0</v>
      </c>
      <c r="J101" s="2">
        <f>$M101*input!J98</f>
        <v>0</v>
      </c>
      <c r="K101" s="2">
        <f>$M101*input!K98</f>
        <v>0</v>
      </c>
      <c r="M101" s="3">
        <v>1</v>
      </c>
    </row>
    <row r="102" spans="1:14" ht="13" x14ac:dyDescent="0.15">
      <c r="A102" s="14" t="str">
        <f>input!A99</f>
        <v>di cui: Versamenti in c/futuro aumento di capitale</v>
      </c>
      <c r="B102" s="2">
        <f>$M102*input!B99</f>
        <v>0</v>
      </c>
      <c r="C102" s="2">
        <f>$M102*input!C99</f>
        <v>0</v>
      </c>
      <c r="D102" s="2">
        <f>$M102*input!D99</f>
        <v>0</v>
      </c>
      <c r="E102" s="2">
        <f>$M102*input!E99</f>
        <v>0</v>
      </c>
      <c r="F102" s="2">
        <f>$M102*input!F99</f>
        <v>0</v>
      </c>
      <c r="G102" s="2">
        <f>$M102*input!G99</f>
        <v>0</v>
      </c>
      <c r="H102" s="2">
        <f>$M102*input!H99</f>
        <v>0</v>
      </c>
      <c r="I102" s="2">
        <f>$M102*input!I99</f>
        <v>0</v>
      </c>
      <c r="J102" s="2">
        <f>$M102*input!J99</f>
        <v>0</v>
      </c>
      <c r="K102" s="2">
        <f>$M102*input!K99</f>
        <v>0</v>
      </c>
      <c r="M102" s="3">
        <v>1</v>
      </c>
    </row>
    <row r="103" spans="1:14" ht="13" x14ac:dyDescent="0.15">
      <c r="A103" s="14" t="str">
        <f>input!A100</f>
        <v>di cui: Versamenti in c/capitale</v>
      </c>
      <c r="B103" s="2">
        <f>$M103*input!B100</f>
        <v>0</v>
      </c>
      <c r="C103" s="2">
        <f>$M103*input!C100</f>
        <v>0</v>
      </c>
      <c r="D103" s="2">
        <f>$M103*input!D100</f>
        <v>0</v>
      </c>
      <c r="E103" s="2">
        <f>$M103*input!E100</f>
        <v>0</v>
      </c>
      <c r="F103" s="2">
        <f>$M103*input!F100</f>
        <v>0</v>
      </c>
      <c r="G103" s="2">
        <f>$M103*input!G100</f>
        <v>0</v>
      </c>
      <c r="H103" s="2">
        <f>$M103*input!H100</f>
        <v>0</v>
      </c>
      <c r="I103" s="2">
        <f>$M103*input!I100</f>
        <v>0</v>
      </c>
      <c r="J103" s="2">
        <f>$M103*input!J100</f>
        <v>0</v>
      </c>
      <c r="K103" s="2">
        <f>$M103*input!K100</f>
        <v>0</v>
      </c>
      <c r="M103" s="3">
        <v>1</v>
      </c>
    </row>
    <row r="104" spans="1:14" ht="13" x14ac:dyDescent="0.15">
      <c r="A104" s="14" t="str">
        <f>input!A101</f>
        <v>di cui: Versamenti a copertura perdite</v>
      </c>
      <c r="B104" s="2">
        <f>$M104*input!B101</f>
        <v>0</v>
      </c>
      <c r="C104" s="2">
        <f>$M104*input!C101</f>
        <v>0</v>
      </c>
      <c r="D104" s="2">
        <f>$M104*input!D101</f>
        <v>0</v>
      </c>
      <c r="E104" s="2">
        <f>$M104*input!E101</f>
        <v>0</v>
      </c>
      <c r="F104" s="2">
        <f>$M104*input!F101</f>
        <v>0</v>
      </c>
      <c r="G104" s="2">
        <f>$M104*input!G101</f>
        <v>0</v>
      </c>
      <c r="H104" s="2">
        <f>$M104*input!H101</f>
        <v>0</v>
      </c>
      <c r="I104" s="2">
        <f>$M104*input!I101</f>
        <v>0</v>
      </c>
      <c r="J104" s="2">
        <f>$M104*input!J101</f>
        <v>0</v>
      </c>
      <c r="K104" s="2">
        <f>$M104*input!K101</f>
        <v>0</v>
      </c>
      <c r="M104" s="3">
        <v>1</v>
      </c>
    </row>
    <row r="105" spans="1:14" ht="13" x14ac:dyDescent="0.15">
      <c r="A105" s="13" t="str">
        <f>input!A102</f>
        <v>A.II. Riserva da sovrapprezzo</v>
      </c>
      <c r="B105" s="2">
        <f>$M105*input!B102</f>
        <v>0</v>
      </c>
      <c r="C105" s="2">
        <f>$M105*input!C102</f>
        <v>0</v>
      </c>
      <c r="D105" s="2">
        <f>$M105*input!D102</f>
        <v>0</v>
      </c>
      <c r="E105" s="2">
        <f>$M105*input!E102</f>
        <v>0</v>
      </c>
      <c r="F105" s="2">
        <f>$M105*input!F102</f>
        <v>0</v>
      </c>
      <c r="G105" s="2">
        <f>$M105*input!G102</f>
        <v>0</v>
      </c>
      <c r="H105" s="2">
        <f>$M105*input!H102</f>
        <v>0</v>
      </c>
      <c r="I105" s="2">
        <f>$M105*input!I102</f>
        <v>0</v>
      </c>
      <c r="J105" s="2">
        <f>$M105*input!J102</f>
        <v>0</v>
      </c>
      <c r="K105" s="2">
        <f>$M105*input!K102</f>
        <v>0</v>
      </c>
      <c r="M105" s="3">
        <v>1</v>
      </c>
      <c r="N105" s="3" t="s">
        <v>261</v>
      </c>
    </row>
    <row r="106" spans="1:14" ht="13" x14ac:dyDescent="0.15">
      <c r="A106" s="13" t="str">
        <f>input!A103</f>
        <v>A.III. Riserva di rivalutazione</v>
      </c>
      <c r="B106" s="2">
        <f>$M106*input!B103</f>
        <v>0</v>
      </c>
      <c r="C106" s="2">
        <f>$M106*input!C103</f>
        <v>0</v>
      </c>
      <c r="D106" s="2">
        <f>$M106*input!D103</f>
        <v>0</v>
      </c>
      <c r="E106" s="2">
        <f>$M106*input!E103</f>
        <v>0</v>
      </c>
      <c r="F106" s="2">
        <f>$M106*input!F103</f>
        <v>0</v>
      </c>
      <c r="G106" s="2">
        <f>$M106*input!G103</f>
        <v>0</v>
      </c>
      <c r="H106" s="2">
        <f>$M106*input!H103</f>
        <v>0</v>
      </c>
      <c r="I106" s="2">
        <f>$M106*input!I103</f>
        <v>0</v>
      </c>
      <c r="J106" s="2">
        <f>$M106*input!J103</f>
        <v>0</v>
      </c>
      <c r="K106" s="2">
        <f>$M106*input!K103</f>
        <v>0</v>
      </c>
      <c r="M106" s="3">
        <v>1</v>
      </c>
      <c r="N106" s="3" t="s">
        <v>262</v>
      </c>
    </row>
    <row r="107" spans="1:14" ht="13" x14ac:dyDescent="0.15">
      <c r="A107" s="13" t="str">
        <f>input!A104</f>
        <v>A.IV. Riserva legale</v>
      </c>
      <c r="B107" s="2">
        <f>$M107*input!B104</f>
        <v>28000</v>
      </c>
      <c r="C107" s="2">
        <f>$M107*input!C104</f>
        <v>28000</v>
      </c>
      <c r="D107" s="2">
        <f>$M107*input!D104</f>
        <v>28000</v>
      </c>
      <c r="E107" s="2">
        <f>$M107*input!E104</f>
        <v>28000</v>
      </c>
      <c r="F107" s="2">
        <f>$M107*input!F104</f>
        <v>28000</v>
      </c>
      <c r="G107" s="2">
        <f>$M107*input!G104</f>
        <v>28000</v>
      </c>
      <c r="H107" s="2">
        <f>$M107*input!H104</f>
        <v>18237</v>
      </c>
      <c r="I107" s="2">
        <f>$M107*input!I104</f>
        <v>0</v>
      </c>
      <c r="J107" s="2">
        <f>$M107*input!J104</f>
        <v>0</v>
      </c>
      <c r="K107" s="2">
        <f>$M107*input!K104</f>
        <v>0</v>
      </c>
      <c r="M107" s="3">
        <v>1</v>
      </c>
      <c r="N107" s="3" t="s">
        <v>263</v>
      </c>
    </row>
    <row r="108" spans="1:14" ht="13" x14ac:dyDescent="0.15">
      <c r="A108" s="13" t="str">
        <f>input!A105</f>
        <v>A.V. Riserva statutaria</v>
      </c>
      <c r="B108" s="2">
        <f>$M108*input!B105</f>
        <v>0</v>
      </c>
      <c r="C108" s="2">
        <f>$M108*input!C105</f>
        <v>0</v>
      </c>
      <c r="D108" s="2">
        <f>$M108*input!D105</f>
        <v>0</v>
      </c>
      <c r="E108" s="2">
        <f>$M108*input!E105</f>
        <v>0</v>
      </c>
      <c r="F108" s="2">
        <f>$M108*input!F105</f>
        <v>0</v>
      </c>
      <c r="G108" s="2">
        <f>$M108*input!G105</f>
        <v>0</v>
      </c>
      <c r="H108" s="2">
        <f>$M108*input!H105</f>
        <v>0</v>
      </c>
      <c r="I108" s="2">
        <f>$M108*input!I105</f>
        <v>0</v>
      </c>
      <c r="J108" s="2">
        <f>$M108*input!J105</f>
        <v>0</v>
      </c>
      <c r="K108" s="2">
        <f>$M108*input!K105</f>
        <v>0</v>
      </c>
      <c r="M108" s="3">
        <v>1</v>
      </c>
      <c r="N108" s="3" t="s">
        <v>263</v>
      </c>
    </row>
    <row r="109" spans="1:14" ht="13" x14ac:dyDescent="0.15">
      <c r="A109" s="14" t="str">
        <f>input!A106</f>
        <v>Riserva azioni proprie</v>
      </c>
      <c r="B109" s="2">
        <f>$M109*input!B106</f>
        <v>0</v>
      </c>
      <c r="C109" s="2">
        <f>$M109*input!C106</f>
        <v>0</v>
      </c>
      <c r="D109" s="2">
        <f>$M109*input!D106</f>
        <v>0</v>
      </c>
      <c r="E109" s="2">
        <f>$M109*input!E106</f>
        <v>0</v>
      </c>
      <c r="F109" s="2">
        <f>$M109*input!F106</f>
        <v>0</v>
      </c>
      <c r="G109" s="2">
        <f>$M109*input!G106</f>
        <v>0</v>
      </c>
      <c r="H109" s="2">
        <f>$M109*input!H106</f>
        <v>0</v>
      </c>
      <c r="I109" s="2">
        <f>$M109*input!I106</f>
        <v>0</v>
      </c>
      <c r="J109" s="2">
        <f>$M109*input!J106</f>
        <v>0</v>
      </c>
      <c r="K109" s="2">
        <f>$M109*input!K106</f>
        <v>0</v>
      </c>
      <c r="M109" s="3">
        <v>1</v>
      </c>
      <c r="N109" s="3" t="s">
        <v>249</v>
      </c>
    </row>
    <row r="110" spans="1:14" ht="13" x14ac:dyDescent="0.15">
      <c r="A110" s="13" t="str">
        <f>input!A107</f>
        <v>A.VI. Altre riserve</v>
      </c>
      <c r="B110" s="2">
        <f>$M110*input!B107</f>
        <v>4689554</v>
      </c>
      <c r="C110" s="2">
        <f>$M110*input!C107</f>
        <v>4492885</v>
      </c>
      <c r="D110" s="2">
        <f>$M110*input!D107</f>
        <v>3814306</v>
      </c>
      <c r="E110" s="2">
        <f>$M110*input!E107</f>
        <v>2953000</v>
      </c>
      <c r="F110" s="2">
        <f>$M110*input!F107</f>
        <v>2116719</v>
      </c>
      <c r="G110" s="2">
        <f>$M110*input!G107</f>
        <v>1465082</v>
      </c>
      <c r="H110" s="2">
        <f>$M110*input!H107</f>
        <v>904419</v>
      </c>
      <c r="I110" s="2">
        <f>$M110*input!I107</f>
        <v>-1</v>
      </c>
      <c r="J110" s="2">
        <f>$M110*input!J107</f>
        <v>0</v>
      </c>
      <c r="K110" s="2">
        <f>$M110*input!K107</f>
        <v>0</v>
      </c>
      <c r="M110" s="3">
        <v>1</v>
      </c>
      <c r="N110" s="3" t="s">
        <v>263</v>
      </c>
    </row>
    <row r="111" spans="1:14" ht="13" x14ac:dyDescent="0.15">
      <c r="A111" s="14" t="str">
        <f>input!A108</f>
        <v>Riserva da cons. del Gruppo</v>
      </c>
      <c r="B111" s="2">
        <f>$M111*input!B108</f>
        <v>0</v>
      </c>
      <c r="C111" s="2">
        <f>$M111*input!C108</f>
        <v>0</v>
      </c>
      <c r="D111" s="2">
        <f>$M111*input!D108</f>
        <v>0</v>
      </c>
      <c r="E111" s="2">
        <f>$M111*input!E108</f>
        <v>0</v>
      </c>
      <c r="F111" s="2">
        <f>$M111*input!F108</f>
        <v>0</v>
      </c>
      <c r="G111" s="2">
        <f>$M111*input!G108</f>
        <v>0</v>
      </c>
      <c r="H111" s="2">
        <f>$M111*input!H108</f>
        <v>0</v>
      </c>
      <c r="I111" s="2">
        <f>$M111*input!I108</f>
        <v>0</v>
      </c>
      <c r="J111" s="2">
        <f>$M111*input!J108</f>
        <v>0</v>
      </c>
      <c r="K111" s="2">
        <f>$M111*input!K108</f>
        <v>0</v>
      </c>
      <c r="M111" s="3">
        <v>1</v>
      </c>
    </row>
    <row r="112" spans="1:14" ht="13" x14ac:dyDescent="0.15">
      <c r="A112" s="13" t="str">
        <f>input!A109</f>
        <v>A.VII. Riserva per operazioni di copertura dei flussi finanziari attesi</v>
      </c>
      <c r="B112" s="2">
        <f>$M112*input!B109</f>
        <v>0</v>
      </c>
      <c r="C112" s="2">
        <f>$M112*input!C109</f>
        <v>0</v>
      </c>
      <c r="D112" s="2">
        <f>$M112*input!D109</f>
        <v>0</v>
      </c>
      <c r="E112" s="2">
        <f>$M112*input!E109</f>
        <v>0</v>
      </c>
      <c r="F112" s="2">
        <f>$M112*input!F109</f>
        <v>0</v>
      </c>
      <c r="G112" s="2">
        <f>$M112*input!G109</f>
        <v>0</v>
      </c>
      <c r="H112" s="2">
        <f>$M112*input!H109</f>
        <v>0</v>
      </c>
      <c r="I112" s="2">
        <f>$M112*input!I109</f>
        <v>0</v>
      </c>
      <c r="J112" s="2">
        <f>$M112*input!J109</f>
        <v>0</v>
      </c>
      <c r="K112" s="2">
        <f>$M112*input!K109</f>
        <v>0</v>
      </c>
      <c r="M112" s="3">
        <v>1</v>
      </c>
      <c r="N112" s="3" t="s">
        <v>262</v>
      </c>
    </row>
    <row r="113" spans="1:14" ht="13" x14ac:dyDescent="0.15">
      <c r="A113" s="13" t="str">
        <f>input!A110</f>
        <v>A.VIII. Utile/perdita a nuovo</v>
      </c>
      <c r="B113" s="2">
        <f>$M113*input!B110</f>
        <v>0</v>
      </c>
      <c r="C113" s="2">
        <f>$M113*input!C110</f>
        <v>0</v>
      </c>
      <c r="D113" s="2">
        <f>$M113*input!D110</f>
        <v>0</v>
      </c>
      <c r="E113" s="2">
        <f>$M113*input!E110</f>
        <v>0</v>
      </c>
      <c r="F113" s="2">
        <f>$M113*input!F110</f>
        <v>0</v>
      </c>
      <c r="G113" s="2">
        <f>$M113*input!G110</f>
        <v>0</v>
      </c>
      <c r="H113" s="2">
        <f>$M113*input!H110</f>
        <v>0</v>
      </c>
      <c r="I113" s="2">
        <f>$M113*input!I110</f>
        <v>557913</v>
      </c>
      <c r="J113" s="2">
        <f>$M113*input!J110</f>
        <v>0</v>
      </c>
      <c r="K113" s="2">
        <f>$M113*input!K110</f>
        <v>0</v>
      </c>
      <c r="M113" s="3">
        <v>1</v>
      </c>
      <c r="N113" s="3" t="s">
        <v>263</v>
      </c>
    </row>
    <row r="114" spans="1:14" ht="13" x14ac:dyDescent="0.15">
      <c r="A114" s="13" t="str">
        <f>input!A111</f>
        <v>A.IX. Utile/perdita di esercizio</v>
      </c>
      <c r="B114" s="2">
        <f>$M114*input!B111</f>
        <v>899733</v>
      </c>
      <c r="C114" s="2">
        <f>$M114*input!C111</f>
        <v>566667</v>
      </c>
      <c r="D114" s="2">
        <f>$M114*input!D111</f>
        <v>678581</v>
      </c>
      <c r="E114" s="2">
        <f>$M114*input!E111</f>
        <v>961303</v>
      </c>
      <c r="F114" s="2">
        <f>$M114*input!F111</f>
        <v>921282</v>
      </c>
      <c r="G114" s="2">
        <f>$M114*input!G111</f>
        <v>751636</v>
      </c>
      <c r="H114" s="2">
        <f>$M114*input!H111</f>
        <v>670425</v>
      </c>
      <c r="I114" s="2">
        <f>$M114*input!I111</f>
        <v>364746</v>
      </c>
      <c r="J114" s="2">
        <f>$M114*input!J111</f>
        <v>0</v>
      </c>
      <c r="K114" s="2">
        <f>$M114*input!K111</f>
        <v>0</v>
      </c>
      <c r="M114" s="3">
        <v>1</v>
      </c>
      <c r="N114" s="3" t="s">
        <v>264</v>
      </c>
    </row>
    <row r="115" spans="1:14" ht="13" x14ac:dyDescent="0.15">
      <c r="A115" s="14" t="str">
        <f>input!A112</f>
        <v>Acconto dividendi</v>
      </c>
      <c r="B115" s="2">
        <f>$M115*input!B112</f>
        <v>0</v>
      </c>
      <c r="C115" s="2">
        <f>$M115*input!C112</f>
        <v>0</v>
      </c>
      <c r="D115" s="2">
        <f>$M115*input!D112</f>
        <v>0</v>
      </c>
      <c r="E115" s="2">
        <f>$M115*input!E112</f>
        <v>0</v>
      </c>
      <c r="F115" s="2">
        <f>$M115*input!F112</f>
        <v>0</v>
      </c>
      <c r="G115" s="2">
        <f>$M115*input!G112</f>
        <v>0</v>
      </c>
      <c r="H115" s="2">
        <f>$M115*input!H112</f>
        <v>0</v>
      </c>
      <c r="I115" s="2">
        <f>$M115*input!I112</f>
        <v>0</v>
      </c>
      <c r="J115" s="2">
        <f>$M115*input!J112</f>
        <v>0</v>
      </c>
      <c r="K115" s="2">
        <f>$M115*input!K112</f>
        <v>0</v>
      </c>
      <c r="M115" s="3">
        <v>1</v>
      </c>
    </row>
    <row r="116" spans="1:14" ht="13" x14ac:dyDescent="0.15">
      <c r="A116" s="14" t="str">
        <f>input!A113</f>
        <v>Copertura parziale perdita di esercizio</v>
      </c>
      <c r="B116" s="2">
        <f>$M116*input!B113</f>
        <v>0</v>
      </c>
      <c r="C116" s="2">
        <f>$M116*input!C113</f>
        <v>0</v>
      </c>
      <c r="D116" s="2">
        <f>$M116*input!D113</f>
        <v>0</v>
      </c>
      <c r="E116" s="2">
        <f>$M116*input!E113</f>
        <v>0</v>
      </c>
      <c r="F116" s="2">
        <f>$M116*input!F113</f>
        <v>0</v>
      </c>
      <c r="G116" s="2">
        <f>$M116*input!G113</f>
        <v>0</v>
      </c>
      <c r="H116" s="2">
        <f>$M116*input!H113</f>
        <v>0</v>
      </c>
      <c r="I116" s="2">
        <f>$M116*input!I113</f>
        <v>0</v>
      </c>
      <c r="J116" s="2">
        <f>$M116*input!J113</f>
        <v>0</v>
      </c>
      <c r="K116" s="2">
        <f>$M116*input!K113</f>
        <v>0</v>
      </c>
      <c r="M116" s="3">
        <v>1</v>
      </c>
    </row>
    <row r="117" spans="1:14" ht="13" x14ac:dyDescent="0.15">
      <c r="A117" s="13" t="str">
        <f>input!A114</f>
        <v>A.X. Riserva negativa per azioni proprie in portafoglio (+/-)</v>
      </c>
      <c r="B117" s="2">
        <f>$M117*input!B114</f>
        <v>0</v>
      </c>
      <c r="C117" s="2">
        <f>$M117*input!C114</f>
        <v>0</v>
      </c>
      <c r="D117" s="2">
        <f>$M117*input!D114</f>
        <v>0</v>
      </c>
      <c r="E117" s="2">
        <f>$M117*input!E114</f>
        <v>0</v>
      </c>
      <c r="F117" s="2">
        <f>$M117*input!F114</f>
        <v>0</v>
      </c>
      <c r="G117" s="2">
        <f>$M117*input!G114</f>
        <v>0</v>
      </c>
      <c r="H117" s="2">
        <f>$M117*input!H114</f>
        <v>0</v>
      </c>
      <c r="I117" s="2">
        <f>$M117*input!I114</f>
        <v>0</v>
      </c>
      <c r="J117" s="2">
        <f>$M117*input!J114</f>
        <v>0</v>
      </c>
      <c r="K117" s="2">
        <f>$M117*input!K114</f>
        <v>0</v>
      </c>
      <c r="M117" s="3">
        <v>1</v>
      </c>
      <c r="N117" s="3" t="s">
        <v>249</v>
      </c>
    </row>
    <row r="118" spans="1:14" ht="13" x14ac:dyDescent="0.15">
      <c r="A118" s="1" t="str">
        <f>input!A115</f>
        <v>TOTALE PATRIMONIO DEL GRUPPO</v>
      </c>
      <c r="B118" s="2">
        <f>$M118*input!B115</f>
        <v>0</v>
      </c>
      <c r="C118" s="2">
        <f>$M118*input!C115</f>
        <v>0</v>
      </c>
      <c r="D118" s="2">
        <f>$M118*input!D115</f>
        <v>0</v>
      </c>
      <c r="E118" s="2">
        <f>$M118*input!E115</f>
        <v>0</v>
      </c>
      <c r="F118" s="2">
        <f>$M118*input!F115</f>
        <v>0</v>
      </c>
      <c r="G118" s="2">
        <f>$M118*input!G115</f>
        <v>0</v>
      </c>
      <c r="H118" s="2">
        <f>$M118*input!H115</f>
        <v>0</v>
      </c>
      <c r="I118" s="2">
        <f>$M118*input!I115</f>
        <v>0</v>
      </c>
      <c r="J118" s="2">
        <f>$M118*input!J115</f>
        <v>0</v>
      </c>
      <c r="K118" s="2">
        <f>$M118*input!K115</f>
        <v>0</v>
      </c>
      <c r="M118" s="3">
        <v>1</v>
      </c>
    </row>
    <row r="119" spans="1:14" ht="13" x14ac:dyDescent="0.15">
      <c r="A119" s="1" t="str">
        <f>input!A116</f>
        <v>Capitale e riserve di pertinenza di TERZI</v>
      </c>
      <c r="B119" s="2">
        <f>$M119*input!B116</f>
        <v>0</v>
      </c>
      <c r="C119" s="2">
        <f>$M119*input!C116</f>
        <v>0</v>
      </c>
      <c r="D119" s="2">
        <f>$M119*input!D116</f>
        <v>0</v>
      </c>
      <c r="E119" s="2">
        <f>$M119*input!E116</f>
        <v>0</v>
      </c>
      <c r="F119" s="2">
        <f>$M119*input!F116</f>
        <v>0</v>
      </c>
      <c r="G119" s="2">
        <f>$M119*input!G116</f>
        <v>0</v>
      </c>
      <c r="H119" s="2">
        <f>$M119*input!H116</f>
        <v>0</v>
      </c>
      <c r="I119" s="2">
        <f>$M119*input!I116</f>
        <v>0</v>
      </c>
      <c r="J119" s="2">
        <f>$M119*input!J116</f>
        <v>0</v>
      </c>
      <c r="K119" s="2">
        <f>$M119*input!K116</f>
        <v>0</v>
      </c>
      <c r="M119" s="3">
        <v>1</v>
      </c>
    </row>
    <row r="120" spans="1:14" ht="13" x14ac:dyDescent="0.15">
      <c r="A120" s="1" t="str">
        <f>input!A117</f>
        <v>di cui: per imposte differite</v>
      </c>
      <c r="B120" s="2">
        <f>$M120*input!B117</f>
        <v>0</v>
      </c>
      <c r="C120" s="2">
        <f>$M120*input!C117</f>
        <v>0</v>
      </c>
      <c r="D120" s="2">
        <f>$M120*input!D117</f>
        <v>0</v>
      </c>
      <c r="E120" s="2">
        <f>$M120*input!E117</f>
        <v>0</v>
      </c>
      <c r="F120" s="2">
        <f>$M120*input!F117</f>
        <v>0</v>
      </c>
      <c r="G120" s="2">
        <f>$M120*input!G117</f>
        <v>0</v>
      </c>
      <c r="H120" s="2">
        <f>$M120*input!H117</f>
        <v>0</v>
      </c>
      <c r="I120" s="2">
        <f>$M120*input!I117</f>
        <v>0</v>
      </c>
      <c r="J120" s="2">
        <f>$M120*input!J117</f>
        <v>0</v>
      </c>
      <c r="K120" s="2">
        <f>$M120*input!K117</f>
        <v>0</v>
      </c>
      <c r="M120" s="3">
        <v>1</v>
      </c>
    </row>
    <row r="121" spans="1:14" ht="13" x14ac:dyDescent="0.15">
      <c r="A121" s="1" t="str">
        <f>input!A118</f>
        <v>Utile/perdita di es. di pertinenza di TERZI</v>
      </c>
      <c r="B121" s="2">
        <f>$M121*input!B118</f>
        <v>0</v>
      </c>
      <c r="C121" s="2">
        <f>$M121*input!C118</f>
        <v>0</v>
      </c>
      <c r="D121" s="2">
        <f>$M121*input!D118</f>
        <v>0</v>
      </c>
      <c r="E121" s="2">
        <f>$M121*input!E118</f>
        <v>0</v>
      </c>
      <c r="F121" s="2">
        <f>$M121*input!F118</f>
        <v>0</v>
      </c>
      <c r="G121" s="2">
        <f>$M121*input!G118</f>
        <v>0</v>
      </c>
      <c r="H121" s="2">
        <f>$M121*input!H118</f>
        <v>0</v>
      </c>
      <c r="I121" s="2">
        <f>$M121*input!I118</f>
        <v>0</v>
      </c>
      <c r="J121" s="2">
        <f>$M121*input!J118</f>
        <v>0</v>
      </c>
      <c r="K121" s="2">
        <f>$M121*input!K118</f>
        <v>0</v>
      </c>
      <c r="M121" s="3">
        <v>1</v>
      </c>
    </row>
    <row r="122" spans="1:14" ht="13" x14ac:dyDescent="0.15">
      <c r="A122" s="1" t="str">
        <f>input!A119</f>
        <v>TOTALE PATRIMONIO DI TERZI</v>
      </c>
      <c r="B122" s="2">
        <f>$M122*input!B119</f>
        <v>0</v>
      </c>
      <c r="C122" s="2">
        <f>$M122*input!C119</f>
        <v>0</v>
      </c>
      <c r="D122" s="2">
        <f>$M122*input!D119</f>
        <v>0</v>
      </c>
      <c r="E122" s="2">
        <f>$M122*input!E119</f>
        <v>0</v>
      </c>
      <c r="F122" s="2">
        <f>$M122*input!F119</f>
        <v>0</v>
      </c>
      <c r="G122" s="2">
        <f>$M122*input!G119</f>
        <v>0</v>
      </c>
      <c r="H122" s="2">
        <f>$M122*input!H119</f>
        <v>0</v>
      </c>
      <c r="I122" s="2">
        <f>$M122*input!I119</f>
        <v>0</v>
      </c>
      <c r="J122" s="2">
        <f>$M122*input!J119</f>
        <v>0</v>
      </c>
      <c r="K122" s="2">
        <f>$M122*input!K119</f>
        <v>0</v>
      </c>
      <c r="M122" s="3">
        <v>1</v>
      </c>
      <c r="N122" s="3" t="s">
        <v>265</v>
      </c>
    </row>
    <row r="123" spans="1:14" s="11" customFormat="1" ht="13.5" customHeight="1" x14ac:dyDescent="0.15">
      <c r="A123" s="9" t="str">
        <f>input!A120</f>
        <v>B. TOTALE FONDI RISCHI</v>
      </c>
      <c r="B123" s="10">
        <f>$M123*input!B120</f>
        <v>0</v>
      </c>
      <c r="C123" s="10">
        <f>$M123*input!C120</f>
        <v>0</v>
      </c>
      <c r="D123" s="10">
        <f>$M123*input!D120</f>
        <v>0</v>
      </c>
      <c r="E123" s="10">
        <f>$M123*input!E120</f>
        <v>0</v>
      </c>
      <c r="F123" s="10">
        <f>$M123*input!F120</f>
        <v>0</v>
      </c>
      <c r="G123" s="10">
        <f>$M123*input!G120</f>
        <v>0</v>
      </c>
      <c r="H123" s="10">
        <f>$M123*input!H120</f>
        <v>41042</v>
      </c>
      <c r="I123" s="10">
        <f>$M123*input!I120</f>
        <v>41042</v>
      </c>
      <c r="J123" s="10">
        <f>$M123*input!J120</f>
        <v>0</v>
      </c>
      <c r="K123" s="10">
        <f>$M123*input!K120</f>
        <v>0</v>
      </c>
      <c r="M123" s="11">
        <v>1</v>
      </c>
    </row>
    <row r="124" spans="1:14" ht="13" x14ac:dyDescent="0.15">
      <c r="A124" s="13" t="str">
        <f>input!A121</f>
        <v>B.1. Fondo di Quiescenza</v>
      </c>
      <c r="B124" s="2">
        <f>$M124*input!B121</f>
        <v>0</v>
      </c>
      <c r="C124" s="2">
        <f>$M124*input!C121</f>
        <v>0</v>
      </c>
      <c r="D124" s="2">
        <f>$M124*input!D121</f>
        <v>0</v>
      </c>
      <c r="E124" s="2">
        <f>$M124*input!E121</f>
        <v>0</v>
      </c>
      <c r="F124" s="2">
        <f>$M124*input!F121</f>
        <v>0</v>
      </c>
      <c r="G124" s="2">
        <f>$M124*input!G121</f>
        <v>0</v>
      </c>
      <c r="H124" s="2">
        <f>$M124*input!H121</f>
        <v>0</v>
      </c>
      <c r="I124" s="2">
        <f>$M124*input!I121</f>
        <v>0</v>
      </c>
      <c r="J124" s="2">
        <f>$M124*input!J121</f>
        <v>0</v>
      </c>
      <c r="K124" s="2">
        <f>$M124*input!K121</f>
        <v>0</v>
      </c>
      <c r="M124" s="3">
        <v>1</v>
      </c>
      <c r="N124" s="3" t="s">
        <v>266</v>
      </c>
    </row>
    <row r="125" spans="1:14" ht="13" x14ac:dyDescent="0.15">
      <c r="A125" s="13" t="str">
        <f>input!A122</f>
        <v>B.2. Fondo Imposte anche differite</v>
      </c>
      <c r="B125" s="2">
        <f>$M125*input!B122</f>
        <v>0</v>
      </c>
      <c r="C125" s="2">
        <f>$M125*input!C122</f>
        <v>0</v>
      </c>
      <c r="D125" s="2">
        <f>$M125*input!D122</f>
        <v>0</v>
      </c>
      <c r="E125" s="2">
        <f>$M125*input!E122</f>
        <v>0</v>
      </c>
      <c r="F125" s="2">
        <f>$M125*input!F122</f>
        <v>0</v>
      </c>
      <c r="G125" s="2">
        <f>$M125*input!G122</f>
        <v>0</v>
      </c>
      <c r="H125" s="2">
        <f>$M125*input!H122</f>
        <v>0</v>
      </c>
      <c r="I125" s="2">
        <f>$M125*input!I122</f>
        <v>0</v>
      </c>
      <c r="J125" s="2">
        <f>$M125*input!J122</f>
        <v>0</v>
      </c>
      <c r="K125" s="2">
        <f>$M125*input!K122</f>
        <v>0</v>
      </c>
      <c r="M125" s="3">
        <v>1</v>
      </c>
      <c r="N125" s="3" t="s">
        <v>267</v>
      </c>
    </row>
    <row r="126" spans="1:14" ht="13" x14ac:dyDescent="0.15">
      <c r="A126" s="13" t="str">
        <f>input!A123</f>
        <v>B.3. Strumenti finanziari derivati passivi</v>
      </c>
      <c r="B126" s="2">
        <f>$M126*input!B123</f>
        <v>0</v>
      </c>
      <c r="C126" s="2">
        <f>$M126*input!C123</f>
        <v>0</v>
      </c>
      <c r="D126" s="2">
        <f>$M126*input!D123</f>
        <v>0</v>
      </c>
      <c r="E126" s="2">
        <f>$M126*input!E123</f>
        <v>0</v>
      </c>
      <c r="F126" s="2">
        <f>$M126*input!F123</f>
        <v>0</v>
      </c>
      <c r="G126" s="2">
        <f>$M126*input!G123</f>
        <v>0</v>
      </c>
      <c r="H126" s="2">
        <f>$M126*input!H123</f>
        <v>0</v>
      </c>
      <c r="I126" s="2">
        <f>$M126*input!I123</f>
        <v>0</v>
      </c>
      <c r="J126" s="2">
        <f>$M126*input!J123</f>
        <v>0</v>
      </c>
      <c r="K126" s="2">
        <f>$M126*input!K123</f>
        <v>0</v>
      </c>
      <c r="M126" s="3">
        <v>1</v>
      </c>
      <c r="N126" s="3" t="s">
        <v>268</v>
      </c>
    </row>
    <row r="127" spans="1:14" ht="13" x14ac:dyDescent="0.15">
      <c r="A127" s="13" t="str">
        <f>input!A124</f>
        <v>B.4. Altri Fondi</v>
      </c>
      <c r="B127" s="2">
        <f>$M127*input!B124</f>
        <v>0</v>
      </c>
      <c r="C127" s="2">
        <f>$M127*input!C124</f>
        <v>0</v>
      </c>
      <c r="D127" s="2">
        <f>$M127*input!D124</f>
        <v>0</v>
      </c>
      <c r="E127" s="2">
        <f>$M127*input!E124</f>
        <v>0</v>
      </c>
      <c r="F127" s="2">
        <f>$M127*input!F124</f>
        <v>0</v>
      </c>
      <c r="G127" s="2">
        <f>$M127*input!G124</f>
        <v>0</v>
      </c>
      <c r="H127" s="2">
        <f>$M127*input!H124</f>
        <v>41042</v>
      </c>
      <c r="I127" s="2">
        <f>$M127*input!I124</f>
        <v>41042</v>
      </c>
      <c r="J127" s="2">
        <f>$M127*input!J124</f>
        <v>0</v>
      </c>
      <c r="K127" s="2">
        <f>$M127*input!K124</f>
        <v>0</v>
      </c>
      <c r="M127" s="3">
        <v>1</v>
      </c>
      <c r="N127" s="3" t="s">
        <v>266</v>
      </c>
    </row>
    <row r="128" spans="1:14" ht="13" x14ac:dyDescent="0.15">
      <c r="A128" s="14" t="str">
        <f>input!A125</f>
        <v>di cui : fondo di consolidamento</v>
      </c>
      <c r="B128" s="2">
        <f>$M128*input!B125</f>
        <v>0</v>
      </c>
      <c r="C128" s="2">
        <f>$M128*input!C125</f>
        <v>0</v>
      </c>
      <c r="D128" s="2">
        <f>$M128*input!D125</f>
        <v>0</v>
      </c>
      <c r="E128" s="2">
        <f>$M128*input!E125</f>
        <v>0</v>
      </c>
      <c r="F128" s="2">
        <f>$M128*input!F125</f>
        <v>0</v>
      </c>
      <c r="G128" s="2">
        <f>$M128*input!G125</f>
        <v>0</v>
      </c>
      <c r="H128" s="2">
        <f>$M128*input!H125</f>
        <v>0</v>
      </c>
      <c r="I128" s="2">
        <f>$M128*input!I125</f>
        <v>0</v>
      </c>
      <c r="J128" s="2">
        <f>$M128*input!J125</f>
        <v>0</v>
      </c>
      <c r="K128" s="2">
        <f>$M128*input!K125</f>
        <v>0</v>
      </c>
      <c r="M128" s="3">
        <v>1</v>
      </c>
    </row>
    <row r="129" spans="1:14" s="11" customFormat="1" ht="13.5" customHeight="1" x14ac:dyDescent="0.15">
      <c r="A129" s="9" t="str">
        <f>input!A126</f>
        <v>C. TRATTAMENTO DI FINE RAPPORTO</v>
      </c>
      <c r="B129" s="10">
        <f>$M129*input!B126</f>
        <v>191675</v>
      </c>
      <c r="C129" s="10">
        <f>$M129*input!C126</f>
        <v>179286</v>
      </c>
      <c r="D129" s="10">
        <f>$M129*input!D126</f>
        <v>189098</v>
      </c>
      <c r="E129" s="10">
        <f>$M129*input!E126</f>
        <v>197380</v>
      </c>
      <c r="F129" s="10">
        <f>$M129*input!F126</f>
        <v>174392</v>
      </c>
      <c r="G129" s="10">
        <f>$M129*input!G126</f>
        <v>206556</v>
      </c>
      <c r="H129" s="10">
        <f>$M129*input!H126</f>
        <v>187238</v>
      </c>
      <c r="I129" s="10">
        <f>$M129*input!I126</f>
        <v>173667</v>
      </c>
      <c r="J129" s="10">
        <f>$M129*input!J126</f>
        <v>0</v>
      </c>
      <c r="K129" s="10">
        <f>$M129*input!K126</f>
        <v>0</v>
      </c>
      <c r="M129" s="11">
        <v>1</v>
      </c>
      <c r="N129" s="11" t="s">
        <v>269</v>
      </c>
    </row>
    <row r="130" spans="1:14" ht="13" x14ac:dyDescent="0.15">
      <c r="A130" s="1" t="str">
        <f>input!A127</f>
        <v>Debiti</v>
      </c>
      <c r="B130" s="2">
        <f>$M130*input!B127</f>
        <v>0</v>
      </c>
      <c r="C130" s="2">
        <f>$M130*input!C127</f>
        <v>0</v>
      </c>
      <c r="D130" s="2">
        <f>$M130*input!D127</f>
        <v>0</v>
      </c>
      <c r="E130" s="2">
        <f>$M130*input!E127</f>
        <v>0</v>
      </c>
      <c r="F130" s="2">
        <f>$M130*input!F127</f>
        <v>0</v>
      </c>
      <c r="G130" s="2">
        <f>$M130*input!G127</f>
        <v>0</v>
      </c>
      <c r="H130" s="2">
        <f>$M130*input!H127</f>
        <v>0</v>
      </c>
      <c r="I130" s="2">
        <f>$M130*input!I127</f>
        <v>0</v>
      </c>
      <c r="J130" s="2">
        <f>$M130*input!J127</f>
        <v>0</v>
      </c>
      <c r="K130" s="2">
        <f>$M130*input!K127</f>
        <v>0</v>
      </c>
      <c r="M130" s="3">
        <v>1</v>
      </c>
    </row>
    <row r="131" spans="1:14" s="11" customFormat="1" ht="13.5" customHeight="1" x14ac:dyDescent="0.15">
      <c r="A131" s="9" t="str">
        <f>input!A128</f>
        <v>D. TOTALE DEBITI</v>
      </c>
      <c r="B131" s="10">
        <f>$M131*input!B128</f>
        <v>11906052</v>
      </c>
      <c r="C131" s="10">
        <f>$M131*input!C128</f>
        <v>13914499</v>
      </c>
      <c r="D131" s="10">
        <f>$M131*input!D128</f>
        <v>14618344</v>
      </c>
      <c r="E131" s="10">
        <f>$M131*input!E128</f>
        <v>13815442</v>
      </c>
      <c r="F131" s="10">
        <f>$M131*input!F128</f>
        <v>11347602</v>
      </c>
      <c r="G131" s="10">
        <f>$M131*input!G128</f>
        <v>6671454</v>
      </c>
      <c r="H131" s="10">
        <f>$M131*input!H128</f>
        <v>4468030</v>
      </c>
      <c r="I131" s="10">
        <f>$M131*input!I128</f>
        <v>4868877</v>
      </c>
      <c r="J131" s="10">
        <f>$M131*input!J128</f>
        <v>0</v>
      </c>
      <c r="K131" s="10">
        <f>$M131*input!K128</f>
        <v>0</v>
      </c>
      <c r="M131" s="11">
        <v>1</v>
      </c>
    </row>
    <row r="132" spans="1:14" ht="13" x14ac:dyDescent="0.15">
      <c r="A132" s="13" t="str">
        <f>input!A129</f>
        <v>D.1. Obblig.ni entro</v>
      </c>
      <c r="B132" s="2">
        <f>$M132*input!B129</f>
        <v>0</v>
      </c>
      <c r="C132" s="2">
        <f>$M132*input!C129</f>
        <v>0</v>
      </c>
      <c r="D132" s="2">
        <f>$M132*input!D129</f>
        <v>0</v>
      </c>
      <c r="E132" s="2">
        <f>$M132*input!E129</f>
        <v>0</v>
      </c>
      <c r="F132" s="2">
        <f>$M132*input!F129</f>
        <v>0</v>
      </c>
      <c r="G132" s="2">
        <f>$M132*input!G129</f>
        <v>0</v>
      </c>
      <c r="H132" s="2">
        <f>$M132*input!H129</f>
        <v>0</v>
      </c>
      <c r="I132" s="2">
        <f>$M132*input!I129</f>
        <v>0</v>
      </c>
      <c r="J132" s="2">
        <f>$M132*input!J129</f>
        <v>0</v>
      </c>
      <c r="K132" s="2">
        <f>$M132*input!K129</f>
        <v>0</v>
      </c>
      <c r="M132" s="3">
        <v>1</v>
      </c>
      <c r="N132" s="3" t="s">
        <v>270</v>
      </c>
    </row>
    <row r="133" spans="1:14" ht="13" x14ac:dyDescent="0.15">
      <c r="A133" s="13" t="str">
        <f>input!A130</f>
        <v>D.1. Obblig.ni oltre</v>
      </c>
      <c r="B133" s="2">
        <f>$M133*input!B130</f>
        <v>0</v>
      </c>
      <c r="C133" s="2">
        <f>$M133*input!C130</f>
        <v>0</v>
      </c>
      <c r="D133" s="2">
        <f>$M133*input!D130</f>
        <v>0</v>
      </c>
      <c r="E133" s="2">
        <f>$M133*input!E130</f>
        <v>0</v>
      </c>
      <c r="F133" s="2">
        <f>$M133*input!F130</f>
        <v>0</v>
      </c>
      <c r="G133" s="2">
        <f>$M133*input!G130</f>
        <v>0</v>
      </c>
      <c r="H133" s="2">
        <f>$M133*input!H130</f>
        <v>0</v>
      </c>
      <c r="I133" s="2">
        <f>$M133*input!I130</f>
        <v>0</v>
      </c>
      <c r="J133" s="2">
        <f>$M133*input!J130</f>
        <v>0</v>
      </c>
      <c r="K133" s="2">
        <f>$M133*input!K130</f>
        <v>0</v>
      </c>
      <c r="M133" s="3">
        <v>1</v>
      </c>
      <c r="N133" s="3" t="s">
        <v>270</v>
      </c>
    </row>
    <row r="134" spans="1:14" ht="13" x14ac:dyDescent="0.15">
      <c r="A134" s="13" t="str">
        <f>input!A131</f>
        <v>D.2. Obblig.ni convert. entro</v>
      </c>
      <c r="B134" s="2">
        <f>$M134*input!B131</f>
        <v>0</v>
      </c>
      <c r="C134" s="2">
        <f>$M134*input!C131</f>
        <v>0</v>
      </c>
      <c r="D134" s="2">
        <f>$M134*input!D131</f>
        <v>0</v>
      </c>
      <c r="E134" s="2">
        <f>$M134*input!E131</f>
        <v>0</v>
      </c>
      <c r="F134" s="2">
        <f>$M134*input!F131</f>
        <v>0</v>
      </c>
      <c r="G134" s="2">
        <f>$M134*input!G131</f>
        <v>0</v>
      </c>
      <c r="H134" s="2">
        <f>$M134*input!H131</f>
        <v>0</v>
      </c>
      <c r="I134" s="2">
        <f>$M134*input!I131</f>
        <v>0</v>
      </c>
      <c r="J134" s="2">
        <f>$M134*input!J131</f>
        <v>0</v>
      </c>
      <c r="K134" s="2">
        <f>$M134*input!K131</f>
        <v>0</v>
      </c>
      <c r="M134" s="3">
        <v>1</v>
      </c>
      <c r="N134" s="3" t="s">
        <v>270</v>
      </c>
    </row>
    <row r="135" spans="1:14" ht="13" x14ac:dyDescent="0.15">
      <c r="A135" s="13" t="str">
        <f>input!A132</f>
        <v>D.2. Obblig.ni convert. oltre.</v>
      </c>
      <c r="B135" s="2">
        <f>$M135*input!B132</f>
        <v>0</v>
      </c>
      <c r="C135" s="2">
        <f>$M135*input!C132</f>
        <v>0</v>
      </c>
      <c r="D135" s="2">
        <f>$M135*input!D132</f>
        <v>0</v>
      </c>
      <c r="E135" s="2">
        <f>$M135*input!E132</f>
        <v>0</v>
      </c>
      <c r="F135" s="2">
        <f>$M135*input!F132</f>
        <v>0</v>
      </c>
      <c r="G135" s="2">
        <f>$M135*input!G132</f>
        <v>0</v>
      </c>
      <c r="H135" s="2">
        <f>$M135*input!H132</f>
        <v>0</v>
      </c>
      <c r="I135" s="2">
        <f>$M135*input!I132</f>
        <v>0</v>
      </c>
      <c r="J135" s="2">
        <f>$M135*input!J132</f>
        <v>0</v>
      </c>
      <c r="K135" s="2">
        <f>$M135*input!K132</f>
        <v>0</v>
      </c>
      <c r="M135" s="3">
        <v>1</v>
      </c>
      <c r="N135" s="3" t="s">
        <v>270</v>
      </c>
    </row>
    <row r="136" spans="1:14" ht="13" x14ac:dyDescent="0.15">
      <c r="A136" s="13" t="str">
        <f>input!A133</f>
        <v>D.3. Soci per Finanziamenti entro</v>
      </c>
      <c r="B136" s="2">
        <f>$M136*input!B133</f>
        <v>0</v>
      </c>
      <c r="C136" s="2">
        <f>$M136*input!C133</f>
        <v>0</v>
      </c>
      <c r="D136" s="2">
        <f>$M136*input!D133</f>
        <v>0</v>
      </c>
      <c r="E136" s="2">
        <f>$M136*input!E133</f>
        <v>0</v>
      </c>
      <c r="F136" s="2">
        <f>$M136*input!F133</f>
        <v>0</v>
      </c>
      <c r="G136" s="2">
        <f>$M136*input!G133</f>
        <v>0</v>
      </c>
      <c r="H136" s="2">
        <f>$M136*input!H133</f>
        <v>0</v>
      </c>
      <c r="I136" s="2">
        <f>$M136*input!I133</f>
        <v>0</v>
      </c>
      <c r="J136" s="2">
        <f>$M136*input!J133</f>
        <v>0</v>
      </c>
      <c r="K136" s="2">
        <f>$M136*input!K133</f>
        <v>0</v>
      </c>
      <c r="M136" s="3">
        <v>1</v>
      </c>
      <c r="N136" s="3" t="s">
        <v>245</v>
      </c>
    </row>
    <row r="137" spans="1:14" ht="13" x14ac:dyDescent="0.15">
      <c r="A137" s="13" t="str">
        <f>input!A134</f>
        <v>D.3. Soci per Finanziamenti oltre</v>
      </c>
      <c r="B137" s="2">
        <f>$M137*input!B134</f>
        <v>0</v>
      </c>
      <c r="C137" s="2">
        <f>$M137*input!C134</f>
        <v>0</v>
      </c>
      <c r="D137" s="2">
        <f>$M137*input!D134</f>
        <v>0</v>
      </c>
      <c r="E137" s="2">
        <f>$M137*input!E134</f>
        <v>0</v>
      </c>
      <c r="F137" s="2">
        <f>$M137*input!F134</f>
        <v>0</v>
      </c>
      <c r="G137" s="2">
        <f>$M137*input!G134</f>
        <v>0</v>
      </c>
      <c r="H137" s="2">
        <f>$M137*input!H134</f>
        <v>0</v>
      </c>
      <c r="I137" s="2">
        <f>$M137*input!I134</f>
        <v>0</v>
      </c>
      <c r="J137" s="2">
        <f>$M137*input!J134</f>
        <v>0</v>
      </c>
      <c r="K137" s="2">
        <f>$M137*input!K134</f>
        <v>0</v>
      </c>
      <c r="M137" s="3">
        <v>1</v>
      </c>
      <c r="N137" s="3" t="s">
        <v>245</v>
      </c>
    </row>
    <row r="138" spans="1:14" ht="13" x14ac:dyDescent="0.15">
      <c r="A138" s="13" t="str">
        <f>input!A135</f>
        <v>D.4. Banche entro l'esercizio</v>
      </c>
      <c r="B138" s="2">
        <f>$M138*input!B135</f>
        <v>3395294</v>
      </c>
      <c r="C138" s="2">
        <f>$M138*input!C135</f>
        <v>3987523</v>
      </c>
      <c r="D138" s="2">
        <f>$M138*input!D135</f>
        <v>4519420</v>
      </c>
      <c r="E138" s="2">
        <f>$M138*input!E135</f>
        <v>3495062</v>
      </c>
      <c r="F138" s="2">
        <f>$M138*input!F135</f>
        <v>2923930</v>
      </c>
      <c r="G138" s="2">
        <f>$M138*input!G135</f>
        <v>3390744</v>
      </c>
      <c r="H138" s="2">
        <f>$M138*input!H135</f>
        <v>1825267</v>
      </c>
      <c r="I138" s="2">
        <f>$M138*input!I135</f>
        <v>1954310</v>
      </c>
      <c r="J138" s="2">
        <f>$M138*input!J135</f>
        <v>0</v>
      </c>
      <c r="K138" s="2">
        <f>$M138*input!K135</f>
        <v>0</v>
      </c>
      <c r="M138" s="3">
        <v>1</v>
      </c>
      <c r="N138" s="3" t="s">
        <v>271</v>
      </c>
    </row>
    <row r="139" spans="1:14" ht="13" x14ac:dyDescent="0.15">
      <c r="A139" s="13" t="str">
        <f>input!A136</f>
        <v>D.4. Banche oltre l'esercizio</v>
      </c>
      <c r="B139" s="2">
        <f>$M139*input!B136</f>
        <v>5110204</v>
      </c>
      <c r="C139" s="2">
        <f>$M139*input!C136</f>
        <v>6691873</v>
      </c>
      <c r="D139" s="2">
        <f>$M139*input!D136</f>
        <v>6691933</v>
      </c>
      <c r="E139" s="2">
        <f>$M139*input!E136</f>
        <v>7333471</v>
      </c>
      <c r="F139" s="2">
        <f>$M139*input!F136</f>
        <v>6304053</v>
      </c>
      <c r="G139" s="2">
        <f>$M139*input!G136</f>
        <v>588287</v>
      </c>
      <c r="H139" s="2">
        <f>$M139*input!H136</f>
        <v>808395</v>
      </c>
      <c r="I139" s="2">
        <f>$M139*input!I136</f>
        <v>952264</v>
      </c>
      <c r="J139" s="2">
        <f>$M139*input!J136</f>
        <v>0</v>
      </c>
      <c r="K139" s="2">
        <f>$M139*input!K136</f>
        <v>0</v>
      </c>
      <c r="M139" s="3">
        <v>1</v>
      </c>
      <c r="N139" s="3" t="s">
        <v>270</v>
      </c>
    </row>
    <row r="140" spans="1:14" ht="13" x14ac:dyDescent="0.15">
      <c r="A140" s="13" t="str">
        <f>input!A137</f>
        <v>D.5. Altri finanziatori entro</v>
      </c>
      <c r="B140" s="2">
        <f>$M140*input!B137</f>
        <v>435</v>
      </c>
      <c r="C140" s="2">
        <f>$M140*input!C137</f>
        <v>435</v>
      </c>
      <c r="D140" s="2">
        <f>$M140*input!D137</f>
        <v>435</v>
      </c>
      <c r="E140" s="2">
        <f>$M140*input!E137</f>
        <v>435</v>
      </c>
      <c r="F140" s="2">
        <f>$M140*input!F137</f>
        <v>310</v>
      </c>
      <c r="G140" s="2">
        <f>$M140*input!G137</f>
        <v>0</v>
      </c>
      <c r="H140" s="2">
        <f>$M140*input!H137</f>
        <v>120</v>
      </c>
      <c r="I140" s="2">
        <f>$M140*input!I137</f>
        <v>0</v>
      </c>
      <c r="J140" s="2">
        <f>$M140*input!J137</f>
        <v>0</v>
      </c>
      <c r="K140" s="2">
        <f>$M140*input!K137</f>
        <v>0</v>
      </c>
      <c r="M140" s="3">
        <v>1</v>
      </c>
      <c r="N140" s="3" t="s">
        <v>271</v>
      </c>
    </row>
    <row r="141" spans="1:14" ht="13" x14ac:dyDescent="0.15">
      <c r="A141" s="13" t="str">
        <f>input!A138</f>
        <v>D.5. Altri finanziatori oltre</v>
      </c>
      <c r="B141" s="2">
        <f>$M141*input!B138</f>
        <v>0</v>
      </c>
      <c r="C141" s="2">
        <f>$M141*input!C138</f>
        <v>0</v>
      </c>
      <c r="D141" s="2">
        <f>$M141*input!D138</f>
        <v>25580</v>
      </c>
      <c r="E141" s="2">
        <f>$M141*input!E138</f>
        <v>38724</v>
      </c>
      <c r="F141" s="2">
        <f>$M141*input!F138</f>
        <v>0</v>
      </c>
      <c r="G141" s="2">
        <f>$M141*input!G138</f>
        <v>0</v>
      </c>
      <c r="H141" s="2">
        <f>$M141*input!H138</f>
        <v>0</v>
      </c>
      <c r="I141" s="2">
        <f>$M141*input!I138</f>
        <v>0</v>
      </c>
      <c r="J141" s="2">
        <f>$M141*input!J138</f>
        <v>0</v>
      </c>
      <c r="K141" s="2">
        <f>$M141*input!K138</f>
        <v>0</v>
      </c>
      <c r="M141" s="3">
        <v>1</v>
      </c>
      <c r="N141" s="3" t="s">
        <v>270</v>
      </c>
    </row>
    <row r="142" spans="1:14" ht="13" x14ac:dyDescent="0.15">
      <c r="A142" s="13" t="str">
        <f>input!A139</f>
        <v>D.6. Acconti entro</v>
      </c>
      <c r="B142" s="2">
        <f>$M142*input!B139</f>
        <v>0</v>
      </c>
      <c r="C142" s="2">
        <f>$M142*input!C139</f>
        <v>0</v>
      </c>
      <c r="D142" s="2">
        <f>$M142*input!D139</f>
        <v>0</v>
      </c>
      <c r="E142" s="2">
        <f>$M142*input!E139</f>
        <v>0</v>
      </c>
      <c r="F142" s="2">
        <f>$M142*input!F139</f>
        <v>0</v>
      </c>
      <c r="G142" s="2">
        <f>$M142*input!G139</f>
        <v>73</v>
      </c>
      <c r="H142" s="2">
        <f>$M142*input!H139</f>
        <v>73</v>
      </c>
      <c r="I142" s="2">
        <f>$M142*input!I139</f>
        <v>0</v>
      </c>
      <c r="J142" s="2">
        <f>$M142*input!J139</f>
        <v>0</v>
      </c>
      <c r="K142" s="2">
        <f>$M142*input!K139</f>
        <v>0</v>
      </c>
      <c r="M142" s="3">
        <v>1</v>
      </c>
      <c r="N142" s="3" t="s">
        <v>272</v>
      </c>
    </row>
    <row r="143" spans="1:14" ht="13" x14ac:dyDescent="0.15">
      <c r="A143" s="13" t="str">
        <f>input!A140</f>
        <v>D.6. Acconti oltre</v>
      </c>
      <c r="B143" s="2">
        <f>$M143*input!B140</f>
        <v>0</v>
      </c>
      <c r="C143" s="2">
        <f>$M143*input!C140</f>
        <v>0</v>
      </c>
      <c r="D143" s="2">
        <f>$M143*input!D140</f>
        <v>0</v>
      </c>
      <c r="E143" s="2">
        <f>$M143*input!E140</f>
        <v>0</v>
      </c>
      <c r="F143" s="2">
        <f>$M143*input!F140</f>
        <v>0</v>
      </c>
      <c r="G143" s="2">
        <f>$M143*input!G140</f>
        <v>0</v>
      </c>
      <c r="H143" s="2">
        <f>$M143*input!H140</f>
        <v>0</v>
      </c>
      <c r="I143" s="2">
        <f>$M143*input!I140</f>
        <v>0</v>
      </c>
      <c r="J143" s="2">
        <f>$M143*input!J140</f>
        <v>0</v>
      </c>
      <c r="K143" s="2">
        <f>$M143*input!K140</f>
        <v>0</v>
      </c>
      <c r="M143" s="3">
        <v>1</v>
      </c>
      <c r="N143" s="3" t="s">
        <v>273</v>
      </c>
    </row>
    <row r="144" spans="1:14" ht="13" x14ac:dyDescent="0.15">
      <c r="A144" s="13" t="str">
        <f>input!A141</f>
        <v>D.7. Fornitori entro</v>
      </c>
      <c r="B144" s="2">
        <f>$M144*input!B141</f>
        <v>2274193</v>
      </c>
      <c r="C144" s="2">
        <f>$M144*input!C141</f>
        <v>2343088</v>
      </c>
      <c r="D144" s="2">
        <f>$M144*input!D141</f>
        <v>2517619</v>
      </c>
      <c r="E144" s="2">
        <f>$M144*input!E141</f>
        <v>2142223</v>
      </c>
      <c r="F144" s="2">
        <f>$M144*input!F141</f>
        <v>1385728</v>
      </c>
      <c r="G144" s="2">
        <f>$M144*input!G141</f>
        <v>2083244</v>
      </c>
      <c r="H144" s="2">
        <f>$M144*input!H141</f>
        <v>1195746</v>
      </c>
      <c r="I144" s="2">
        <f>$M144*input!I141</f>
        <v>1264218</v>
      </c>
      <c r="J144" s="2">
        <f>$M144*input!J141</f>
        <v>0</v>
      </c>
      <c r="K144" s="2">
        <f>$M144*input!K141</f>
        <v>0</v>
      </c>
      <c r="M144" s="3">
        <v>1</v>
      </c>
      <c r="N144" s="3" t="s">
        <v>274</v>
      </c>
    </row>
    <row r="145" spans="1:14" ht="13" x14ac:dyDescent="0.15">
      <c r="A145" s="13" t="str">
        <f>input!A142</f>
        <v>D.7. Fornitori oltre</v>
      </c>
      <c r="B145" s="2">
        <f>$M145*input!B142</f>
        <v>0</v>
      </c>
      <c r="C145" s="2">
        <f>$M145*input!C142</f>
        <v>0</v>
      </c>
      <c r="D145" s="2">
        <f>$M145*input!D142</f>
        <v>0</v>
      </c>
      <c r="E145" s="2">
        <f>$M145*input!E142</f>
        <v>0</v>
      </c>
      <c r="F145" s="2">
        <f>$M145*input!F142</f>
        <v>0</v>
      </c>
      <c r="G145" s="2">
        <f>$M145*input!G142</f>
        <v>0</v>
      </c>
      <c r="H145" s="2">
        <f>$M145*input!H142</f>
        <v>0</v>
      </c>
      <c r="I145" s="2">
        <f>$M145*input!I142</f>
        <v>0</v>
      </c>
      <c r="J145" s="2">
        <f>$M145*input!J142</f>
        <v>0</v>
      </c>
      <c r="K145" s="2">
        <f>$M145*input!K142</f>
        <v>0</v>
      </c>
      <c r="M145" s="3">
        <v>1</v>
      </c>
      <c r="N145" s="3" t="s">
        <v>274</v>
      </c>
    </row>
    <row r="146" spans="1:14" ht="13" x14ac:dyDescent="0.15">
      <c r="A146" s="13" t="str">
        <f>input!A143</f>
        <v>D.8. Titoli di credito entro</v>
      </c>
      <c r="B146" s="2">
        <f>$M146*input!B143</f>
        <v>0</v>
      </c>
      <c r="C146" s="2">
        <f>$M146*input!C143</f>
        <v>0</v>
      </c>
      <c r="D146" s="2">
        <f>$M146*input!D143</f>
        <v>0</v>
      </c>
      <c r="E146" s="2">
        <f>$M146*input!E143</f>
        <v>0</v>
      </c>
      <c r="F146" s="2">
        <f>$M146*input!F143</f>
        <v>0</v>
      </c>
      <c r="G146" s="2">
        <f>$M146*input!G143</f>
        <v>0</v>
      </c>
      <c r="H146" s="2">
        <f>$M146*input!H143</f>
        <v>0</v>
      </c>
      <c r="I146" s="2">
        <f>$M146*input!I143</f>
        <v>0</v>
      </c>
      <c r="J146" s="2">
        <f>$M146*input!J143</f>
        <v>0</v>
      </c>
      <c r="K146" s="2">
        <f>$M146*input!K143</f>
        <v>0</v>
      </c>
      <c r="M146" s="3">
        <v>1</v>
      </c>
      <c r="N146" s="3" t="s">
        <v>271</v>
      </c>
    </row>
    <row r="147" spans="1:14" ht="13" x14ac:dyDescent="0.15">
      <c r="A147" s="13" t="str">
        <f>input!A144</f>
        <v>D.8. Titoli di credito oltre</v>
      </c>
      <c r="B147" s="2">
        <f>$M147*input!B144</f>
        <v>0</v>
      </c>
      <c r="C147" s="2">
        <f>$M147*input!C144</f>
        <v>0</v>
      </c>
      <c r="D147" s="2">
        <f>$M147*input!D144</f>
        <v>0</v>
      </c>
      <c r="E147" s="2">
        <f>$M147*input!E144</f>
        <v>0</v>
      </c>
      <c r="F147" s="2">
        <f>$M147*input!F144</f>
        <v>0</v>
      </c>
      <c r="G147" s="2">
        <f>$M147*input!G144</f>
        <v>0</v>
      </c>
      <c r="H147" s="2">
        <f>$M147*input!H144</f>
        <v>0</v>
      </c>
      <c r="I147" s="2">
        <f>$M147*input!I144</f>
        <v>0</v>
      </c>
      <c r="J147" s="2">
        <f>$M147*input!J144</f>
        <v>0</v>
      </c>
      <c r="K147" s="2">
        <f>$M147*input!K144</f>
        <v>0</v>
      </c>
      <c r="M147" s="3">
        <v>1</v>
      </c>
      <c r="N147" s="3" t="s">
        <v>270</v>
      </c>
    </row>
    <row r="148" spans="1:14" ht="13" x14ac:dyDescent="0.15">
      <c r="A148" s="13" t="str">
        <f>input!A145</f>
        <v>D.9. Imprese Controllate entro</v>
      </c>
      <c r="B148" s="2">
        <f>$M148*input!B145</f>
        <v>0</v>
      </c>
      <c r="C148" s="2">
        <f>$M148*input!C145</f>
        <v>0</v>
      </c>
      <c r="D148" s="2">
        <f>$M148*input!D145</f>
        <v>0</v>
      </c>
      <c r="E148" s="2">
        <f>$M148*input!E145</f>
        <v>0</v>
      </c>
      <c r="F148" s="2">
        <f>$M148*input!F145</f>
        <v>0</v>
      </c>
      <c r="G148" s="2">
        <f>$M148*input!G145</f>
        <v>0</v>
      </c>
      <c r="H148" s="2">
        <f>$M148*input!H145</f>
        <v>0</v>
      </c>
      <c r="I148" s="2">
        <f>$M148*input!I145</f>
        <v>0</v>
      </c>
      <c r="J148" s="2">
        <f>$M148*input!J145</f>
        <v>0</v>
      </c>
      <c r="K148" s="2">
        <f>$M148*input!K145</f>
        <v>0</v>
      </c>
      <c r="M148" s="3">
        <v>1</v>
      </c>
      <c r="N148" s="3" t="s">
        <v>275</v>
      </c>
    </row>
    <row r="149" spans="1:14" ht="13" x14ac:dyDescent="0.15">
      <c r="A149" s="13" t="str">
        <f>input!A146</f>
        <v>D.9. Imprese Controllate oltre</v>
      </c>
      <c r="B149" s="2">
        <f>$M149*input!B146</f>
        <v>0</v>
      </c>
      <c r="C149" s="2">
        <f>$M149*input!C146</f>
        <v>0</v>
      </c>
      <c r="D149" s="2">
        <f>$M149*input!D146</f>
        <v>0</v>
      </c>
      <c r="E149" s="2">
        <f>$M149*input!E146</f>
        <v>0</v>
      </c>
      <c r="F149" s="2">
        <f>$M149*input!F146</f>
        <v>0</v>
      </c>
      <c r="G149" s="2">
        <f>$M149*input!G146</f>
        <v>0</v>
      </c>
      <c r="H149" s="2">
        <f>$M149*input!H146</f>
        <v>0</v>
      </c>
      <c r="I149" s="2">
        <f>$M149*input!I146</f>
        <v>0</v>
      </c>
      <c r="J149" s="2">
        <f>$M149*input!J146</f>
        <v>0</v>
      </c>
      <c r="K149" s="2">
        <f>$M149*input!K146</f>
        <v>0</v>
      </c>
      <c r="M149" s="3">
        <v>1</v>
      </c>
      <c r="N149" s="3" t="s">
        <v>275</v>
      </c>
    </row>
    <row r="150" spans="1:14" ht="13" x14ac:dyDescent="0.15">
      <c r="A150" s="13" t="str">
        <f>input!A147</f>
        <v>D.10. Imprese Collegate entro</v>
      </c>
      <c r="B150" s="2">
        <f>$M150*input!B147</f>
        <v>0</v>
      </c>
      <c r="C150" s="2">
        <f>$M150*input!C147</f>
        <v>0</v>
      </c>
      <c r="D150" s="2">
        <f>$M150*input!D147</f>
        <v>0</v>
      </c>
      <c r="E150" s="2">
        <f>$M150*input!E147</f>
        <v>0</v>
      </c>
      <c r="F150" s="2">
        <f>$M150*input!F147</f>
        <v>0</v>
      </c>
      <c r="G150" s="2">
        <f>$M150*input!G147</f>
        <v>0</v>
      </c>
      <c r="H150" s="2">
        <f>$M150*input!H147</f>
        <v>0</v>
      </c>
      <c r="I150" s="2">
        <f>$M150*input!I147</f>
        <v>0</v>
      </c>
      <c r="J150" s="2">
        <f>$M150*input!J147</f>
        <v>0</v>
      </c>
      <c r="K150" s="2">
        <f>$M150*input!K147</f>
        <v>0</v>
      </c>
      <c r="M150" s="3">
        <v>1</v>
      </c>
      <c r="N150" s="3" t="s">
        <v>275</v>
      </c>
    </row>
    <row r="151" spans="1:14" ht="13" x14ac:dyDescent="0.15">
      <c r="A151" s="13" t="str">
        <f>input!A148</f>
        <v>D.10. Imprese Collegate oltre</v>
      </c>
      <c r="B151" s="2">
        <f>$M151*input!B148</f>
        <v>0</v>
      </c>
      <c r="C151" s="2">
        <f>$M151*input!C148</f>
        <v>0</v>
      </c>
      <c r="D151" s="2">
        <f>$M151*input!D148</f>
        <v>0</v>
      </c>
      <c r="E151" s="2">
        <f>$M151*input!E148</f>
        <v>0</v>
      </c>
      <c r="F151" s="2">
        <f>$M151*input!F148</f>
        <v>0</v>
      </c>
      <c r="G151" s="2">
        <f>$M151*input!G148</f>
        <v>0</v>
      </c>
      <c r="H151" s="2">
        <f>$M151*input!H148</f>
        <v>0</v>
      </c>
      <c r="I151" s="2">
        <f>$M151*input!I148</f>
        <v>0</v>
      </c>
      <c r="J151" s="2">
        <f>$M151*input!J148</f>
        <v>0</v>
      </c>
      <c r="K151" s="2">
        <f>$M151*input!K148</f>
        <v>0</v>
      </c>
      <c r="M151" s="3">
        <v>1</v>
      </c>
      <c r="N151" s="3" t="s">
        <v>275</v>
      </c>
    </row>
    <row r="152" spans="1:14" ht="13" x14ac:dyDescent="0.15">
      <c r="A152" s="13" t="str">
        <f>input!A149</f>
        <v>D.11. Controllanti entro</v>
      </c>
      <c r="B152" s="2">
        <f>$M152*input!B149</f>
        <v>0</v>
      </c>
      <c r="C152" s="2">
        <f>$M152*input!C149</f>
        <v>0</v>
      </c>
      <c r="D152" s="2">
        <f>$M152*input!D149</f>
        <v>0</v>
      </c>
      <c r="E152" s="2">
        <f>$M152*input!E149</f>
        <v>0</v>
      </c>
      <c r="F152" s="2">
        <f>$M152*input!F149</f>
        <v>0</v>
      </c>
      <c r="G152" s="2">
        <f>$M152*input!G149</f>
        <v>0</v>
      </c>
      <c r="H152" s="2">
        <f>$M152*input!H149</f>
        <v>0</v>
      </c>
      <c r="I152" s="2">
        <f>$M152*input!I149</f>
        <v>0</v>
      </c>
      <c r="J152" s="2">
        <f>$M152*input!J149</f>
        <v>0</v>
      </c>
      <c r="K152" s="2">
        <f>$M152*input!K149</f>
        <v>0</v>
      </c>
      <c r="M152" s="3">
        <v>1</v>
      </c>
      <c r="N152" s="3" t="s">
        <v>245</v>
      </c>
    </row>
    <row r="153" spans="1:14" ht="13" x14ac:dyDescent="0.15">
      <c r="A153" s="13" t="str">
        <f>input!A150</f>
        <v>D.11. Controllanti oltre</v>
      </c>
      <c r="B153" s="2">
        <f>$M153*input!B150</f>
        <v>0</v>
      </c>
      <c r="C153" s="2">
        <f>$M153*input!C150</f>
        <v>0</v>
      </c>
      <c r="D153" s="2">
        <f>$M153*input!D150</f>
        <v>0</v>
      </c>
      <c r="E153" s="2">
        <f>$M153*input!E150</f>
        <v>0</v>
      </c>
      <c r="F153" s="2">
        <f>$M153*input!F150</f>
        <v>0</v>
      </c>
      <c r="G153" s="2">
        <f>$M153*input!G150</f>
        <v>0</v>
      </c>
      <c r="H153" s="2">
        <f>$M153*input!H150</f>
        <v>0</v>
      </c>
      <c r="I153" s="2">
        <f>$M153*input!I150</f>
        <v>0</v>
      </c>
      <c r="J153" s="2">
        <f>$M153*input!J150</f>
        <v>0</v>
      </c>
      <c r="K153" s="2">
        <f>$M153*input!K150</f>
        <v>0</v>
      </c>
      <c r="M153" s="3">
        <v>1</v>
      </c>
      <c r="N153" s="3" t="s">
        <v>245</v>
      </c>
    </row>
    <row r="154" spans="1:14" ht="13" x14ac:dyDescent="0.15">
      <c r="A154" s="13" t="str">
        <f>input!A151</f>
        <v>D.11.bis. Debiti VS imprese sottoposte al controllo delle controllanti entro</v>
      </c>
      <c r="B154" s="2">
        <f>$M154*input!B151</f>
        <v>0</v>
      </c>
      <c r="C154" s="2">
        <f>$M154*input!C151</f>
        <v>0</v>
      </c>
      <c r="D154" s="2">
        <f>$M154*input!D151</f>
        <v>0</v>
      </c>
      <c r="E154" s="2">
        <f>$M154*input!E151</f>
        <v>0</v>
      </c>
      <c r="F154" s="2">
        <f>$M154*input!F151</f>
        <v>0</v>
      </c>
      <c r="G154" s="2">
        <f>$M154*input!G151</f>
        <v>0</v>
      </c>
      <c r="H154" s="2">
        <f>$M154*input!H151</f>
        <v>0</v>
      </c>
      <c r="I154" s="2">
        <f>$M154*input!I151</f>
        <v>0</v>
      </c>
      <c r="J154" s="2">
        <f>$M154*input!J151</f>
        <v>0</v>
      </c>
      <c r="K154" s="2">
        <f>$M154*input!K151</f>
        <v>0</v>
      </c>
      <c r="M154" s="3">
        <v>1</v>
      </c>
      <c r="N154" s="3" t="s">
        <v>245</v>
      </c>
    </row>
    <row r="155" spans="1:14" ht="13" x14ac:dyDescent="0.15">
      <c r="A155" s="13" t="str">
        <f>input!A152</f>
        <v>D.11.bis. Debiti VS imprese sottoposte al controllo delle controllanti oltre</v>
      </c>
      <c r="B155" s="2">
        <f>$M155*input!B152</f>
        <v>0</v>
      </c>
      <c r="C155" s="2">
        <f>$M155*input!C152</f>
        <v>0</v>
      </c>
      <c r="D155" s="2">
        <f>$M155*input!D152</f>
        <v>0</v>
      </c>
      <c r="E155" s="2">
        <f>$M155*input!E152</f>
        <v>0</v>
      </c>
      <c r="F155" s="2">
        <f>$M155*input!F152</f>
        <v>0</v>
      </c>
      <c r="G155" s="2">
        <f>$M155*input!G152</f>
        <v>0</v>
      </c>
      <c r="H155" s="2">
        <f>$M155*input!H152</f>
        <v>0</v>
      </c>
      <c r="I155" s="2">
        <f>$M155*input!I152</f>
        <v>0</v>
      </c>
      <c r="J155" s="2">
        <f>$M155*input!J152</f>
        <v>0</v>
      </c>
      <c r="K155" s="2">
        <f>$M155*input!K152</f>
        <v>0</v>
      </c>
      <c r="M155" s="3">
        <v>1</v>
      </c>
      <c r="N155" s="3" t="s">
        <v>245</v>
      </c>
    </row>
    <row r="156" spans="1:14" ht="13" x14ac:dyDescent="0.15">
      <c r="A156" s="13" t="str">
        <f>input!A153</f>
        <v>D.12. Debiti Tributari entro</v>
      </c>
      <c r="B156" s="2">
        <f>$M156*input!B153</f>
        <v>235721</v>
      </c>
      <c r="C156" s="2">
        <f>$M156*input!C153</f>
        <v>135216</v>
      </c>
      <c r="D156" s="2">
        <f>$M156*input!D153</f>
        <v>65377</v>
      </c>
      <c r="E156" s="2">
        <f>$M156*input!E153</f>
        <v>105582</v>
      </c>
      <c r="F156" s="2">
        <f>$M156*input!F153</f>
        <v>106674</v>
      </c>
      <c r="G156" s="2">
        <f>$M156*input!G153</f>
        <v>51877</v>
      </c>
      <c r="H156" s="2">
        <f>$M156*input!H153</f>
        <v>163119</v>
      </c>
      <c r="I156" s="2">
        <f>$M156*input!I153</f>
        <v>243381</v>
      </c>
      <c r="J156" s="2">
        <f>$M156*input!J153</f>
        <v>0</v>
      </c>
      <c r="K156" s="2">
        <f>$M156*input!K153</f>
        <v>0</v>
      </c>
      <c r="M156" s="3">
        <v>1</v>
      </c>
      <c r="N156" s="3" t="s">
        <v>276</v>
      </c>
    </row>
    <row r="157" spans="1:14" ht="13" x14ac:dyDescent="0.15">
      <c r="A157" s="13" t="str">
        <f>input!A154</f>
        <v>D.12. Debiti Tributari oltre</v>
      </c>
      <c r="B157" s="2">
        <f>$M157*input!B154</f>
        <v>0</v>
      </c>
      <c r="C157" s="2">
        <f>$M157*input!C154</f>
        <v>0</v>
      </c>
      <c r="D157" s="2">
        <f>$M157*input!D154</f>
        <v>0</v>
      </c>
      <c r="E157" s="2">
        <f>$M157*input!E154</f>
        <v>0</v>
      </c>
      <c r="F157" s="2">
        <f>$M157*input!F154</f>
        <v>0</v>
      </c>
      <c r="G157" s="2">
        <f>$M157*input!G154</f>
        <v>0</v>
      </c>
      <c r="H157" s="2">
        <f>$M157*input!H154</f>
        <v>0</v>
      </c>
      <c r="I157" s="2">
        <f>$M157*input!I154</f>
        <v>0</v>
      </c>
      <c r="J157" s="2">
        <f>$M157*input!J154</f>
        <v>0</v>
      </c>
      <c r="K157" s="2">
        <f>$M157*input!K154</f>
        <v>0</v>
      </c>
      <c r="M157" s="3">
        <v>1</v>
      </c>
      <c r="N157" s="3" t="s">
        <v>276</v>
      </c>
    </row>
    <row r="158" spans="1:14" ht="13" x14ac:dyDescent="0.15">
      <c r="A158" s="13" t="str">
        <f>input!A155</f>
        <v>D.13. Istituti previdenza entro</v>
      </c>
      <c r="B158" s="2">
        <f>$M158*input!B155</f>
        <v>70140</v>
      </c>
      <c r="C158" s="2">
        <f>$M158*input!C155</f>
        <v>86558</v>
      </c>
      <c r="D158" s="2">
        <f>$M158*input!D155</f>
        <v>64694</v>
      </c>
      <c r="E158" s="2">
        <f>$M158*input!E155</f>
        <v>66189</v>
      </c>
      <c r="F158" s="2">
        <f>$M158*input!F155</f>
        <v>45686</v>
      </c>
      <c r="G158" s="2">
        <f>$M158*input!G155</f>
        <v>58094</v>
      </c>
      <c r="H158" s="2">
        <f>$M158*input!H155</f>
        <v>53295</v>
      </c>
      <c r="I158" s="2">
        <f>$M158*input!I155</f>
        <v>60311</v>
      </c>
      <c r="J158" s="2">
        <f>$M158*input!J155</f>
        <v>0</v>
      </c>
      <c r="K158" s="2">
        <f>$M158*input!K155</f>
        <v>0</v>
      </c>
      <c r="M158" s="3">
        <v>1</v>
      </c>
      <c r="N158" s="3" t="s">
        <v>276</v>
      </c>
    </row>
    <row r="159" spans="1:14" ht="13" x14ac:dyDescent="0.15">
      <c r="A159" s="13" t="str">
        <f>input!A156</f>
        <v>D.13. Istituti previdenza oltre</v>
      </c>
      <c r="B159" s="2">
        <f>$M159*input!B156</f>
        <v>0</v>
      </c>
      <c r="C159" s="2">
        <f>$M159*input!C156</f>
        <v>0</v>
      </c>
      <c r="D159" s="2">
        <f>$M159*input!D156</f>
        <v>0</v>
      </c>
      <c r="E159" s="2">
        <f>$M159*input!E156</f>
        <v>0</v>
      </c>
      <c r="F159" s="2">
        <f>$M159*input!F156</f>
        <v>0</v>
      </c>
      <c r="G159" s="2">
        <f>$M159*input!G156</f>
        <v>0</v>
      </c>
      <c r="H159" s="2">
        <f>$M159*input!H156</f>
        <v>0</v>
      </c>
      <c r="I159" s="2">
        <f>$M159*input!I156</f>
        <v>0</v>
      </c>
      <c r="J159" s="2">
        <f>$M159*input!J156</f>
        <v>0</v>
      </c>
      <c r="K159" s="2">
        <f>$M159*input!K156</f>
        <v>0</v>
      </c>
      <c r="M159" s="3">
        <v>1</v>
      </c>
      <c r="N159" s="3" t="s">
        <v>276</v>
      </c>
    </row>
    <row r="160" spans="1:14" ht="13" x14ac:dyDescent="0.15">
      <c r="A160" s="13" t="str">
        <f>input!A157</f>
        <v>D.14. Altri Debiti entro</v>
      </c>
      <c r="B160" s="2">
        <f>$M160*input!B157</f>
        <v>820065</v>
      </c>
      <c r="C160" s="2">
        <f>$M160*input!C157</f>
        <v>669806</v>
      </c>
      <c r="D160" s="2">
        <f>$M160*input!D157</f>
        <v>733286</v>
      </c>
      <c r="E160" s="2">
        <f>$M160*input!E157</f>
        <v>633756</v>
      </c>
      <c r="F160" s="2">
        <f>$M160*input!F157</f>
        <v>581221</v>
      </c>
      <c r="G160" s="2">
        <f>$M160*input!G157</f>
        <v>499135</v>
      </c>
      <c r="H160" s="2">
        <f>$M160*input!H157</f>
        <v>422015</v>
      </c>
      <c r="I160" s="2">
        <f>$M160*input!I157</f>
        <v>394393</v>
      </c>
      <c r="J160" s="2">
        <f>$M160*input!J157</f>
        <v>0</v>
      </c>
      <c r="K160" s="2">
        <f>$M160*input!K157</f>
        <v>0</v>
      </c>
      <c r="M160" s="3">
        <v>1</v>
      </c>
      <c r="N160" s="3" t="s">
        <v>272</v>
      </c>
    </row>
    <row r="161" spans="1:14" ht="13" x14ac:dyDescent="0.15">
      <c r="A161" s="13" t="str">
        <f>input!A158</f>
        <v>D.14. Altri Debiti oltre</v>
      </c>
      <c r="B161" s="2">
        <f>$M161*input!B158</f>
        <v>0</v>
      </c>
      <c r="C161" s="2">
        <f>$M161*input!C158</f>
        <v>0</v>
      </c>
      <c r="D161" s="2">
        <f>$M161*input!D158</f>
        <v>0</v>
      </c>
      <c r="E161" s="2">
        <f>$M161*input!E158</f>
        <v>0</v>
      </c>
      <c r="F161" s="2">
        <f>$M161*input!F158</f>
        <v>0</v>
      </c>
      <c r="G161" s="2">
        <f>$M161*input!G158</f>
        <v>0</v>
      </c>
      <c r="H161" s="2">
        <f>$M161*input!H158</f>
        <v>0</v>
      </c>
      <c r="I161" s="2">
        <f>$M161*input!I158</f>
        <v>0</v>
      </c>
      <c r="J161" s="2">
        <f>$M161*input!J158</f>
        <v>0</v>
      </c>
      <c r="K161" s="2">
        <f>$M161*input!K158</f>
        <v>0</v>
      </c>
      <c r="M161" s="3">
        <v>1</v>
      </c>
      <c r="N161" s="3" t="s">
        <v>273</v>
      </c>
    </row>
    <row r="162" spans="1:14" ht="13" x14ac:dyDescent="0.15">
      <c r="A162" s="1" t="str">
        <f>input!A159</f>
        <v>D. DEBITI A BREVE</v>
      </c>
      <c r="B162" s="2">
        <f>$M162*input!B159</f>
        <v>6795848</v>
      </c>
      <c r="C162" s="2">
        <f>$M162*input!C159</f>
        <v>7222626</v>
      </c>
      <c r="D162" s="2">
        <f>$M162*input!D159</f>
        <v>7900831</v>
      </c>
      <c r="E162" s="2">
        <f>$M162*input!E159</f>
        <v>6443247</v>
      </c>
      <c r="F162" s="2">
        <f>$M162*input!F159</f>
        <v>5043549</v>
      </c>
      <c r="G162" s="2">
        <f>$M162*input!G159</f>
        <v>6083167</v>
      </c>
      <c r="H162" s="2">
        <f>$M162*input!H159</f>
        <v>3659635</v>
      </c>
      <c r="I162" s="2">
        <f>$M162*input!I159</f>
        <v>3916613</v>
      </c>
      <c r="J162" s="2">
        <f>$M162*input!J159</f>
        <v>0</v>
      </c>
      <c r="K162" s="2">
        <f>$M162*input!K159</f>
        <v>0</v>
      </c>
      <c r="M162" s="3">
        <v>1</v>
      </c>
    </row>
    <row r="163" spans="1:14" ht="13" x14ac:dyDescent="0.15">
      <c r="A163" s="1" t="str">
        <f>input!A160</f>
        <v>D. DEBITI A OLTRE</v>
      </c>
      <c r="B163" s="2">
        <f>$M163*input!B160</f>
        <v>5110204</v>
      </c>
      <c r="C163" s="2">
        <f>$M163*input!C160</f>
        <v>6691873</v>
      </c>
      <c r="D163" s="2">
        <f>$M163*input!D160</f>
        <v>6717513</v>
      </c>
      <c r="E163" s="2">
        <f>$M163*input!E160</f>
        <v>7372195</v>
      </c>
      <c r="F163" s="2">
        <f>$M163*input!F160</f>
        <v>6304053</v>
      </c>
      <c r="G163" s="2">
        <f>$M163*input!G160</f>
        <v>588287</v>
      </c>
      <c r="H163" s="2">
        <f>$M163*input!H160</f>
        <v>808395</v>
      </c>
      <c r="I163" s="2">
        <f>$M163*input!I160</f>
        <v>952264</v>
      </c>
      <c r="J163" s="2">
        <f>$M163*input!J160</f>
        <v>0</v>
      </c>
      <c r="K163" s="2">
        <f>$M163*input!K160</f>
        <v>0</v>
      </c>
      <c r="M163" s="3">
        <v>1</v>
      </c>
    </row>
    <row r="164" spans="1:14" ht="13" x14ac:dyDescent="0.15">
      <c r="A164" s="1" t="str">
        <f>input!A161</f>
        <v>Total debiti entro l'esercizio</v>
      </c>
      <c r="B164" s="2">
        <f>$M164*input!B161</f>
        <v>6795848</v>
      </c>
      <c r="C164" s="2">
        <f>$M164*input!C161</f>
        <v>7222626</v>
      </c>
      <c r="D164" s="2">
        <f>$M164*input!D161</f>
        <v>7900831</v>
      </c>
      <c r="E164" s="2">
        <f>$M164*input!E161</f>
        <v>6443247</v>
      </c>
      <c r="F164" s="2">
        <f>$M164*input!F161</f>
        <v>5043549</v>
      </c>
      <c r="G164" s="2">
        <f>$M164*input!G161</f>
        <v>6083167</v>
      </c>
      <c r="H164" s="2">
        <f>$M164*input!H161</f>
        <v>3659635</v>
      </c>
      <c r="I164" s="2">
        <f>$M164*input!I161</f>
        <v>3916613</v>
      </c>
      <c r="J164" s="2">
        <f>$M164*input!J161</f>
        <v>0</v>
      </c>
      <c r="K164" s="2">
        <f>$M164*input!K161</f>
        <v>0</v>
      </c>
      <c r="M164" s="3">
        <v>1</v>
      </c>
    </row>
    <row r="165" spans="1:14" ht="13" x14ac:dyDescent="0.15">
      <c r="A165" s="1" t="str">
        <f>input!A162</f>
        <v>Total debiti oltre l'esercizio</v>
      </c>
      <c r="B165" s="2">
        <f>$M165*input!B162</f>
        <v>5110204</v>
      </c>
      <c r="C165" s="2">
        <f>$M165*input!C162</f>
        <v>6691873</v>
      </c>
      <c r="D165" s="2">
        <f>$M165*input!D162</f>
        <v>6717513</v>
      </c>
      <c r="E165" s="2">
        <f>$M165*input!E162</f>
        <v>7372195</v>
      </c>
      <c r="F165" s="2">
        <f>$M165*input!F162</f>
        <v>6304053</v>
      </c>
      <c r="G165" s="2">
        <f>$M165*input!G162</f>
        <v>588287</v>
      </c>
      <c r="H165" s="2">
        <f>$M165*input!H162</f>
        <v>808395</v>
      </c>
      <c r="I165" s="2">
        <f>$M165*input!I162</f>
        <v>952264</v>
      </c>
      <c r="J165" s="2">
        <f>$M165*input!J162</f>
        <v>0</v>
      </c>
      <c r="K165" s="2">
        <f>$M165*input!K162</f>
        <v>0</v>
      </c>
      <c r="M165" s="3">
        <v>1</v>
      </c>
    </row>
    <row r="166" spans="1:14" s="11" customFormat="1" ht="13.5" customHeight="1" x14ac:dyDescent="0.15">
      <c r="A166" s="9" t="str">
        <f>input!A163</f>
        <v>E. RATEI E RISCONTI</v>
      </c>
      <c r="B166" s="10">
        <f>$M166*input!B163</f>
        <v>935845</v>
      </c>
      <c r="C166" s="10">
        <f>$M166*input!C163</f>
        <v>1233040</v>
      </c>
      <c r="D166" s="10">
        <f>$M166*input!D163</f>
        <v>1254731</v>
      </c>
      <c r="E166" s="10">
        <f>$M166*input!E163</f>
        <v>109486</v>
      </c>
      <c r="F166" s="10">
        <f>$M166*input!F163</f>
        <v>67016</v>
      </c>
      <c r="G166" s="10">
        <f>$M166*input!G163</f>
        <v>48670</v>
      </c>
      <c r="H166" s="10">
        <f>$M166*input!H163</f>
        <v>25640</v>
      </c>
      <c r="I166" s="10">
        <f>$M166*input!I163</f>
        <v>5493</v>
      </c>
      <c r="J166" s="10">
        <f>$M166*input!J163</f>
        <v>0</v>
      </c>
      <c r="K166" s="10">
        <f>$M166*input!K163</f>
        <v>0</v>
      </c>
      <c r="M166" s="11">
        <v>1</v>
      </c>
      <c r="N166" s="11" t="s">
        <v>272</v>
      </c>
    </row>
    <row r="167" spans="1:14" ht="13" x14ac:dyDescent="0.15">
      <c r="A167" s="1" t="str">
        <f>input!A164</f>
        <v>Aggio sui prestiti</v>
      </c>
      <c r="B167" s="2">
        <f>$M167*input!B164</f>
        <v>0</v>
      </c>
      <c r="C167" s="2">
        <f>$M167*input!C164</f>
        <v>0</v>
      </c>
      <c r="D167" s="2">
        <f>$M167*input!D164</f>
        <v>0</v>
      </c>
      <c r="E167" s="2">
        <f>$M167*input!E164</f>
        <v>0</v>
      </c>
      <c r="F167" s="2">
        <f>$M167*input!F164</f>
        <v>0</v>
      </c>
      <c r="G167" s="2">
        <f>$M167*input!G164</f>
        <v>0</v>
      </c>
      <c r="H167" s="2">
        <f>$M167*input!H164</f>
        <v>0</v>
      </c>
      <c r="I167" s="2">
        <f>$M167*input!I164</f>
        <v>0</v>
      </c>
      <c r="J167" s="2">
        <f>$M167*input!J164</f>
        <v>0</v>
      </c>
      <c r="K167" s="2">
        <f>$M167*input!K164</f>
        <v>0</v>
      </c>
      <c r="M167" s="3">
        <v>1</v>
      </c>
    </row>
    <row r="168" spans="1:14" s="11" customFormat="1" ht="13.5" customHeight="1" x14ac:dyDescent="0.15">
      <c r="A168" s="17" t="str">
        <f>input!A165</f>
        <v>TOTALE PASSIVO</v>
      </c>
      <c r="B168" s="18">
        <f>$M168*input!B165</f>
        <v>18790859</v>
      </c>
      <c r="C168" s="18">
        <f>$M168*input!C165</f>
        <v>20554377</v>
      </c>
      <c r="D168" s="18">
        <f>$M168*input!D165</f>
        <v>20723060</v>
      </c>
      <c r="E168" s="18">
        <f>$M168*input!E165</f>
        <v>18204611</v>
      </c>
      <c r="F168" s="18">
        <f>$M168*input!F165</f>
        <v>14795011</v>
      </c>
      <c r="G168" s="18">
        <f>$M168*input!G165</f>
        <v>9311398</v>
      </c>
      <c r="H168" s="18">
        <f>$M168*input!H165</f>
        <v>6455031</v>
      </c>
      <c r="I168" s="18">
        <f>$M168*input!I165</f>
        <v>6151737</v>
      </c>
      <c r="J168" s="18">
        <f>$M168*input!J165</f>
        <v>0</v>
      </c>
      <c r="K168" s="18">
        <f>$M168*input!K165</f>
        <v>0</v>
      </c>
      <c r="M168" s="11">
        <v>1</v>
      </c>
    </row>
    <row r="169" spans="1:14" ht="13" x14ac:dyDescent="0.15">
      <c r="A169" s="1" t="str">
        <f>input!A166</f>
        <v>TOTALE CONTI D'ORDINE</v>
      </c>
      <c r="B169" s="2">
        <f>$M169*input!B166</f>
        <v>0</v>
      </c>
      <c r="C169" s="2">
        <f>$M169*input!C166</f>
        <v>0</v>
      </c>
      <c r="D169" s="2">
        <f>$M169*input!D166</f>
        <v>0</v>
      </c>
      <c r="E169" s="2">
        <f>$M169*input!E166</f>
        <v>0</v>
      </c>
      <c r="F169" s="2">
        <f>$M169*input!F166</f>
        <v>0</v>
      </c>
      <c r="G169" s="2">
        <f>$M169*input!G166</f>
        <v>0</v>
      </c>
      <c r="H169" s="2">
        <f>$M169*input!H166</f>
        <v>0</v>
      </c>
      <c r="I169" s="2">
        <f>$M169*input!I166</f>
        <v>0</v>
      </c>
      <c r="J169" s="2">
        <f>$M169*input!J166</f>
        <v>0</v>
      </c>
      <c r="K169" s="2">
        <f>$M169*input!K166</f>
        <v>0</v>
      </c>
      <c r="M169" s="3">
        <v>1</v>
      </c>
    </row>
    <row r="171" spans="1:14" s="25" customFormat="1" ht="18" customHeight="1" x14ac:dyDescent="0.15">
      <c r="A171" s="23" t="str">
        <f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pans="1:14" s="11" customFormat="1" ht="13.5" customHeight="1" x14ac:dyDescent="0.15">
      <c r="A172" s="9" t="str">
        <f>input!A168</f>
        <v>A. TOT. VAL. DELLA PRODUZIONE</v>
      </c>
      <c r="B172" s="10">
        <f>$M172*input!B168</f>
        <v>21175083</v>
      </c>
      <c r="C172" s="10">
        <f>$M172*input!C168</f>
        <v>21333756</v>
      </c>
      <c r="D172" s="10">
        <f>$M172*input!D168</f>
        <v>20175039</v>
      </c>
      <c r="E172" s="10">
        <f>$M172*input!E168</f>
        <v>15943683</v>
      </c>
      <c r="F172" s="10">
        <f>$M172*input!F168</f>
        <v>13994258</v>
      </c>
      <c r="G172" s="10">
        <f>$M172*input!G168</f>
        <v>14096980</v>
      </c>
      <c r="H172" s="10">
        <f>$M172*input!H168</f>
        <v>11927860</v>
      </c>
      <c r="I172" s="10">
        <f>$M172*input!I168</f>
        <v>9845054</v>
      </c>
      <c r="J172" s="10">
        <f>$M172*input!J168</f>
        <v>0</v>
      </c>
      <c r="K172" s="10">
        <f>$M172*input!K168</f>
        <v>0</v>
      </c>
      <c r="M172" s="11">
        <v>1</v>
      </c>
    </row>
    <row r="173" spans="1:14" ht="13" x14ac:dyDescent="0.15">
      <c r="A173" s="13" t="str">
        <f>input!A169</f>
        <v>A.1. Ricavi vendite e prestazioni</v>
      </c>
      <c r="B173" s="2">
        <f>$M173*input!B169</f>
        <v>21463379</v>
      </c>
      <c r="C173" s="2">
        <f>$M173*input!C169</f>
        <v>20988520</v>
      </c>
      <c r="D173" s="2">
        <f>$M173*input!D169</f>
        <v>17588847</v>
      </c>
      <c r="E173" s="2">
        <f>$M173*input!E169</f>
        <v>15559839</v>
      </c>
      <c r="F173" s="2">
        <f>$M173*input!F169</f>
        <v>14316092</v>
      </c>
      <c r="G173" s="2">
        <f>$M173*input!G169</f>
        <v>13473198</v>
      </c>
      <c r="H173" s="2">
        <f>$M173*input!H169</f>
        <v>11493812</v>
      </c>
      <c r="I173" s="2">
        <f>$M173*input!I169</f>
        <v>9891413</v>
      </c>
      <c r="J173" s="2">
        <f>$M173*input!J169</f>
        <v>0</v>
      </c>
      <c r="K173" s="2">
        <f>$M173*input!K169</f>
        <v>0</v>
      </c>
      <c r="M173" s="3">
        <v>1</v>
      </c>
      <c r="N173" s="3" t="s">
        <v>277</v>
      </c>
    </row>
    <row r="174" spans="1:14" ht="13" x14ac:dyDescent="0.15">
      <c r="A174" s="13" t="str">
        <f>input!A170</f>
        <v>A.2. Var. rimanenze prodotti</v>
      </c>
      <c r="B174" s="2">
        <f>$M174*input!B170</f>
        <v>-573471</v>
      </c>
      <c r="C174" s="2">
        <f>$M174*input!C170</f>
        <v>-74468</v>
      </c>
      <c r="D174" s="2">
        <f>$M174*input!D170</f>
        <v>2163754</v>
      </c>
      <c r="E174" s="2">
        <f>$M174*input!E170</f>
        <v>288102</v>
      </c>
      <c r="F174" s="2">
        <f>$M174*input!F170</f>
        <v>-377792</v>
      </c>
      <c r="G174" s="2">
        <f>$M174*input!G170</f>
        <v>494422</v>
      </c>
      <c r="H174" s="2">
        <f>$M174*input!H170</f>
        <v>386643</v>
      </c>
      <c r="I174" s="2">
        <f>$M174*input!I170</f>
        <v>-75281</v>
      </c>
      <c r="J174" s="2">
        <f>$M174*input!J170</f>
        <v>0</v>
      </c>
      <c r="K174" s="2">
        <f>$M174*input!K170</f>
        <v>0</v>
      </c>
      <c r="M174" s="3">
        <v>1</v>
      </c>
      <c r="N174" s="3" t="s">
        <v>278</v>
      </c>
    </row>
    <row r="175" spans="1:14" ht="13" x14ac:dyDescent="0.15">
      <c r="A175" s="13" t="str">
        <f>input!A171</f>
        <v>A.3. Variazione lavori</v>
      </c>
      <c r="B175" s="2">
        <f>$M175*input!B171</f>
        <v>0</v>
      </c>
      <c r="C175" s="2">
        <f>$M175*input!C171</f>
        <v>0</v>
      </c>
      <c r="D175" s="2">
        <f>$M175*input!D171</f>
        <v>0</v>
      </c>
      <c r="E175" s="2">
        <f>$M175*input!E171</f>
        <v>0</v>
      </c>
      <c r="F175" s="2">
        <f>$M175*input!F171</f>
        <v>0</v>
      </c>
      <c r="G175" s="2">
        <f>$M175*input!G171</f>
        <v>0</v>
      </c>
      <c r="H175" s="2">
        <f>$M175*input!H171</f>
        <v>0</v>
      </c>
      <c r="I175" s="2">
        <f>$M175*input!I171</f>
        <v>0</v>
      </c>
      <c r="J175" s="2">
        <f>$M175*input!J171</f>
        <v>0</v>
      </c>
      <c r="K175" s="2">
        <f>$M175*input!K171</f>
        <v>0</v>
      </c>
      <c r="M175" s="3">
        <v>1</v>
      </c>
      <c r="N175" s="3" t="s">
        <v>279</v>
      </c>
    </row>
    <row r="176" spans="1:14" ht="13" x14ac:dyDescent="0.15">
      <c r="A176" s="13" t="str">
        <f>input!A172</f>
        <v>A.2. + A.3. Totale Variazioni</v>
      </c>
      <c r="B176" s="2">
        <f>$M176*input!B172</f>
        <v>-573471</v>
      </c>
      <c r="C176" s="2">
        <f>$M176*input!C172</f>
        <v>-74468</v>
      </c>
      <c r="D176" s="2">
        <f>$M176*input!D172</f>
        <v>2163754</v>
      </c>
      <c r="E176" s="2">
        <f>$M176*input!E172</f>
        <v>288102</v>
      </c>
      <c r="F176" s="2">
        <f>$M176*input!F172</f>
        <v>-377792</v>
      </c>
      <c r="G176" s="2">
        <f>$M176*input!G172</f>
        <v>494422</v>
      </c>
      <c r="H176" s="2">
        <f>$M176*input!H172</f>
        <v>386643</v>
      </c>
      <c r="I176" s="2">
        <f>$M176*input!I172</f>
        <v>-75281</v>
      </c>
      <c r="J176" s="2">
        <f>$M176*input!J172</f>
        <v>0</v>
      </c>
      <c r="K176" s="2">
        <f>$M176*input!K172</f>
        <v>0</v>
      </c>
      <c r="M176" s="3">
        <v>1</v>
      </c>
    </row>
    <row r="177" spans="1:14" ht="13" x14ac:dyDescent="0.15">
      <c r="A177" s="13" t="str">
        <f>input!A173</f>
        <v>A.4. Incrementi di immob.</v>
      </c>
      <c r="B177" s="2">
        <f>$M177*input!B173</f>
        <v>0</v>
      </c>
      <c r="C177" s="2">
        <f>$M177*input!C173</f>
        <v>0</v>
      </c>
      <c r="D177" s="2">
        <f>$M177*input!D173</f>
        <v>0</v>
      </c>
      <c r="E177" s="2">
        <f>$M177*input!E173</f>
        <v>0</v>
      </c>
      <c r="F177" s="2">
        <f>$M177*input!F173</f>
        <v>0</v>
      </c>
      <c r="G177" s="2">
        <f>$M177*input!G173</f>
        <v>0</v>
      </c>
      <c r="H177" s="2">
        <f>$M177*input!H173</f>
        <v>0</v>
      </c>
      <c r="I177" s="2">
        <f>$M177*input!I173</f>
        <v>0</v>
      </c>
      <c r="J177" s="2">
        <f>$M177*input!J173</f>
        <v>0</v>
      </c>
      <c r="K177" s="2">
        <f>$M177*input!K173</f>
        <v>0</v>
      </c>
      <c r="M177" s="3">
        <v>1</v>
      </c>
      <c r="N177" s="3" t="s">
        <v>280</v>
      </c>
    </row>
    <row r="178" spans="1:14" ht="13" x14ac:dyDescent="0.15">
      <c r="A178" s="13" t="str">
        <f>input!A174</f>
        <v>A.5. Altri ricavi</v>
      </c>
      <c r="B178" s="2">
        <f>$M178*input!B174</f>
        <v>285175</v>
      </c>
      <c r="C178" s="2">
        <f>$M178*input!C174</f>
        <v>419704</v>
      </c>
      <c r="D178" s="2">
        <f>$M178*input!D174</f>
        <v>422438</v>
      </c>
      <c r="E178" s="2">
        <f>$M178*input!E174</f>
        <v>95742</v>
      </c>
      <c r="F178" s="2">
        <f>$M178*input!F174</f>
        <v>55958</v>
      </c>
      <c r="G178" s="2">
        <f>$M178*input!G174</f>
        <v>129360</v>
      </c>
      <c r="H178" s="2">
        <f>$M178*input!H174</f>
        <v>47405</v>
      </c>
      <c r="I178" s="2">
        <f>$M178*input!I174</f>
        <v>28922</v>
      </c>
      <c r="J178" s="2">
        <f>$M178*input!J174</f>
        <v>0</v>
      </c>
      <c r="K178" s="2">
        <f>$M178*input!K174</f>
        <v>0</v>
      </c>
      <c r="M178" s="3">
        <v>1</v>
      </c>
      <c r="N178" s="3" t="s">
        <v>277</v>
      </c>
    </row>
    <row r="179" spans="1:14" ht="13" x14ac:dyDescent="0.15">
      <c r="A179" s="13" t="str">
        <f>input!A175</f>
        <v>Contributi in conto esercizio</v>
      </c>
      <c r="B179" s="2">
        <f>$M179*input!B175</f>
        <v>97559</v>
      </c>
      <c r="C179" s="2">
        <f>$M179*input!C175</f>
        <v>265833</v>
      </c>
      <c r="D179" s="2">
        <f>$M179*input!D175</f>
        <v>189996</v>
      </c>
      <c r="E179" s="2">
        <f>$M179*input!E175</f>
        <v>17223</v>
      </c>
      <c r="F179" s="2">
        <f>$M179*input!F175</f>
        <v>35171</v>
      </c>
      <c r="G179" s="2">
        <f>$M179*input!G175</f>
        <v>52406</v>
      </c>
      <c r="H179" s="2">
        <f>$M179*input!H175</f>
        <v>21783</v>
      </c>
      <c r="I179" s="2">
        <f>$M179*input!I175</f>
        <v>2994</v>
      </c>
      <c r="J179" s="2">
        <f>$M179*input!J175</f>
        <v>0</v>
      </c>
      <c r="K179" s="2">
        <f>$M179*input!K175</f>
        <v>0</v>
      </c>
      <c r="M179" s="3">
        <v>1</v>
      </c>
      <c r="N179" s="3" t="s">
        <v>281</v>
      </c>
    </row>
    <row r="180" spans="1:14" s="11" customFormat="1" ht="13.5" customHeight="1" x14ac:dyDescent="0.15">
      <c r="A180" s="9" t="str">
        <f>input!A176</f>
        <v>B. COSTI DELLA PRODUZIONE</v>
      </c>
      <c r="B180" s="10">
        <f>$M180*input!B176</f>
        <v>19586234</v>
      </c>
      <c r="C180" s="10">
        <f>$M180*input!C176</f>
        <v>20216429</v>
      </c>
      <c r="D180" s="10">
        <f>$M180*input!D176</f>
        <v>19211064</v>
      </c>
      <c r="E180" s="10">
        <f>$M180*input!E176</f>
        <v>14532426</v>
      </c>
      <c r="F180" s="10">
        <f>$M180*input!F176</f>
        <v>12642532</v>
      </c>
      <c r="G180" s="10">
        <f>$M180*input!G176</f>
        <v>13027353</v>
      </c>
      <c r="H180" s="10">
        <f>$M180*input!H176</f>
        <v>10874910</v>
      </c>
      <c r="I180" s="10">
        <f>$M180*input!I176</f>
        <v>9209207</v>
      </c>
      <c r="J180" s="10">
        <f>$M180*input!J176</f>
        <v>0</v>
      </c>
      <c r="K180" s="10">
        <f>$M180*input!K176</f>
        <v>0</v>
      </c>
      <c r="M180" s="11">
        <v>1</v>
      </c>
    </row>
    <row r="181" spans="1:14" ht="13" x14ac:dyDescent="0.15">
      <c r="A181" s="13" t="str">
        <f>input!A177</f>
        <v>B.6. Materie prime e consumo</v>
      </c>
      <c r="B181" s="2">
        <f>$M181*input!B177</f>
        <v>-14699595</v>
      </c>
      <c r="C181" s="2">
        <f>$M181*input!C177</f>
        <v>-14953922</v>
      </c>
      <c r="D181" s="2">
        <f>$M181*input!D177</f>
        <v>-13825249</v>
      </c>
      <c r="E181" s="2">
        <f>$M181*input!E177</f>
        <v>-10511247</v>
      </c>
      <c r="F181" s="2">
        <f>$M181*input!F177</f>
        <v>-9060210</v>
      </c>
      <c r="G181" s="2">
        <f>$M181*input!G177</f>
        <v>-9472095</v>
      </c>
      <c r="H181" s="2">
        <f>$M181*input!H177</f>
        <v>-7620373</v>
      </c>
      <c r="I181" s="2">
        <f>$M181*input!I177</f>
        <v>-6509298</v>
      </c>
      <c r="J181" s="2">
        <f>$M181*input!J177</f>
        <v>0</v>
      </c>
      <c r="K181" s="2">
        <f>$M181*input!K177</f>
        <v>0</v>
      </c>
      <c r="M181" s="3">
        <v>-1</v>
      </c>
      <c r="N181" s="3" t="s">
        <v>282</v>
      </c>
    </row>
    <row r="182" spans="1:14" ht="13" x14ac:dyDescent="0.15">
      <c r="A182" s="13" t="str">
        <f>input!A178</f>
        <v>B.7. Servizi</v>
      </c>
      <c r="B182" s="2">
        <f>$M182*input!B178</f>
        <v>-2422226</v>
      </c>
      <c r="C182" s="2">
        <f>$M182*input!C178</f>
        <v>-2512120</v>
      </c>
      <c r="D182" s="2">
        <f>$M182*input!D178</f>
        <v>-2928006</v>
      </c>
      <c r="E182" s="2">
        <f>$M182*input!E178</f>
        <v>-2010409</v>
      </c>
      <c r="F182" s="2">
        <f>$M182*input!F178</f>
        <v>-1917407</v>
      </c>
      <c r="G182" s="2">
        <f>$M182*input!G178</f>
        <v>-1966664</v>
      </c>
      <c r="H182" s="2">
        <f>$M182*input!H178</f>
        <v>-1696231</v>
      </c>
      <c r="I182" s="2">
        <f>$M182*input!I178</f>
        <v>-1342031</v>
      </c>
      <c r="J182" s="2">
        <f>$M182*input!J178</f>
        <v>0</v>
      </c>
      <c r="K182" s="2">
        <f>$M182*input!K178</f>
        <v>0</v>
      </c>
      <c r="M182" s="3">
        <v>-1</v>
      </c>
      <c r="N182" s="3" t="s">
        <v>283</v>
      </c>
    </row>
    <row r="183" spans="1:14" ht="13" x14ac:dyDescent="0.15">
      <c r="A183" s="13" t="str">
        <f>input!A179</f>
        <v>B.8. Godimento beni di terzi</v>
      </c>
      <c r="B183" s="2">
        <f>$M183*input!B179</f>
        <v>-117380</v>
      </c>
      <c r="C183" s="2">
        <f>$M183*input!C179</f>
        <v>-75105</v>
      </c>
      <c r="D183" s="2">
        <f>$M183*input!D179</f>
        <v>-85474</v>
      </c>
      <c r="E183" s="2">
        <f>$M183*input!E179</f>
        <v>-78590</v>
      </c>
      <c r="F183" s="2">
        <f>$M183*input!F179</f>
        <v>-73502</v>
      </c>
      <c r="G183" s="2">
        <f>$M183*input!G179</f>
        <v>-66140</v>
      </c>
      <c r="H183" s="2">
        <f>$M183*input!H179</f>
        <v>-53268</v>
      </c>
      <c r="I183" s="2">
        <f>$M183*input!I179</f>
        <v>-64128</v>
      </c>
      <c r="J183" s="2">
        <f>$M183*input!J179</f>
        <v>0</v>
      </c>
      <c r="K183" s="2">
        <f>$M183*input!K179</f>
        <v>0</v>
      </c>
      <c r="M183" s="3">
        <v>-1</v>
      </c>
      <c r="N183" s="3" t="s">
        <v>284</v>
      </c>
    </row>
    <row r="184" spans="1:14" ht="13" x14ac:dyDescent="0.15">
      <c r="A184" s="13" t="str">
        <f>input!A180</f>
        <v>B.9. Totale costi del personale</v>
      </c>
      <c r="B184" s="2">
        <f>$M184*input!B180</f>
        <v>-1498458</v>
      </c>
      <c r="C184" s="2">
        <f>$M184*input!C180</f>
        <v>-1556067</v>
      </c>
      <c r="D184" s="2">
        <f>$M184*input!D180</f>
        <v>-1602450</v>
      </c>
      <c r="E184" s="2">
        <f>$M184*input!E180</f>
        <v>-1479224</v>
      </c>
      <c r="F184" s="2">
        <f>$M184*input!F180</f>
        <v>-1291439</v>
      </c>
      <c r="G184" s="2">
        <f>$M184*input!G180</f>
        <v>-1276116</v>
      </c>
      <c r="H184" s="2">
        <f>$M184*input!H180</f>
        <v>-1096036</v>
      </c>
      <c r="I184" s="2">
        <f>$M184*input!I180</f>
        <v>-863572</v>
      </c>
      <c r="J184" s="2">
        <f>$M184*input!J180</f>
        <v>0</v>
      </c>
      <c r="K184" s="2">
        <f>$M184*input!K180</f>
        <v>0</v>
      </c>
      <c r="L184" s="26"/>
      <c r="M184" s="3">
        <v>-1</v>
      </c>
      <c r="N184" s="3" t="s">
        <v>285</v>
      </c>
    </row>
    <row r="185" spans="1:14" ht="13" x14ac:dyDescent="0.15">
      <c r="A185" s="14" t="str">
        <f>input!A181</f>
        <v>B.9.a. Salari e stipendi</v>
      </c>
      <c r="B185" s="2">
        <f>$M185*input!B181</f>
        <v>1114481</v>
      </c>
      <c r="C185" s="2">
        <f>$M185*input!C181</f>
        <v>1153603</v>
      </c>
      <c r="D185" s="2">
        <f>$M185*input!D181</f>
        <v>1171537</v>
      </c>
      <c r="E185" s="2">
        <f>$M185*input!E181</f>
        <v>1109703</v>
      </c>
      <c r="F185" s="2">
        <f>$M185*input!F181</f>
        <v>995556</v>
      </c>
      <c r="G185" s="2">
        <f>$M185*input!G181</f>
        <v>970126</v>
      </c>
      <c r="H185" s="2">
        <f>$M185*input!H181</f>
        <v>843534</v>
      </c>
      <c r="I185" s="2">
        <f>$M185*input!I181</f>
        <v>639901</v>
      </c>
      <c r="J185" s="2">
        <f>$M185*input!J181</f>
        <v>0</v>
      </c>
      <c r="K185" s="2">
        <f>$M185*input!K181</f>
        <v>0</v>
      </c>
      <c r="L185" s="26"/>
      <c r="M185" s="3">
        <v>1</v>
      </c>
    </row>
    <row r="186" spans="1:14" ht="13" x14ac:dyDescent="0.15">
      <c r="A186" s="14" t="str">
        <f>input!A182</f>
        <v>B.9.b. Oneri sociali</v>
      </c>
      <c r="B186" s="2">
        <f>$M186*input!B182</f>
        <v>304319</v>
      </c>
      <c r="C186" s="2">
        <f>$M186*input!C182</f>
        <v>320564</v>
      </c>
      <c r="D186" s="2">
        <f>$M186*input!D182</f>
        <v>339324</v>
      </c>
      <c r="E186" s="2">
        <f>$M186*input!E182</f>
        <v>306352</v>
      </c>
      <c r="F186" s="2">
        <f>$M186*input!F182</f>
        <v>246288</v>
      </c>
      <c r="G186" s="2">
        <f>$M186*input!G182</f>
        <v>257238</v>
      </c>
      <c r="H186" s="2">
        <f>$M186*input!H182</f>
        <v>208162</v>
      </c>
      <c r="I186" s="2">
        <f>$M186*input!I182</f>
        <v>183386</v>
      </c>
      <c r="J186" s="2">
        <f>$M186*input!J182</f>
        <v>0</v>
      </c>
      <c r="K186" s="2">
        <f>$M186*input!K182</f>
        <v>0</v>
      </c>
      <c r="M186" s="3">
        <v>1</v>
      </c>
    </row>
    <row r="187" spans="1:14" ht="13" x14ac:dyDescent="0.15">
      <c r="A187" s="14" t="str">
        <f>input!A183</f>
        <v>B.9.c. Tratt. fine rapporto</v>
      </c>
      <c r="B187" s="2">
        <f>$M187*input!B183</f>
        <v>34063</v>
      </c>
      <c r="C187" s="2">
        <f>$M187*input!C183</f>
        <v>69740</v>
      </c>
      <c r="D187" s="2">
        <f>$M187*input!D183</f>
        <v>82699</v>
      </c>
      <c r="E187" s="2">
        <f>$M187*input!E183</f>
        <v>58425</v>
      </c>
      <c r="F187" s="2">
        <f>$M187*input!F183</f>
        <v>46870</v>
      </c>
      <c r="G187" s="2">
        <f>$M187*input!G183</f>
        <v>46263</v>
      </c>
      <c r="H187" s="2">
        <f>$M187*input!H183</f>
        <v>42176</v>
      </c>
      <c r="I187" s="2">
        <f>$M187*input!I183</f>
        <v>40285</v>
      </c>
      <c r="J187" s="2">
        <f>$M187*input!J183</f>
        <v>0</v>
      </c>
      <c r="K187" s="2">
        <f>$M187*input!K183</f>
        <v>0</v>
      </c>
      <c r="M187" s="3">
        <v>1</v>
      </c>
    </row>
    <row r="188" spans="1:14" ht="13" x14ac:dyDescent="0.15">
      <c r="A188" s="14" t="str">
        <f>input!A184</f>
        <v>B.9.d. Tratt. di quiescenza</v>
      </c>
      <c r="B188" s="2">
        <f>$M188*input!B184</f>
        <v>39635</v>
      </c>
      <c r="C188" s="2">
        <f>$M188*input!C184</f>
        <v>5780</v>
      </c>
      <c r="D188" s="2">
        <f>$M188*input!D184</f>
        <v>2900</v>
      </c>
      <c r="E188" s="2">
        <f>$M188*input!E184</f>
        <v>1409</v>
      </c>
      <c r="F188" s="2">
        <f>$M188*input!F184</f>
        <v>1108</v>
      </c>
      <c r="G188" s="2">
        <f>$M188*input!G184</f>
        <v>889</v>
      </c>
      <c r="H188" s="2">
        <f>$M188*input!H184</f>
        <v>729</v>
      </c>
      <c r="I188" s="2">
        <f>$M188*input!I184</f>
        <v>0</v>
      </c>
      <c r="J188" s="2">
        <f>$M188*input!J184</f>
        <v>0</v>
      </c>
      <c r="K188" s="2">
        <f>$M188*input!K184</f>
        <v>0</v>
      </c>
      <c r="M188" s="3">
        <v>1</v>
      </c>
    </row>
    <row r="189" spans="1:14" ht="13" x14ac:dyDescent="0.15">
      <c r="A189" s="14" t="str">
        <f>input!A185</f>
        <v>B.9.e. Altri costi</v>
      </c>
      <c r="B189" s="2">
        <f>$M189*input!B185</f>
        <v>5960</v>
      </c>
      <c r="C189" s="2">
        <f>$M189*input!C185</f>
        <v>6380</v>
      </c>
      <c r="D189" s="2">
        <f>$M189*input!D185</f>
        <v>5990</v>
      </c>
      <c r="E189" s="2">
        <f>$M189*input!E185</f>
        <v>3335</v>
      </c>
      <c r="F189" s="2">
        <f>$M189*input!F185</f>
        <v>1617</v>
      </c>
      <c r="G189" s="2">
        <f>$M189*input!G185</f>
        <v>1600</v>
      </c>
      <c r="H189" s="2">
        <f>$M189*input!H185</f>
        <v>1435</v>
      </c>
      <c r="I189" s="2">
        <f>$M189*input!I185</f>
        <v>0</v>
      </c>
      <c r="J189" s="2">
        <f>$M189*input!J185</f>
        <v>0</v>
      </c>
      <c r="K189" s="2">
        <f>$M189*input!K185</f>
        <v>0</v>
      </c>
      <c r="M189" s="3">
        <v>1</v>
      </c>
    </row>
    <row r="190" spans="1:14" ht="13" x14ac:dyDescent="0.15">
      <c r="A190" s="14" t="str">
        <f>input!A186</f>
        <v>B.9.f. TFR + quiescenza + altri costi</v>
      </c>
      <c r="B190" s="2">
        <f>$M190*input!B186</f>
        <v>79658</v>
      </c>
      <c r="C190" s="2">
        <f>$M190*input!C186</f>
        <v>81900</v>
      </c>
      <c r="D190" s="2">
        <f>$M190*input!D186</f>
        <v>91589</v>
      </c>
      <c r="E190" s="2">
        <f>$M190*input!E186</f>
        <v>63169</v>
      </c>
      <c r="F190" s="2">
        <f>$M190*input!F186</f>
        <v>49595</v>
      </c>
      <c r="G190" s="2">
        <f>$M190*input!G186</f>
        <v>48752</v>
      </c>
      <c r="H190" s="2">
        <f>$M190*input!H186</f>
        <v>44340</v>
      </c>
      <c r="I190" s="2">
        <f>$M190*input!I186</f>
        <v>40285</v>
      </c>
      <c r="J190" s="2">
        <f>$M190*input!J186</f>
        <v>0</v>
      </c>
      <c r="K190" s="2">
        <f>$M190*input!K186</f>
        <v>0</v>
      </c>
      <c r="M190" s="3">
        <v>1</v>
      </c>
    </row>
    <row r="191" spans="1:14" ht="13" x14ac:dyDescent="0.15">
      <c r="A191" s="13" t="str">
        <f>input!A187</f>
        <v>B.10. TOT Ammortamenti e svalut.</v>
      </c>
      <c r="B191" s="2">
        <f>$M191*input!B187</f>
        <v>938458</v>
      </c>
      <c r="C191" s="2">
        <f>$M191*input!C187</f>
        <v>919596</v>
      </c>
      <c r="D191" s="2">
        <f>$M191*input!D187</f>
        <v>871102</v>
      </c>
      <c r="E191" s="2">
        <f>$M191*input!E187</f>
        <v>486381</v>
      </c>
      <c r="F191" s="2">
        <f>$M191*input!F187</f>
        <v>185223</v>
      </c>
      <c r="G191" s="2">
        <f>$M191*input!G187</f>
        <v>193878</v>
      </c>
      <c r="H191" s="2">
        <f>$M191*input!H187</f>
        <v>196923</v>
      </c>
      <c r="I191" s="2">
        <f>$M191*input!I187</f>
        <v>182462</v>
      </c>
      <c r="J191" s="2">
        <f>$M191*input!J187</f>
        <v>0</v>
      </c>
      <c r="K191" s="2">
        <f>$M191*input!K187</f>
        <v>0</v>
      </c>
      <c r="L191" s="26"/>
      <c r="M191" s="3">
        <v>1</v>
      </c>
    </row>
    <row r="192" spans="1:14" ht="13" x14ac:dyDescent="0.15">
      <c r="A192" s="14" t="str">
        <f>input!A188</f>
        <v>B.10.a. Amm. Immob. Immat.</v>
      </c>
      <c r="B192" s="2">
        <f>$M192*input!B188</f>
        <v>-37282</v>
      </c>
      <c r="C192" s="2">
        <f>$M192*input!C188</f>
        <v>-33337</v>
      </c>
      <c r="D192" s="2">
        <f>$M192*input!D188</f>
        <v>-33064</v>
      </c>
      <c r="E192" s="2">
        <f>$M192*input!E188</f>
        <v>-992</v>
      </c>
      <c r="F192" s="2">
        <f>$M192*input!F188</f>
        <v>0</v>
      </c>
      <c r="G192" s="2">
        <f>$M192*input!G188</f>
        <v>0</v>
      </c>
      <c r="H192" s="2">
        <f>$M192*input!H188</f>
        <v>-1976</v>
      </c>
      <c r="I192" s="2">
        <f>$M192*input!I188</f>
        <v>-1976</v>
      </c>
      <c r="J192" s="2">
        <f>$M192*input!J188</f>
        <v>0</v>
      </c>
      <c r="K192" s="2">
        <f>$M192*input!K188</f>
        <v>0</v>
      </c>
      <c r="M192" s="3">
        <v>-1</v>
      </c>
      <c r="N192" s="3" t="s">
        <v>286</v>
      </c>
    </row>
    <row r="193" spans="1:15" ht="13" x14ac:dyDescent="0.15">
      <c r="A193" s="14" t="str">
        <f>input!A189</f>
        <v>B.10.b. Amm. Immob. Mat.</v>
      </c>
      <c r="B193" s="2">
        <f>$M193*input!B189</f>
        <v>-879520</v>
      </c>
      <c r="C193" s="2">
        <f>$M193*input!C189</f>
        <v>-866491</v>
      </c>
      <c r="D193" s="2">
        <f>$M193*input!D189</f>
        <v>-822987</v>
      </c>
      <c r="E193" s="2">
        <f>$M193*input!E189</f>
        <v>-469298</v>
      </c>
      <c r="F193" s="2">
        <f>$M193*input!F189</f>
        <v>-171279</v>
      </c>
      <c r="G193" s="2">
        <f>$M193*input!G189</f>
        <v>-180598</v>
      </c>
      <c r="H193" s="2">
        <f>$M193*input!H189</f>
        <v>-182986</v>
      </c>
      <c r="I193" s="2">
        <f>$M193*input!I189</f>
        <v>-172299</v>
      </c>
      <c r="J193" s="2">
        <f>$M193*input!J189</f>
        <v>0</v>
      </c>
      <c r="K193" s="2">
        <f>$M193*input!K189</f>
        <v>0</v>
      </c>
      <c r="M193" s="3">
        <v>-1</v>
      </c>
      <c r="N193" s="3" t="s">
        <v>286</v>
      </c>
    </row>
    <row r="194" spans="1:15" ht="13" x14ac:dyDescent="0.15">
      <c r="A194" s="14" t="str">
        <f>input!A190</f>
        <v>B.10.c. Altre svalut. Immob.</v>
      </c>
      <c r="B194" s="2">
        <f>$M194*input!B190</f>
        <v>0</v>
      </c>
      <c r="C194" s="2">
        <f>$M194*input!C190</f>
        <v>0</v>
      </c>
      <c r="D194" s="2">
        <f>$M194*input!D190</f>
        <v>0</v>
      </c>
      <c r="E194" s="2">
        <f>$M194*input!E190</f>
        <v>0</v>
      </c>
      <c r="F194" s="2">
        <f>$M194*input!F190</f>
        <v>0</v>
      </c>
      <c r="G194" s="2">
        <f>$M194*input!G190</f>
        <v>0</v>
      </c>
      <c r="H194" s="2">
        <f>$M194*input!H190</f>
        <v>0</v>
      </c>
      <c r="I194" s="2">
        <f>$M194*input!I190</f>
        <v>0</v>
      </c>
      <c r="J194" s="2">
        <f>$M194*input!J190</f>
        <v>0</v>
      </c>
      <c r="K194" s="2">
        <f>$M194*input!K190</f>
        <v>0</v>
      </c>
      <c r="M194" s="3">
        <v>-1</v>
      </c>
      <c r="N194" s="3" t="s">
        <v>287</v>
      </c>
    </row>
    <row r="195" spans="1:15" ht="13" x14ac:dyDescent="0.15">
      <c r="A195" s="14" t="str">
        <f>input!A191</f>
        <v>B.10.a+b+c. Amm. e svalut. delle immob.</v>
      </c>
      <c r="B195" s="2">
        <f>$M195*input!B191</f>
        <v>916802</v>
      </c>
      <c r="C195" s="2">
        <f>$M195*input!C191</f>
        <v>899828</v>
      </c>
      <c r="D195" s="2">
        <f>$M195*input!D191</f>
        <v>856051</v>
      </c>
      <c r="E195" s="2">
        <f>$M195*input!E191</f>
        <v>470290</v>
      </c>
      <c r="F195" s="2">
        <f>$M195*input!F191</f>
        <v>171279</v>
      </c>
      <c r="G195" s="2">
        <f>$M195*input!G191</f>
        <v>180598</v>
      </c>
      <c r="H195" s="2">
        <f>$M195*input!H191</f>
        <v>184962</v>
      </c>
      <c r="I195" s="2">
        <f>$M195*input!I191</f>
        <v>174275</v>
      </c>
      <c r="J195" s="2">
        <f>$M195*input!J191</f>
        <v>0</v>
      </c>
      <c r="K195" s="2">
        <f>$M195*input!K191</f>
        <v>0</v>
      </c>
      <c r="M195" s="3">
        <v>1</v>
      </c>
    </row>
    <row r="196" spans="1:15" ht="13" x14ac:dyDescent="0.15">
      <c r="A196" s="14" t="str">
        <f>input!A192</f>
        <v>B.10.d. Svalut. crediti</v>
      </c>
      <c r="B196" s="2">
        <f>$M196*input!B192</f>
        <v>-21656</v>
      </c>
      <c r="C196" s="2">
        <f>$M196*input!C192</f>
        <v>-19768</v>
      </c>
      <c r="D196" s="2">
        <f>$M196*input!D192</f>
        <v>-15051</v>
      </c>
      <c r="E196" s="2">
        <f>$M196*input!E192</f>
        <v>-16091</v>
      </c>
      <c r="F196" s="2">
        <f>$M196*input!F192</f>
        <v>-13944</v>
      </c>
      <c r="G196" s="2">
        <f>$M196*input!G192</f>
        <v>-13280</v>
      </c>
      <c r="H196" s="2">
        <f>$M196*input!H192</f>
        <v>-11961</v>
      </c>
      <c r="I196" s="2">
        <f>$M196*input!I192</f>
        <v>-8187</v>
      </c>
      <c r="J196" s="2">
        <f>$M196*input!J192</f>
        <v>0</v>
      </c>
      <c r="K196" s="2">
        <f>$M196*input!K192</f>
        <v>0</v>
      </c>
      <c r="M196" s="3">
        <v>-1</v>
      </c>
      <c r="N196" s="3" t="s">
        <v>287</v>
      </c>
    </row>
    <row r="197" spans="1:15" ht="13" x14ac:dyDescent="0.15">
      <c r="A197" s="13" t="str">
        <f>input!A193</f>
        <v>B.11. Variazione materie</v>
      </c>
      <c r="B197" s="2">
        <f>$M197*input!B193</f>
        <v>141939</v>
      </c>
      <c r="C197" s="2">
        <f>$M197*input!C193</f>
        <v>-135450</v>
      </c>
      <c r="D197" s="2">
        <f>$M197*input!D193</f>
        <v>162139</v>
      </c>
      <c r="E197" s="2">
        <f>$M197*input!E193</f>
        <v>79592</v>
      </c>
      <c r="F197" s="2">
        <f>$M197*input!F193</f>
        <v>-76252</v>
      </c>
      <c r="G197" s="2">
        <f>$M197*input!G193</f>
        <v>94059</v>
      </c>
      <c r="H197" s="2">
        <f>$M197*input!H193</f>
        <v>-35037</v>
      </c>
      <c r="I197" s="2">
        <f>$M197*input!I193</f>
        <v>61620</v>
      </c>
      <c r="J197" s="2">
        <f>$M197*input!J193</f>
        <v>0</v>
      </c>
      <c r="K197" s="2">
        <f>$M197*input!K193</f>
        <v>0</v>
      </c>
      <c r="M197" s="3">
        <v>-1</v>
      </c>
      <c r="N197" s="3" t="s">
        <v>288</v>
      </c>
    </row>
    <row r="198" spans="1:15" ht="13" x14ac:dyDescent="0.15">
      <c r="A198" s="13" t="str">
        <f>input!A194</f>
        <v>B.12. Accantonamenti per rischi</v>
      </c>
      <c r="B198" s="2">
        <f>$M198*input!B194</f>
        <v>0</v>
      </c>
      <c r="C198" s="2">
        <f>$M198*input!C194</f>
        <v>0</v>
      </c>
      <c r="D198" s="2">
        <f>$M198*input!D194</f>
        <v>0</v>
      </c>
      <c r="E198" s="2">
        <f>$M198*input!E194</f>
        <v>0</v>
      </c>
      <c r="F198" s="2">
        <f>$M198*input!F194</f>
        <v>0</v>
      </c>
      <c r="G198" s="2">
        <f>$M198*input!G194</f>
        <v>0</v>
      </c>
      <c r="H198" s="2">
        <f>$M198*input!H194</f>
        <v>0</v>
      </c>
      <c r="I198" s="2">
        <f>$M198*input!I194</f>
        <v>-41042</v>
      </c>
      <c r="J198" s="2">
        <f>$M198*input!J194</f>
        <v>0</v>
      </c>
      <c r="K198" s="2">
        <f>$M198*input!K194</f>
        <v>0</v>
      </c>
      <c r="M198" s="3">
        <v>-1</v>
      </c>
      <c r="N198" s="3" t="s">
        <v>286</v>
      </c>
    </row>
    <row r="199" spans="1:15" ht="13" x14ac:dyDescent="0.15">
      <c r="A199" s="13" t="str">
        <f>input!A195</f>
        <v>B.13. Altri accantonamenti</v>
      </c>
      <c r="B199" s="2">
        <f>$M199*input!B195</f>
        <v>0</v>
      </c>
      <c r="C199" s="2">
        <f>$M199*input!C195</f>
        <v>0</v>
      </c>
      <c r="D199" s="2">
        <f>$M199*input!D195</f>
        <v>0</v>
      </c>
      <c r="E199" s="2">
        <f>$M199*input!E195</f>
        <v>0</v>
      </c>
      <c r="F199" s="2">
        <f>$M199*input!F195</f>
        <v>0</v>
      </c>
      <c r="G199" s="2">
        <f>$M199*input!G195</f>
        <v>0</v>
      </c>
      <c r="H199" s="2">
        <f>$M199*input!H195</f>
        <v>0</v>
      </c>
      <c r="I199" s="2">
        <f>$M199*input!I195</f>
        <v>0</v>
      </c>
      <c r="J199" s="2">
        <f>$M199*input!J195</f>
        <v>0</v>
      </c>
      <c r="K199" s="2">
        <f>$M199*input!K195</f>
        <v>0</v>
      </c>
      <c r="M199" s="3">
        <v>-1</v>
      </c>
      <c r="N199" s="3" t="s">
        <v>286</v>
      </c>
    </row>
    <row r="200" spans="1:15" ht="13" x14ac:dyDescent="0.15">
      <c r="A200" s="13" t="str">
        <f>input!A196</f>
        <v>B.14. Oneri diversi di gestione</v>
      </c>
      <c r="B200" s="2">
        <f>$M200*input!B196</f>
        <v>-52056</v>
      </c>
      <c r="C200" s="2">
        <f>$M200*input!C196</f>
        <v>-64169</v>
      </c>
      <c r="D200" s="2">
        <f>$M200*input!D196</f>
        <v>-60922</v>
      </c>
      <c r="E200" s="2">
        <f>$M200*input!E196</f>
        <v>-46167</v>
      </c>
      <c r="F200" s="2">
        <f>$M200*input!F196</f>
        <v>-38499</v>
      </c>
      <c r="G200" s="2">
        <f>$M200*input!G196</f>
        <v>-146519</v>
      </c>
      <c r="H200" s="2">
        <f>$M200*input!H196</f>
        <v>-177042</v>
      </c>
      <c r="I200" s="2">
        <f>$M200*input!I196</f>
        <v>-268294</v>
      </c>
      <c r="J200" s="2">
        <f>$M200*input!J196</f>
        <v>0</v>
      </c>
      <c r="K200" s="2">
        <f>$M200*input!K196</f>
        <v>0</v>
      </c>
      <c r="M200" s="3">
        <v>-1</v>
      </c>
      <c r="N200" s="3" t="s">
        <v>289</v>
      </c>
    </row>
    <row r="201" spans="1:15" s="19" customFormat="1" ht="13" x14ac:dyDescent="0.15">
      <c r="A201" s="27" t="str">
        <f>input!A197</f>
        <v>RISULTATO OPERATIVO</v>
      </c>
      <c r="B201" s="28">
        <f>$M201*input!B197</f>
        <v>1588849</v>
      </c>
      <c r="C201" s="28">
        <f>$M201*input!C197</f>
        <v>1117327</v>
      </c>
      <c r="D201" s="28">
        <f>$M201*input!D197</f>
        <v>963975</v>
      </c>
      <c r="E201" s="28">
        <f>$M201*input!E197</f>
        <v>1411257</v>
      </c>
      <c r="F201" s="28">
        <f>$M201*input!F197</f>
        <v>1351726</v>
      </c>
      <c r="G201" s="28">
        <f>$M201*input!G197</f>
        <v>1069627</v>
      </c>
      <c r="H201" s="28">
        <f>$M201*input!H197</f>
        <v>1052950</v>
      </c>
      <c r="I201" s="28">
        <f>$M201*input!I197</f>
        <v>635847</v>
      </c>
      <c r="J201" s="28">
        <f>$M201*input!J197</f>
        <v>0</v>
      </c>
      <c r="K201" s="28">
        <f>$M201*input!K197</f>
        <v>0</v>
      </c>
      <c r="M201" s="19">
        <v>1</v>
      </c>
      <c r="O201" s="29"/>
    </row>
    <row r="202" spans="1:15" s="31" customFormat="1" ht="13" x14ac:dyDescent="0.15">
      <c r="A202" s="13" t="str">
        <f>input!A198</f>
        <v>Valore Aggiunto</v>
      </c>
      <c r="B202" s="30">
        <f>$M202*input!B198</f>
        <v>4025765</v>
      </c>
      <c r="C202" s="30">
        <f>$M202*input!C198</f>
        <v>3592990</v>
      </c>
      <c r="D202" s="30">
        <f>$M202*input!D198</f>
        <v>3437527</v>
      </c>
      <c r="E202" s="30">
        <f>$M202*input!E198</f>
        <v>3376862</v>
      </c>
      <c r="F202" s="30">
        <f>$M202*input!F198</f>
        <v>2828388</v>
      </c>
      <c r="G202" s="30">
        <f>$M202*input!G198</f>
        <v>2539621</v>
      </c>
      <c r="H202" s="30">
        <f>$M202*input!H198</f>
        <v>2345909</v>
      </c>
      <c r="I202" s="30">
        <f>$M202*input!I198</f>
        <v>1722923</v>
      </c>
      <c r="J202" s="30">
        <f>$M202*input!J198</f>
        <v>0</v>
      </c>
      <c r="K202" s="30">
        <f>$M202*input!K198</f>
        <v>0</v>
      </c>
      <c r="M202" s="31">
        <v>1</v>
      </c>
    </row>
    <row r="203" spans="1:15" s="11" customFormat="1" ht="13.5" customHeight="1" x14ac:dyDescent="0.15">
      <c r="A203" s="9" t="str">
        <f>input!A199</f>
        <v>C. TOTALE PROVENTI E ONERI FINANZIARI</v>
      </c>
      <c r="B203" s="10">
        <f>$M203*input!B199</f>
        <v>-501648</v>
      </c>
      <c r="C203" s="10">
        <f>$M203*input!C199</f>
        <v>-526256</v>
      </c>
      <c r="D203" s="10">
        <f>$M203*input!D199</f>
        <v>-253466</v>
      </c>
      <c r="E203" s="10">
        <f>$M203*input!E199</f>
        <v>-207017</v>
      </c>
      <c r="F203" s="10">
        <f>$M203*input!F199</f>
        <v>-158955</v>
      </c>
      <c r="G203" s="10">
        <f>$M203*input!G199</f>
        <v>-98799</v>
      </c>
      <c r="H203" s="10">
        <f>$M203*input!H199</f>
        <v>-101816</v>
      </c>
      <c r="I203" s="10">
        <f>$M203*input!I199</f>
        <v>-102408</v>
      </c>
      <c r="J203" s="10">
        <f>$M203*input!J199</f>
        <v>0</v>
      </c>
      <c r="K203" s="10">
        <f>$M203*input!K199</f>
        <v>0</v>
      </c>
      <c r="M203" s="11">
        <v>1</v>
      </c>
    </row>
    <row r="204" spans="1:15" ht="13" x14ac:dyDescent="0.15">
      <c r="A204" s="13" t="str">
        <f>input!A200</f>
        <v>C.15. Tot. proventi da partecip.</v>
      </c>
      <c r="B204" s="2">
        <f>$M204*input!B200</f>
        <v>0</v>
      </c>
      <c r="C204" s="2">
        <f>$M204*input!C200</f>
        <v>0</v>
      </c>
      <c r="D204" s="2">
        <f>$M204*input!D200</f>
        <v>0</v>
      </c>
      <c r="E204" s="2">
        <f>$M204*input!E200</f>
        <v>0</v>
      </c>
      <c r="F204" s="2">
        <f>$M204*input!F200</f>
        <v>0</v>
      </c>
      <c r="G204" s="2">
        <f>$M204*input!G200</f>
        <v>0</v>
      </c>
      <c r="H204" s="2">
        <f>$M204*input!H200</f>
        <v>0</v>
      </c>
      <c r="I204" s="2">
        <f>$M204*input!I200</f>
        <v>0</v>
      </c>
      <c r="J204" s="2">
        <f>$M204*input!J200</f>
        <v>0</v>
      </c>
      <c r="K204" s="2">
        <f>$M204*input!K200</f>
        <v>0</v>
      </c>
      <c r="M204" s="3">
        <v>1</v>
      </c>
      <c r="N204" s="3" t="s">
        <v>290</v>
      </c>
    </row>
    <row r="205" spans="1:15" ht="13" x14ac:dyDescent="0.15">
      <c r="A205" s="14" t="str">
        <f>input!A201</f>
        <v>di cui: verso contr.anti, collegate, contr.te e sottoposte ctrl controllanti</v>
      </c>
      <c r="B205" s="2">
        <f>$M205*input!B201</f>
        <v>0</v>
      </c>
      <c r="C205" s="2">
        <f>$M205*input!C201</f>
        <v>0</v>
      </c>
      <c r="D205" s="2">
        <f>$M205*input!D201</f>
        <v>0</v>
      </c>
      <c r="E205" s="2">
        <f>$M205*input!E201</f>
        <v>0</v>
      </c>
      <c r="F205" s="2">
        <f>$M205*input!F201</f>
        <v>0</v>
      </c>
      <c r="G205" s="2">
        <f>$M205*input!G201</f>
        <v>0</v>
      </c>
      <c r="H205" s="2">
        <f>$M205*input!H201</f>
        <v>0</v>
      </c>
      <c r="I205" s="2">
        <f>$M205*input!I201</f>
        <v>0</v>
      </c>
      <c r="J205" s="2">
        <f>$M205*input!J201</f>
        <v>0</v>
      </c>
      <c r="K205" s="2">
        <f>$M205*input!K201</f>
        <v>0</v>
      </c>
      <c r="M205" s="3">
        <v>1</v>
      </c>
    </row>
    <row r="206" spans="1:15" ht="13" x14ac:dyDescent="0.15">
      <c r="A206" s="14" t="str">
        <f>input!A202</f>
        <v>di cui: da imprese controllanti</v>
      </c>
      <c r="B206" s="2">
        <f>$M206*input!B202</f>
        <v>0</v>
      </c>
      <c r="C206" s="2">
        <f>$M206*input!C202</f>
        <v>0</v>
      </c>
      <c r="D206" s="2">
        <f>$M206*input!D202</f>
        <v>0</v>
      </c>
      <c r="E206" s="2">
        <f>$M206*input!E202</f>
        <v>0</v>
      </c>
      <c r="F206" s="2">
        <f>$M206*input!F202</f>
        <v>0</v>
      </c>
      <c r="G206" s="2">
        <f>$M206*input!G202</f>
        <v>0</v>
      </c>
      <c r="H206" s="2">
        <f>$M206*input!H202</f>
        <v>0</v>
      </c>
      <c r="I206" s="2">
        <f>$M206*input!I202</f>
        <v>0</v>
      </c>
      <c r="J206" s="2">
        <f>$M206*input!J202</f>
        <v>0</v>
      </c>
      <c r="K206" s="2">
        <f>$M206*input!K202</f>
        <v>0</v>
      </c>
      <c r="M206" s="3">
        <v>1</v>
      </c>
    </row>
    <row r="207" spans="1:15" ht="13" x14ac:dyDescent="0.15">
      <c r="A207" s="14" t="str">
        <f>input!A203</f>
        <v>di cui: da imprese sottoposte al controllo delle controllanti</v>
      </c>
      <c r="B207" s="2">
        <f>$M207*input!B203</f>
        <v>0</v>
      </c>
      <c r="C207" s="2">
        <f>$M207*input!C203</f>
        <v>0</v>
      </c>
      <c r="D207" s="2">
        <f>$M207*input!D203</f>
        <v>0</v>
      </c>
      <c r="E207" s="2">
        <f>$M207*input!E203</f>
        <v>0</v>
      </c>
      <c r="F207" s="2">
        <f>$M207*input!F203</f>
        <v>0</v>
      </c>
      <c r="G207" s="2">
        <f>$M207*input!G203</f>
        <v>0</v>
      </c>
      <c r="H207" s="2">
        <f>$M207*input!H203</f>
        <v>0</v>
      </c>
      <c r="I207" s="2">
        <f>$M207*input!I203</f>
        <v>0</v>
      </c>
      <c r="J207" s="2">
        <f>$M207*input!J203</f>
        <v>0</v>
      </c>
      <c r="K207" s="2">
        <f>$M207*input!K203</f>
        <v>0</v>
      </c>
      <c r="M207" s="3">
        <v>1</v>
      </c>
    </row>
    <row r="208" spans="1:15" ht="13" x14ac:dyDescent="0.15">
      <c r="A208" s="13" t="str">
        <f>input!A204</f>
        <v>C.16. TOT Altri Proventi</v>
      </c>
      <c r="B208" s="2">
        <f>$M208*input!B204</f>
        <v>1756</v>
      </c>
      <c r="C208" s="2">
        <f>$M208*input!C204</f>
        <v>2087</v>
      </c>
      <c r="D208" s="2">
        <f>$M208*input!D204</f>
        <v>208</v>
      </c>
      <c r="E208" s="2">
        <f>$M208*input!E204</f>
        <v>391</v>
      </c>
      <c r="F208" s="2">
        <f>$M208*input!F204</f>
        <v>205</v>
      </c>
      <c r="G208" s="2">
        <f>$M208*input!G204</f>
        <v>4131</v>
      </c>
      <c r="H208" s="2">
        <f>$M208*input!H204</f>
        <v>185</v>
      </c>
      <c r="I208" s="2">
        <f>$M208*input!I204</f>
        <v>99</v>
      </c>
      <c r="J208" s="2">
        <f>$M208*input!J204</f>
        <v>0</v>
      </c>
      <c r="K208" s="2">
        <f>$M208*input!K204</f>
        <v>0</v>
      </c>
      <c r="M208" s="3">
        <v>1</v>
      </c>
    </row>
    <row r="209" spans="1:14" ht="13" x14ac:dyDescent="0.15">
      <c r="A209" s="14" t="str">
        <f>input!A205</f>
        <v>C.16.a. Da Crediti</v>
      </c>
      <c r="B209" s="2">
        <f>$M209*input!B205</f>
        <v>0</v>
      </c>
      <c r="C209" s="2">
        <f>$M209*input!C205</f>
        <v>0</v>
      </c>
      <c r="D209" s="2">
        <f>$M209*input!D205</f>
        <v>0</v>
      </c>
      <c r="E209" s="2">
        <f>$M209*input!E205</f>
        <v>0</v>
      </c>
      <c r="F209" s="2">
        <f>$M209*input!F205</f>
        <v>0</v>
      </c>
      <c r="G209" s="2">
        <f>$M209*input!G205</f>
        <v>0</v>
      </c>
      <c r="H209" s="2">
        <f>$M209*input!H205</f>
        <v>0</v>
      </c>
      <c r="I209" s="2">
        <f>$M209*input!I205</f>
        <v>0</v>
      </c>
      <c r="J209" s="2">
        <f>$M209*input!J205</f>
        <v>0</v>
      </c>
      <c r="K209" s="2">
        <f>$M209*input!K205</f>
        <v>0</v>
      </c>
      <c r="M209" s="3">
        <v>1</v>
      </c>
      <c r="N209" s="3" t="s">
        <v>291</v>
      </c>
    </row>
    <row r="210" spans="1:14" ht="13" x14ac:dyDescent="0.15">
      <c r="A210" s="15" t="str">
        <f>input!A206</f>
        <v>di cui: verso contr.anti, collegate, contr.te e sottoposte ctrl controllanti</v>
      </c>
      <c r="B210" s="2">
        <f>$M210*input!B206</f>
        <v>0</v>
      </c>
      <c r="C210" s="2">
        <f>$M210*input!C206</f>
        <v>0</v>
      </c>
      <c r="D210" s="2">
        <f>$M210*input!D206</f>
        <v>0</v>
      </c>
      <c r="E210" s="2">
        <f>$M210*input!E206</f>
        <v>0</v>
      </c>
      <c r="F210" s="2">
        <f>$M210*input!F206</f>
        <v>0</v>
      </c>
      <c r="G210" s="2">
        <f>$M210*input!G206</f>
        <v>0</v>
      </c>
      <c r="H210" s="2">
        <f>$M210*input!H206</f>
        <v>0</v>
      </c>
      <c r="I210" s="2">
        <f>$M210*input!I206</f>
        <v>0</v>
      </c>
      <c r="J210" s="2">
        <f>$M210*input!J206</f>
        <v>0</v>
      </c>
      <c r="K210" s="2">
        <f>$M210*input!K206</f>
        <v>0</v>
      </c>
      <c r="M210" s="3">
        <v>1</v>
      </c>
    </row>
    <row r="211" spans="1:14" ht="13" x14ac:dyDescent="0.15">
      <c r="A211" s="15" t="str">
        <f>input!A207</f>
        <v>di cui: da imprese sottoposte al controllo delle controllanti</v>
      </c>
      <c r="B211" s="2">
        <f>$M211*input!B207</f>
        <v>0</v>
      </c>
      <c r="C211" s="2">
        <f>$M211*input!C207</f>
        <v>0</v>
      </c>
      <c r="D211" s="2">
        <f>$M211*input!D207</f>
        <v>0</v>
      </c>
      <c r="E211" s="2">
        <f>$M211*input!E207</f>
        <v>0</v>
      </c>
      <c r="F211" s="2">
        <f>$M211*input!F207</f>
        <v>0</v>
      </c>
      <c r="G211" s="2">
        <f>$M211*input!G207</f>
        <v>0</v>
      </c>
      <c r="H211" s="2">
        <f>$M211*input!H207</f>
        <v>0</v>
      </c>
      <c r="I211" s="2">
        <f>$M211*input!I207</f>
        <v>0</v>
      </c>
      <c r="J211" s="2">
        <f>$M211*input!J207</f>
        <v>0</v>
      </c>
      <c r="K211" s="2">
        <f>$M211*input!K207</f>
        <v>0</v>
      </c>
      <c r="M211" s="3">
        <v>1</v>
      </c>
    </row>
    <row r="212" spans="1:14" ht="13" x14ac:dyDescent="0.15">
      <c r="A212" s="14" t="str">
        <f>input!A208</f>
        <v>C.16.b. Da titoli iscr. imm.</v>
      </c>
      <c r="B212" s="2">
        <f>$M212*input!B208</f>
        <v>0</v>
      </c>
      <c r="C212" s="2">
        <f>$M212*input!C208</f>
        <v>0</v>
      </c>
      <c r="D212" s="2">
        <f>$M212*input!D208</f>
        <v>0</v>
      </c>
      <c r="E212" s="2">
        <f>$M212*input!E208</f>
        <v>0</v>
      </c>
      <c r="F212" s="2">
        <f>$M212*input!F208</f>
        <v>0</v>
      </c>
      <c r="G212" s="2">
        <f>$M212*input!G208</f>
        <v>0</v>
      </c>
      <c r="H212" s="2">
        <f>$M212*input!H208</f>
        <v>0</v>
      </c>
      <c r="I212" s="2">
        <f>$M212*input!I208</f>
        <v>0</v>
      </c>
      <c r="J212" s="2">
        <f>$M212*input!J208</f>
        <v>0</v>
      </c>
      <c r="K212" s="2">
        <f>$M212*input!K208</f>
        <v>0</v>
      </c>
      <c r="M212" s="3">
        <v>1</v>
      </c>
      <c r="N212" s="3" t="s">
        <v>291</v>
      </c>
    </row>
    <row r="213" spans="1:14" ht="13" x14ac:dyDescent="0.15">
      <c r="A213" s="14" t="str">
        <f>input!A209</f>
        <v>C.16.c. Da titoli iscr. att.circol.</v>
      </c>
      <c r="B213" s="2">
        <f>$M213*input!B209</f>
        <v>0</v>
      </c>
      <c r="C213" s="2">
        <f>$M213*input!C209</f>
        <v>0</v>
      </c>
      <c r="D213" s="2">
        <f>$M213*input!D209</f>
        <v>0</v>
      </c>
      <c r="E213" s="2">
        <f>$M213*input!E209</f>
        <v>0</v>
      </c>
      <c r="F213" s="2">
        <f>$M213*input!F209</f>
        <v>0</v>
      </c>
      <c r="G213" s="2">
        <f>$M213*input!G209</f>
        <v>0</v>
      </c>
      <c r="H213" s="2">
        <f>$M213*input!H209</f>
        <v>0</v>
      </c>
      <c r="I213" s="2">
        <f>$M213*input!I209</f>
        <v>0</v>
      </c>
      <c r="J213" s="2">
        <f>$M213*input!J209</f>
        <v>0</v>
      </c>
      <c r="K213" s="2">
        <f>$M213*input!K209</f>
        <v>0</v>
      </c>
      <c r="M213" s="3">
        <v>1</v>
      </c>
      <c r="N213" s="3" t="s">
        <v>291</v>
      </c>
    </row>
    <row r="214" spans="1:14" ht="13" x14ac:dyDescent="0.15">
      <c r="A214" s="14" t="str">
        <f>input!A210</f>
        <v>C.16.b+c. Proventi da Titoli</v>
      </c>
      <c r="B214" s="2">
        <f>$M214*input!B210</f>
        <v>0</v>
      </c>
      <c r="C214" s="2">
        <f>$M214*input!C210</f>
        <v>0</v>
      </c>
      <c r="D214" s="2">
        <f>$M214*input!D210</f>
        <v>0</v>
      </c>
      <c r="E214" s="2">
        <f>$M214*input!E210</f>
        <v>0</v>
      </c>
      <c r="F214" s="2">
        <f>$M214*input!F210</f>
        <v>0</v>
      </c>
      <c r="G214" s="2">
        <f>$M214*input!G210</f>
        <v>0</v>
      </c>
      <c r="H214" s="2">
        <f>$M214*input!H210</f>
        <v>0</v>
      </c>
      <c r="I214" s="2">
        <f>$M214*input!I210</f>
        <v>0</v>
      </c>
      <c r="J214" s="2">
        <f>$M214*input!J210</f>
        <v>0</v>
      </c>
      <c r="K214" s="2">
        <f>$M214*input!K210</f>
        <v>0</v>
      </c>
      <c r="M214" s="3">
        <v>1</v>
      </c>
    </row>
    <row r="215" spans="1:14" ht="13" x14ac:dyDescent="0.15">
      <c r="A215" s="14" t="str">
        <f>input!A211</f>
        <v>C.16.d. Proventi fin. Diversi</v>
      </c>
      <c r="B215" s="2">
        <f>$M215*input!B211</f>
        <v>1756</v>
      </c>
      <c r="C215" s="2">
        <f>$M215*input!C211</f>
        <v>2087</v>
      </c>
      <c r="D215" s="2">
        <f>$M215*input!D211</f>
        <v>208</v>
      </c>
      <c r="E215" s="2">
        <f>$M215*input!E211</f>
        <v>391</v>
      </c>
      <c r="F215" s="2">
        <f>$M215*input!F211</f>
        <v>205</v>
      </c>
      <c r="G215" s="2">
        <f>$M215*input!G211</f>
        <v>4131</v>
      </c>
      <c r="H215" s="2">
        <f>$M215*input!H211</f>
        <v>185</v>
      </c>
      <c r="I215" s="2">
        <f>$M215*input!I211</f>
        <v>99</v>
      </c>
      <c r="J215" s="2">
        <f>$M215*input!J211</f>
        <v>0</v>
      </c>
      <c r="K215" s="2">
        <f>$M215*input!K211</f>
        <v>0</v>
      </c>
      <c r="M215" s="3">
        <v>1</v>
      </c>
      <c r="N215" s="3" t="s">
        <v>291</v>
      </c>
    </row>
    <row r="216" spans="1:14" ht="13" x14ac:dyDescent="0.15">
      <c r="A216" s="15" t="str">
        <f>input!A212</f>
        <v>di cui: verso contr.anti, collegate, contr.te e sottoposte ctrl controllantil</v>
      </c>
      <c r="B216" s="2">
        <f>$M216*input!B212</f>
        <v>0</v>
      </c>
      <c r="C216" s="2">
        <f>$M216*input!C212</f>
        <v>0</v>
      </c>
      <c r="D216" s="2">
        <f>$M216*input!D212</f>
        <v>0</v>
      </c>
      <c r="E216" s="2">
        <f>$M216*input!E212</f>
        <v>0</v>
      </c>
      <c r="F216" s="2">
        <f>$M216*input!F212</f>
        <v>0</v>
      </c>
      <c r="G216" s="2">
        <f>$M216*input!G212</f>
        <v>0</v>
      </c>
      <c r="H216" s="2">
        <f>$M216*input!H212</f>
        <v>0</v>
      </c>
      <c r="I216" s="2">
        <f>$M216*input!I212</f>
        <v>0</v>
      </c>
      <c r="J216" s="2">
        <f>$M216*input!J212</f>
        <v>0</v>
      </c>
      <c r="K216" s="2">
        <f>$M216*input!K212</f>
        <v>0</v>
      </c>
      <c r="M216" s="3">
        <v>1</v>
      </c>
    </row>
    <row r="217" spans="1:14" ht="13" x14ac:dyDescent="0.15">
      <c r="A217" s="15" t="str">
        <f>input!A213</f>
        <v>di cui: da imprese sottoposte al controllo delle controllanti</v>
      </c>
      <c r="B217" s="2">
        <f>$M217*input!B213</f>
        <v>0</v>
      </c>
      <c r="C217" s="2">
        <f>$M217*input!C213</f>
        <v>0</v>
      </c>
      <c r="D217" s="2">
        <f>$M217*input!D213</f>
        <v>0</v>
      </c>
      <c r="E217" s="2">
        <f>$M217*input!E213</f>
        <v>0</v>
      </c>
      <c r="F217" s="2">
        <f>$M217*input!F213</f>
        <v>0</v>
      </c>
      <c r="G217" s="2">
        <f>$M217*input!G213</f>
        <v>0</v>
      </c>
      <c r="H217" s="2">
        <f>$M217*input!H213</f>
        <v>0</v>
      </c>
      <c r="I217" s="2">
        <f>$M217*input!I213</f>
        <v>0</v>
      </c>
      <c r="J217" s="2">
        <f>$M217*input!J213</f>
        <v>0</v>
      </c>
      <c r="K217" s="2">
        <f>$M217*input!K213</f>
        <v>0</v>
      </c>
      <c r="M217" s="3">
        <v>1</v>
      </c>
    </row>
    <row r="218" spans="1:14" ht="13" x14ac:dyDescent="0.15">
      <c r="A218" s="13" t="str">
        <f>input!A214</f>
        <v>C.17. Totale Oneri finanziari</v>
      </c>
      <c r="B218" s="2">
        <f>$M218*input!B214</f>
        <v>-503404</v>
      </c>
      <c r="C218" s="2">
        <f>$M218*input!C214</f>
        <v>-528343</v>
      </c>
      <c r="D218" s="2">
        <f>$M218*input!D214</f>
        <v>-253674</v>
      </c>
      <c r="E218" s="2">
        <f>$M218*input!E214</f>
        <v>-207408</v>
      </c>
      <c r="F218" s="2">
        <f>$M218*input!F214</f>
        <v>-159160</v>
      </c>
      <c r="G218" s="2">
        <f>$M218*input!G214</f>
        <v>-102930</v>
      </c>
      <c r="H218" s="2">
        <f>$M218*input!H214</f>
        <v>-102001</v>
      </c>
      <c r="I218" s="2">
        <f>$M218*input!I214</f>
        <v>-102507</v>
      </c>
      <c r="J218" s="2">
        <f>$M218*input!J214</f>
        <v>0</v>
      </c>
      <c r="K218" s="2">
        <f>$M218*input!K214</f>
        <v>0</v>
      </c>
      <c r="M218" s="3">
        <v>-1</v>
      </c>
      <c r="N218" s="3" t="s">
        <v>292</v>
      </c>
    </row>
    <row r="219" spans="1:14" ht="13" x14ac:dyDescent="0.15">
      <c r="A219" s="14" t="str">
        <f>input!A215</f>
        <v>di cui: verso contr.anti, collegate, contr.te e sottoposte ctrl controllanti</v>
      </c>
      <c r="B219" s="2">
        <f>$M219*input!B215</f>
        <v>0</v>
      </c>
      <c r="C219" s="2">
        <f>$M219*input!C215</f>
        <v>0</v>
      </c>
      <c r="D219" s="2">
        <f>$M219*input!D215</f>
        <v>0</v>
      </c>
      <c r="E219" s="2">
        <f>$M219*input!E215</f>
        <v>0</v>
      </c>
      <c r="F219" s="2">
        <f>$M219*input!F215</f>
        <v>0</v>
      </c>
      <c r="G219" s="2">
        <f>$M219*input!G215</f>
        <v>0</v>
      </c>
      <c r="H219" s="2">
        <f>$M219*input!H215</f>
        <v>0</v>
      </c>
      <c r="I219" s="2">
        <f>$M219*input!I215</f>
        <v>0</v>
      </c>
      <c r="J219" s="2">
        <f>$M219*input!J215</f>
        <v>0</v>
      </c>
      <c r="K219" s="2">
        <f>$M219*input!K215</f>
        <v>0</v>
      </c>
      <c r="M219" s="3">
        <v>1</v>
      </c>
    </row>
    <row r="220" spans="1:14" ht="13" x14ac:dyDescent="0.15">
      <c r="A220" s="14" t="str">
        <f>input!A216</f>
        <v>di cui: da imprese sottoposte al controllo delle controllanti</v>
      </c>
      <c r="B220" s="2">
        <f>$M220*input!B216</f>
        <v>0</v>
      </c>
      <c r="C220" s="2">
        <f>$M220*input!C216</f>
        <v>0</v>
      </c>
      <c r="D220" s="2">
        <f>$M220*input!D216</f>
        <v>0</v>
      </c>
      <c r="E220" s="2">
        <f>$M220*input!E216</f>
        <v>0</v>
      </c>
      <c r="F220" s="2">
        <f>$M220*input!F216</f>
        <v>0</v>
      </c>
      <c r="G220" s="2">
        <f>$M220*input!G216</f>
        <v>0</v>
      </c>
      <c r="H220" s="2">
        <f>$M220*input!H216</f>
        <v>0</v>
      </c>
      <c r="I220" s="2">
        <f>$M220*input!I216</f>
        <v>0</v>
      </c>
      <c r="J220" s="2">
        <f>$M220*input!J216</f>
        <v>0</v>
      </c>
      <c r="K220" s="2">
        <f>$M220*input!K216</f>
        <v>0</v>
      </c>
      <c r="M220" s="3">
        <v>1</v>
      </c>
    </row>
    <row r="221" spans="1:14" ht="13" x14ac:dyDescent="0.15">
      <c r="A221" s="13" t="str">
        <f>input!A217</f>
        <v>C.17.bis Utili e perdite su cambi</v>
      </c>
      <c r="B221" s="2">
        <f>$M221*input!B217</f>
        <v>0</v>
      </c>
      <c r="C221" s="2">
        <f>$M221*input!C217</f>
        <v>0</v>
      </c>
      <c r="D221" s="2">
        <f>$M221*input!D217</f>
        <v>0</v>
      </c>
      <c r="E221" s="2">
        <f>$M221*input!E217</f>
        <v>0</v>
      </c>
      <c r="F221" s="2">
        <f>$M221*input!F217</f>
        <v>0</v>
      </c>
      <c r="G221" s="2">
        <f>$M221*input!G217</f>
        <v>0</v>
      </c>
      <c r="H221" s="2">
        <f>$M221*input!H217</f>
        <v>0</v>
      </c>
      <c r="I221" s="2">
        <f>$M221*input!I217</f>
        <v>0</v>
      </c>
      <c r="J221" s="2">
        <f>$M221*input!J217</f>
        <v>0</v>
      </c>
      <c r="K221" s="2">
        <f>$M221*input!K217</f>
        <v>0</v>
      </c>
      <c r="M221" s="3">
        <v>1</v>
      </c>
      <c r="N221" s="3" t="s">
        <v>293</v>
      </c>
    </row>
    <row r="222" spans="1:14" s="11" customFormat="1" ht="13.5" customHeight="1" x14ac:dyDescent="0.15">
      <c r="A222" s="9" t="str">
        <f>input!A218</f>
        <v>D. TOTALE RETTIFICHE ATT. FINANZ.</v>
      </c>
      <c r="B222" s="10">
        <f>$M222*input!B218</f>
        <v>0</v>
      </c>
      <c r="C222" s="10">
        <f>$M222*input!C218</f>
        <v>0</v>
      </c>
      <c r="D222" s="10">
        <f>$M222*input!D218</f>
        <v>0</v>
      </c>
      <c r="E222" s="10">
        <f>$M222*input!E218</f>
        <v>0</v>
      </c>
      <c r="F222" s="10">
        <f>$M222*input!F218</f>
        <v>0</v>
      </c>
      <c r="G222" s="10">
        <f>$M222*input!G218</f>
        <v>0</v>
      </c>
      <c r="H222" s="10">
        <f>$M222*input!H218</f>
        <v>0</v>
      </c>
      <c r="I222" s="10">
        <f>$M222*input!I218</f>
        <v>0</v>
      </c>
      <c r="J222" s="10">
        <f>$M222*input!J218</f>
        <v>0</v>
      </c>
      <c r="K222" s="10">
        <f>$M222*input!K218</f>
        <v>0</v>
      </c>
      <c r="M222" s="11">
        <v>1</v>
      </c>
    </row>
    <row r="223" spans="1:14" ht="13" x14ac:dyDescent="0.15">
      <c r="A223" s="13" t="str">
        <f>input!A219</f>
        <v>D.18. TOT Rivalutazioni</v>
      </c>
      <c r="B223" s="2">
        <f>$M223*input!B219</f>
        <v>0</v>
      </c>
      <c r="C223" s="2">
        <f>$M223*input!C219</f>
        <v>0</v>
      </c>
      <c r="D223" s="2">
        <f>$M223*input!D219</f>
        <v>0</v>
      </c>
      <c r="E223" s="2">
        <f>$M223*input!E219</f>
        <v>0</v>
      </c>
      <c r="F223" s="2">
        <f>$M223*input!F219</f>
        <v>0</v>
      </c>
      <c r="G223" s="2">
        <f>$M223*input!G219</f>
        <v>0</v>
      </c>
      <c r="H223" s="2">
        <f>$M223*input!H219</f>
        <v>0</v>
      </c>
      <c r="I223" s="2">
        <f>$M223*input!I219</f>
        <v>0</v>
      </c>
      <c r="J223" s="2">
        <f>$M223*input!J219</f>
        <v>0</v>
      </c>
      <c r="K223" s="2">
        <f>$M223*input!K219</f>
        <v>0</v>
      </c>
      <c r="M223" s="3">
        <v>1</v>
      </c>
      <c r="N223" s="3" t="s">
        <v>294</v>
      </c>
    </row>
    <row r="224" spans="1:14" ht="13" x14ac:dyDescent="0.15">
      <c r="A224" s="14" t="str">
        <f>input!A220</f>
        <v>D.18.a. Rivalut. di partec.</v>
      </c>
      <c r="B224" s="2">
        <f>$M224*input!B220</f>
        <v>0</v>
      </c>
      <c r="C224" s="2">
        <f>$M224*input!C220</f>
        <v>0</v>
      </c>
      <c r="D224" s="2">
        <f>$M224*input!D220</f>
        <v>0</v>
      </c>
      <c r="E224" s="2">
        <f>$M224*input!E220</f>
        <v>0</v>
      </c>
      <c r="F224" s="2">
        <f>$M224*input!F220</f>
        <v>0</v>
      </c>
      <c r="G224" s="2">
        <f>$M224*input!G220</f>
        <v>0</v>
      </c>
      <c r="H224" s="2">
        <f>$M224*input!H220</f>
        <v>0</v>
      </c>
      <c r="I224" s="2">
        <f>$M224*input!I220</f>
        <v>0</v>
      </c>
      <c r="J224" s="2">
        <f>$M224*input!J220</f>
        <v>0</v>
      </c>
      <c r="K224" s="2">
        <f>$M224*input!K220</f>
        <v>0</v>
      </c>
      <c r="M224" s="3">
        <v>1</v>
      </c>
    </row>
    <row r="225" spans="1:14" ht="13" x14ac:dyDescent="0.15">
      <c r="A225" s="14" t="str">
        <f>input!A221</f>
        <v>D.18.b. Rivalut. di altre imm. fin.</v>
      </c>
      <c r="B225" s="2">
        <f>$M225*input!B221</f>
        <v>0</v>
      </c>
      <c r="C225" s="2">
        <f>$M225*input!C221</f>
        <v>0</v>
      </c>
      <c r="D225" s="2">
        <f>$M225*input!D221</f>
        <v>0</v>
      </c>
      <c r="E225" s="2">
        <f>$M225*input!E221</f>
        <v>0</v>
      </c>
      <c r="F225" s="2">
        <f>$M225*input!F221</f>
        <v>0</v>
      </c>
      <c r="G225" s="2">
        <f>$M225*input!G221</f>
        <v>0</v>
      </c>
      <c r="H225" s="2">
        <f>$M225*input!H221</f>
        <v>0</v>
      </c>
      <c r="I225" s="2">
        <f>$M225*input!I221</f>
        <v>0</v>
      </c>
      <c r="J225" s="2">
        <f>$M225*input!J221</f>
        <v>0</v>
      </c>
      <c r="K225" s="2">
        <f>$M225*input!K221</f>
        <v>0</v>
      </c>
      <c r="M225" s="3">
        <v>1</v>
      </c>
    </row>
    <row r="226" spans="1:14" ht="13" x14ac:dyDescent="0.15">
      <c r="A226" s="14" t="str">
        <f>input!A222</f>
        <v>D.18.c. Rivalut. di titoli</v>
      </c>
      <c r="B226" s="2">
        <f>$M226*input!B222</f>
        <v>0</v>
      </c>
      <c r="C226" s="2">
        <f>$M226*input!C222</f>
        <v>0</v>
      </c>
      <c r="D226" s="2">
        <f>$M226*input!D222</f>
        <v>0</v>
      </c>
      <c r="E226" s="2">
        <f>$M226*input!E222</f>
        <v>0</v>
      </c>
      <c r="F226" s="2">
        <f>$M226*input!F222</f>
        <v>0</v>
      </c>
      <c r="G226" s="2">
        <f>$M226*input!G222</f>
        <v>0</v>
      </c>
      <c r="H226" s="2">
        <f>$M226*input!H222</f>
        <v>0</v>
      </c>
      <c r="I226" s="2">
        <f>$M226*input!I222</f>
        <v>0</v>
      </c>
      <c r="J226" s="2">
        <f>$M226*input!J222</f>
        <v>0</v>
      </c>
      <c r="K226" s="2">
        <f>$M226*input!K222</f>
        <v>0</v>
      </c>
      <c r="M226" s="3">
        <v>1</v>
      </c>
    </row>
    <row r="227" spans="1:14" ht="13" x14ac:dyDescent="0.15">
      <c r="A227" s="14" t="str">
        <f>input!A223</f>
        <v>D.18.d. Rivalut. di strumenti finanziari derivati</v>
      </c>
      <c r="B227" s="2">
        <f>$M227*input!B223</f>
        <v>0</v>
      </c>
      <c r="C227" s="2">
        <f>$M227*input!C223</f>
        <v>0</v>
      </c>
      <c r="D227" s="2">
        <f>$M227*input!D223</f>
        <v>0</v>
      </c>
      <c r="E227" s="2">
        <f>$M227*input!E223</f>
        <v>0</v>
      </c>
      <c r="F227" s="2">
        <f>$M227*input!F223</f>
        <v>0</v>
      </c>
      <c r="G227" s="2">
        <f>$M227*input!G223</f>
        <v>0</v>
      </c>
      <c r="H227" s="2">
        <f>$M227*input!H223</f>
        <v>0</v>
      </c>
      <c r="I227" s="2">
        <f>$M227*input!I223</f>
        <v>0</v>
      </c>
      <c r="J227" s="2">
        <f>$M227*input!J223</f>
        <v>0</v>
      </c>
      <c r="K227" s="2">
        <f>$M227*input!K223</f>
        <v>0</v>
      </c>
      <c r="M227" s="3">
        <v>1</v>
      </c>
    </row>
    <row r="228" spans="1:14" ht="13" x14ac:dyDescent="0.15">
      <c r="A228" s="14" t="str">
        <f>input!A224</f>
        <v>Rivalut. di attività finanziarie per la gestione accentrata della tesoreria</v>
      </c>
      <c r="B228" s="2">
        <f>$M228*input!B224</f>
        <v>0</v>
      </c>
      <c r="C228" s="2">
        <f>$M228*input!C224</f>
        <v>0</v>
      </c>
      <c r="D228" s="2">
        <f>$M228*input!D224</f>
        <v>0</v>
      </c>
      <c r="E228" s="2">
        <f>$M228*input!E224</f>
        <v>0</v>
      </c>
      <c r="F228" s="2">
        <f>$M228*input!F224</f>
        <v>0</v>
      </c>
      <c r="G228" s="2">
        <f>$M228*input!G224</f>
        <v>0</v>
      </c>
      <c r="H228" s="2">
        <f>$M228*input!H224</f>
        <v>0</v>
      </c>
      <c r="I228" s="2">
        <f>$M228*input!I224</f>
        <v>0</v>
      </c>
      <c r="J228" s="2">
        <f>$M228*input!J224</f>
        <v>0</v>
      </c>
      <c r="K228" s="2">
        <f>$M228*input!K224</f>
        <v>0</v>
      </c>
      <c r="M228" s="3">
        <v>1</v>
      </c>
    </row>
    <row r="229" spans="1:14" ht="13" x14ac:dyDescent="0.15">
      <c r="A229" s="13" t="str">
        <f>input!A225</f>
        <v>D.19. TOT Svalutazioni</v>
      </c>
      <c r="B229" s="2">
        <f>$M229*input!B225</f>
        <v>0</v>
      </c>
      <c r="C229" s="2">
        <f>$M229*input!C225</f>
        <v>0</v>
      </c>
      <c r="D229" s="2">
        <f>$M229*input!D225</f>
        <v>0</v>
      </c>
      <c r="E229" s="2">
        <f>$M229*input!E225</f>
        <v>0</v>
      </c>
      <c r="F229" s="2">
        <f>$M229*input!F225</f>
        <v>0</v>
      </c>
      <c r="G229" s="2">
        <f>$M229*input!G225</f>
        <v>0</v>
      </c>
      <c r="H229" s="2">
        <f>$M229*input!H225</f>
        <v>0</v>
      </c>
      <c r="I229" s="2">
        <f>$M229*input!I225</f>
        <v>0</v>
      </c>
      <c r="J229" s="2">
        <f>$M229*input!J225</f>
        <v>0</v>
      </c>
      <c r="K229" s="2">
        <f>$M229*input!K225</f>
        <v>0</v>
      </c>
      <c r="M229" s="3">
        <v>-1</v>
      </c>
      <c r="N229" s="3" t="s">
        <v>294</v>
      </c>
    </row>
    <row r="230" spans="1:14" ht="13" x14ac:dyDescent="0.15">
      <c r="A230" s="14" t="str">
        <f>input!A226</f>
        <v>D.19.a. Svalut. di partec.</v>
      </c>
      <c r="B230" s="2">
        <f>$M230*input!B226</f>
        <v>0</v>
      </c>
      <c r="C230" s="2">
        <f>$M230*input!C226</f>
        <v>0</v>
      </c>
      <c r="D230" s="2">
        <f>$M230*input!D226</f>
        <v>0</v>
      </c>
      <c r="E230" s="2">
        <f>$M230*input!E226</f>
        <v>0</v>
      </c>
      <c r="F230" s="2">
        <f>$M230*input!F226</f>
        <v>0</v>
      </c>
      <c r="G230" s="2">
        <f>$M230*input!G226</f>
        <v>0</v>
      </c>
      <c r="H230" s="2">
        <f>$M230*input!H226</f>
        <v>0</v>
      </c>
      <c r="I230" s="2">
        <f>$M230*input!I226</f>
        <v>0</v>
      </c>
      <c r="J230" s="2">
        <f>$M230*input!J226</f>
        <v>0</v>
      </c>
      <c r="K230" s="2">
        <f>$M230*input!K226</f>
        <v>0</v>
      </c>
      <c r="M230" s="3">
        <v>1</v>
      </c>
    </row>
    <row r="231" spans="1:14" ht="13" x14ac:dyDescent="0.15">
      <c r="A231" s="14" t="str">
        <f>input!A227</f>
        <v>D.19.b. Svalut. di altre imm. fin.</v>
      </c>
      <c r="B231" s="2">
        <f>$M231*input!B227</f>
        <v>0</v>
      </c>
      <c r="C231" s="2">
        <f>$M231*input!C227</f>
        <v>0</v>
      </c>
      <c r="D231" s="2">
        <f>$M231*input!D227</f>
        <v>0</v>
      </c>
      <c r="E231" s="2">
        <f>$M231*input!E227</f>
        <v>0</v>
      </c>
      <c r="F231" s="2">
        <f>$M231*input!F227</f>
        <v>0</v>
      </c>
      <c r="G231" s="2">
        <f>$M231*input!G227</f>
        <v>0</v>
      </c>
      <c r="H231" s="2">
        <f>$M231*input!H227</f>
        <v>0</v>
      </c>
      <c r="I231" s="2">
        <f>$M231*input!I227</f>
        <v>0</v>
      </c>
      <c r="J231" s="2">
        <f>$M231*input!J227</f>
        <v>0</v>
      </c>
      <c r="K231" s="2">
        <f>$M231*input!K227</f>
        <v>0</v>
      </c>
      <c r="M231" s="3">
        <v>1</v>
      </c>
    </row>
    <row r="232" spans="1:14" ht="13" x14ac:dyDescent="0.15">
      <c r="A232" s="14" t="str">
        <f>input!A228</f>
        <v>D.19.c. Svalut. di titoli</v>
      </c>
      <c r="B232" s="2">
        <f>$M232*input!B228</f>
        <v>0</v>
      </c>
      <c r="C232" s="2">
        <f>$M232*input!C228</f>
        <v>0</v>
      </c>
      <c r="D232" s="2">
        <f>$M232*input!D228</f>
        <v>0</v>
      </c>
      <c r="E232" s="2">
        <f>$M232*input!E228</f>
        <v>0</v>
      </c>
      <c r="F232" s="2">
        <f>$M232*input!F228</f>
        <v>0</v>
      </c>
      <c r="G232" s="2">
        <f>$M232*input!G228</f>
        <v>0</v>
      </c>
      <c r="H232" s="2">
        <f>$M232*input!H228</f>
        <v>0</v>
      </c>
      <c r="I232" s="2">
        <f>$M232*input!I228</f>
        <v>0</v>
      </c>
      <c r="J232" s="2">
        <f>$M232*input!J228</f>
        <v>0</v>
      </c>
      <c r="K232" s="2">
        <f>$M232*input!K228</f>
        <v>0</v>
      </c>
      <c r="M232" s="3">
        <v>1</v>
      </c>
    </row>
    <row r="233" spans="1:14" ht="13" x14ac:dyDescent="0.15">
      <c r="A233" s="14" t="str">
        <f>input!A229</f>
        <v>D.19.d. Svalut. di strumenti finanziari derivati</v>
      </c>
      <c r="B233" s="2">
        <f>$M233*input!B229</f>
        <v>0</v>
      </c>
      <c r="C233" s="2">
        <f>$M233*input!C229</f>
        <v>0</v>
      </c>
      <c r="D233" s="2">
        <f>$M233*input!D229</f>
        <v>0</v>
      </c>
      <c r="E233" s="2">
        <f>$M233*input!E229</f>
        <v>0</v>
      </c>
      <c r="F233" s="2">
        <f>$M233*input!F229</f>
        <v>0</v>
      </c>
      <c r="G233" s="2">
        <f>$M233*input!G229</f>
        <v>0</v>
      </c>
      <c r="H233" s="2">
        <f>$M233*input!H229</f>
        <v>0</v>
      </c>
      <c r="I233" s="2">
        <f>$M233*input!I229</f>
        <v>0</v>
      </c>
      <c r="J233" s="2">
        <f>$M233*input!J229</f>
        <v>0</v>
      </c>
      <c r="K233" s="2">
        <f>$M233*input!K229</f>
        <v>0</v>
      </c>
      <c r="M233" s="3">
        <v>1</v>
      </c>
    </row>
    <row r="234" spans="1:14" ht="13" x14ac:dyDescent="0.15">
      <c r="A234" s="14" t="str">
        <f>input!A230</f>
        <v>Svalut. di attività finanziarie per la gestione accentrata della tesoreria</v>
      </c>
      <c r="B234" s="2">
        <f>$M234*input!B230</f>
        <v>0</v>
      </c>
      <c r="C234" s="2">
        <f>$M234*input!C230</f>
        <v>0</v>
      </c>
      <c r="D234" s="2">
        <f>$M234*input!D230</f>
        <v>0</v>
      </c>
      <c r="E234" s="2">
        <f>$M234*input!E230</f>
        <v>0</v>
      </c>
      <c r="F234" s="2">
        <f>$M234*input!F230</f>
        <v>0</v>
      </c>
      <c r="G234" s="2">
        <f>$M234*input!G230</f>
        <v>0</v>
      </c>
      <c r="H234" s="2">
        <f>$M234*input!H230</f>
        <v>0</v>
      </c>
      <c r="I234" s="2">
        <f>$M234*input!I230</f>
        <v>0</v>
      </c>
      <c r="J234" s="2">
        <f>$M234*input!J230</f>
        <v>0</v>
      </c>
      <c r="K234" s="2">
        <f>$M234*input!K230</f>
        <v>0</v>
      </c>
      <c r="M234" s="3">
        <v>1</v>
      </c>
    </row>
    <row r="235" spans="1:14" s="19" customFormat="1" ht="13" x14ac:dyDescent="0.15">
      <c r="A235" s="27" t="str">
        <f>input!A231</f>
        <v>TOTALE PROVENTI/ONERI STRAORDINARI</v>
      </c>
      <c r="B235" s="28">
        <f>$M235*input!B231</f>
        <v>0</v>
      </c>
      <c r="C235" s="28">
        <f>$M235*input!C231</f>
        <v>0</v>
      </c>
      <c r="D235" s="28">
        <f>$M235*input!D231</f>
        <v>0</v>
      </c>
      <c r="E235" s="28">
        <f>$M235*input!E231</f>
        <v>0</v>
      </c>
      <c r="F235" s="28">
        <f>$M235*input!F231</f>
        <v>0</v>
      </c>
      <c r="G235" s="28">
        <f>$M235*input!G231</f>
        <v>0</v>
      </c>
      <c r="H235" s="28">
        <f>$M235*input!H231</f>
        <v>0</v>
      </c>
      <c r="I235" s="28">
        <f>$M235*input!I231</f>
        <v>0</v>
      </c>
      <c r="J235" s="28">
        <f>$M235*input!J231</f>
        <v>0</v>
      </c>
      <c r="K235" s="28">
        <f>$M235*input!K231</f>
        <v>0</v>
      </c>
      <c r="M235" s="19">
        <v>1</v>
      </c>
    </row>
    <row r="236" spans="1:14" ht="13" x14ac:dyDescent="0.15">
      <c r="A236" s="13" t="str">
        <f>input!A232</f>
        <v>Proventi Straordinari</v>
      </c>
      <c r="B236" s="2">
        <f>$M236*input!B232</f>
        <v>0</v>
      </c>
      <c r="C236" s="2">
        <f>$M236*input!C232</f>
        <v>0</v>
      </c>
      <c r="D236" s="2">
        <f>$M236*input!D232</f>
        <v>0</v>
      </c>
      <c r="E236" s="2">
        <f>$M236*input!E232</f>
        <v>0</v>
      </c>
      <c r="F236" s="2">
        <f>$M236*input!F232</f>
        <v>0</v>
      </c>
      <c r="G236" s="2">
        <f>$M236*input!G232</f>
        <v>0</v>
      </c>
      <c r="H236" s="2">
        <f>$M236*input!H232</f>
        <v>0</v>
      </c>
      <c r="I236" s="2">
        <f>$M236*input!I232</f>
        <v>0</v>
      </c>
      <c r="J236" s="2">
        <f>$M236*input!J232</f>
        <v>0</v>
      </c>
      <c r="K236" s="2">
        <f>$M236*input!K232</f>
        <v>0</v>
      </c>
      <c r="M236" s="3">
        <v>1</v>
      </c>
      <c r="N236" s="3" t="s">
        <v>294</v>
      </c>
    </row>
    <row r="237" spans="1:14" ht="13" x14ac:dyDescent="0.15">
      <c r="A237" s="14" t="str">
        <f>input!A233</f>
        <v>di cui plusvalenze</v>
      </c>
      <c r="B237" s="2">
        <f>$M237*input!B233</f>
        <v>0</v>
      </c>
      <c r="C237" s="2">
        <f>$M237*input!C233</f>
        <v>0</v>
      </c>
      <c r="D237" s="2">
        <f>$M237*input!D233</f>
        <v>0</v>
      </c>
      <c r="E237" s="2">
        <f>$M237*input!E233</f>
        <v>0</v>
      </c>
      <c r="F237" s="2">
        <f>$M237*input!F233</f>
        <v>0</v>
      </c>
      <c r="G237" s="2">
        <f>$M237*input!G233</f>
        <v>0</v>
      </c>
      <c r="H237" s="2">
        <f>$M237*input!H233</f>
        <v>0</v>
      </c>
      <c r="I237" s="2">
        <f>$M237*input!I233</f>
        <v>0</v>
      </c>
      <c r="J237" s="2">
        <f>$M237*input!J233</f>
        <v>0</v>
      </c>
      <c r="K237" s="2">
        <f>$M237*input!K233</f>
        <v>0</v>
      </c>
      <c r="M237" s="3">
        <v>1</v>
      </c>
    </row>
    <row r="238" spans="1:14" ht="13" x14ac:dyDescent="0.15">
      <c r="A238" s="13" t="str">
        <f>input!A234</f>
        <v>Oneri Straordinari</v>
      </c>
      <c r="B238" s="2">
        <f>$M238*input!B234</f>
        <v>0</v>
      </c>
      <c r="C238" s="2">
        <f>$M238*input!C234</f>
        <v>0</v>
      </c>
      <c r="D238" s="2">
        <f>$M238*input!D234</f>
        <v>0</v>
      </c>
      <c r="E238" s="2">
        <f>$M238*input!E234</f>
        <v>0</v>
      </c>
      <c r="F238" s="2">
        <f>$M238*input!F234</f>
        <v>0</v>
      </c>
      <c r="G238" s="2">
        <f>$M238*input!G234</f>
        <v>0</v>
      </c>
      <c r="H238" s="2">
        <f>$M238*input!H234</f>
        <v>0</v>
      </c>
      <c r="I238" s="2">
        <f>$M238*input!I234</f>
        <v>0</v>
      </c>
      <c r="J238" s="2">
        <f>$M238*input!J234</f>
        <v>0</v>
      </c>
      <c r="K238" s="2">
        <f>$M238*input!K234</f>
        <v>0</v>
      </c>
      <c r="M238" s="3">
        <v>-1</v>
      </c>
      <c r="N238" s="3" t="s">
        <v>294</v>
      </c>
    </row>
    <row r="239" spans="1:14" ht="13" x14ac:dyDescent="0.15">
      <c r="A239" s="14" t="str">
        <f>input!A235</f>
        <v>di cui minusvalenze</v>
      </c>
      <c r="B239" s="2">
        <f>$M239*input!B235</f>
        <v>0</v>
      </c>
      <c r="C239" s="2">
        <f>$M239*input!C235</f>
        <v>0</v>
      </c>
      <c r="D239" s="2">
        <f>$M239*input!D235</f>
        <v>0</v>
      </c>
      <c r="E239" s="2">
        <f>$M239*input!E235</f>
        <v>0</v>
      </c>
      <c r="F239" s="2">
        <f>$M239*input!F235</f>
        <v>0</v>
      </c>
      <c r="G239" s="2">
        <f>$M239*input!G235</f>
        <v>0</v>
      </c>
      <c r="H239" s="2">
        <f>$M239*input!H235</f>
        <v>0</v>
      </c>
      <c r="I239" s="2">
        <f>$M239*input!I235</f>
        <v>0</v>
      </c>
      <c r="J239" s="2">
        <f>$M239*input!J235</f>
        <v>0</v>
      </c>
      <c r="K239" s="2">
        <f>$M239*input!K235</f>
        <v>0</v>
      </c>
      <c r="M239" s="3">
        <v>1</v>
      </c>
    </row>
    <row r="240" spans="1:14" ht="13" x14ac:dyDescent="0.15">
      <c r="A240" s="14" t="str">
        <f>input!A236</f>
        <v>di cui imposte esercizio precedente</v>
      </c>
      <c r="B240" s="2">
        <f>$M240*input!B236</f>
        <v>0</v>
      </c>
      <c r="C240" s="2">
        <f>$M240*input!C236</f>
        <v>0</v>
      </c>
      <c r="D240" s="2">
        <f>$M240*input!D236</f>
        <v>0</v>
      </c>
      <c r="E240" s="2">
        <f>$M240*input!E236</f>
        <v>0</v>
      </c>
      <c r="F240" s="2">
        <f>$M240*input!F236</f>
        <v>0</v>
      </c>
      <c r="G240" s="2">
        <f>$M240*input!G236</f>
        <v>0</v>
      </c>
      <c r="H240" s="2">
        <f>$M240*input!H236</f>
        <v>0</v>
      </c>
      <c r="I240" s="2">
        <f>$M240*input!I236</f>
        <v>0</v>
      </c>
      <c r="J240" s="2">
        <f>$M240*input!J236</f>
        <v>0</v>
      </c>
      <c r="K240" s="2">
        <f>$M240*input!K236</f>
        <v>0</v>
      </c>
      <c r="M240" s="3">
        <v>1</v>
      </c>
    </row>
    <row r="241" spans="1:14" s="19" customFormat="1" ht="13" x14ac:dyDescent="0.15">
      <c r="A241" s="27" t="str">
        <f>input!A237</f>
        <v>RISULTATO PRIMA DELLE IMPOSTE</v>
      </c>
      <c r="B241" s="28">
        <f>$M241*input!B237</f>
        <v>1087201</v>
      </c>
      <c r="C241" s="28">
        <f>$M241*input!C237</f>
        <v>591071</v>
      </c>
      <c r="D241" s="28">
        <f>$M241*input!D237</f>
        <v>710509</v>
      </c>
      <c r="E241" s="28">
        <f>$M241*input!E237</f>
        <v>1204240</v>
      </c>
      <c r="F241" s="28">
        <f>$M241*input!F237</f>
        <v>1192771</v>
      </c>
      <c r="G241" s="28">
        <f>$M241*input!G237</f>
        <v>970828</v>
      </c>
      <c r="H241" s="28">
        <f>$M241*input!H237</f>
        <v>951134</v>
      </c>
      <c r="I241" s="28">
        <f>$M241*input!I237</f>
        <v>533439</v>
      </c>
      <c r="J241" s="28">
        <f>$M241*input!J237</f>
        <v>0</v>
      </c>
      <c r="K241" s="28">
        <f>$M241*input!K237</f>
        <v>0</v>
      </c>
      <c r="M241" s="19">
        <v>1</v>
      </c>
    </row>
    <row r="242" spans="1:14" s="11" customFormat="1" ht="13.5" customHeight="1" x14ac:dyDescent="0.15">
      <c r="A242" s="9" t="str">
        <f>input!A238</f>
        <v>20. Totale Imposte sul reddito correnti, differite e anticipate</v>
      </c>
      <c r="B242" s="10">
        <f>$M242*input!B238</f>
        <v>-187468</v>
      </c>
      <c r="C242" s="10">
        <f>$M242*input!C238</f>
        <v>-24404</v>
      </c>
      <c r="D242" s="10">
        <f>$M242*input!D238</f>
        <v>-31928</v>
      </c>
      <c r="E242" s="10">
        <f>$M242*input!E238</f>
        <v>-242937</v>
      </c>
      <c r="F242" s="10">
        <f>$M242*input!F238</f>
        <v>-271489</v>
      </c>
      <c r="G242" s="10">
        <f>$M242*input!G238</f>
        <v>-219192</v>
      </c>
      <c r="H242" s="10">
        <f>$M242*input!H238</f>
        <v>-280709</v>
      </c>
      <c r="I242" s="10">
        <f>$M242*input!I238</f>
        <v>-168693</v>
      </c>
      <c r="J242" s="10">
        <f>$M242*input!J238</f>
        <v>0</v>
      </c>
      <c r="K242" s="10">
        <f>$M242*input!K238</f>
        <v>0</v>
      </c>
      <c r="M242" s="11">
        <v>-1</v>
      </c>
      <c r="N242" s="11" t="s">
        <v>295</v>
      </c>
    </row>
    <row r="243" spans="1:14" ht="13" x14ac:dyDescent="0.15">
      <c r="A243" s="1" t="str">
        <f>input!A239</f>
        <v>Imposte correnti</v>
      </c>
      <c r="B243" s="2">
        <f>$M243*input!B239</f>
        <v>187468</v>
      </c>
      <c r="C243" s="2">
        <f>$M243*input!C239</f>
        <v>21620</v>
      </c>
      <c r="D243" s="2">
        <f>$M243*input!D239</f>
        <v>31928</v>
      </c>
      <c r="E243" s="2">
        <f>$M243*input!E239</f>
        <v>242937</v>
      </c>
      <c r="F243" s="2">
        <f>$M243*input!F239</f>
        <v>271489</v>
      </c>
      <c r="G243" s="2">
        <f>$M243*input!G239</f>
        <v>220987</v>
      </c>
      <c r="H243" s="2">
        <f>$M243*input!H239</f>
        <v>281130</v>
      </c>
      <c r="I243" s="2">
        <f>$M243*input!I239</f>
        <v>168693</v>
      </c>
      <c r="J243" s="2">
        <f>$M243*input!J239</f>
        <v>0</v>
      </c>
      <c r="K243" s="2">
        <f>$M243*input!K239</f>
        <v>0</v>
      </c>
      <c r="M243" s="3">
        <v>1</v>
      </c>
    </row>
    <row r="244" spans="1:14" ht="13" x14ac:dyDescent="0.15">
      <c r="A244" s="1" t="str">
        <f>input!A240</f>
        <v>Imposte relative a esercizi precedenti</v>
      </c>
      <c r="B244" s="2">
        <f>$M244*input!B240</f>
        <v>0</v>
      </c>
      <c r="C244" s="2">
        <f>$M244*input!C240</f>
        <v>2784</v>
      </c>
      <c r="D244" s="2">
        <f>$M244*input!D240</f>
        <v>0</v>
      </c>
      <c r="E244" s="2">
        <f>$M244*input!E240</f>
        <v>0</v>
      </c>
      <c r="F244" s="2">
        <f>$M244*input!F240</f>
        <v>0</v>
      </c>
      <c r="G244" s="2">
        <f>$M244*input!G240</f>
        <v>-1795</v>
      </c>
      <c r="H244" s="2">
        <f>$M244*input!H240</f>
        <v>-421</v>
      </c>
      <c r="I244" s="2">
        <f>$M244*input!I240</f>
        <v>0</v>
      </c>
      <c r="J244" s="2">
        <f>$M244*input!J240</f>
        <v>0</v>
      </c>
      <c r="K244" s="2">
        <f>$M244*input!K240</f>
        <v>0</v>
      </c>
      <c r="M244" s="3">
        <v>1</v>
      </c>
    </row>
    <row r="245" spans="1:14" ht="13" x14ac:dyDescent="0.15">
      <c r="A245" s="1" t="str">
        <f>input!A241</f>
        <v>Imposte differite e anticipate</v>
      </c>
      <c r="B245" s="2">
        <f>$M245*input!B241</f>
        <v>0</v>
      </c>
      <c r="C245" s="2">
        <f>$M245*input!C241</f>
        <v>0</v>
      </c>
      <c r="D245" s="2">
        <f>$M245*input!D241</f>
        <v>0</v>
      </c>
      <c r="E245" s="2">
        <f>$M245*input!E241</f>
        <v>0</v>
      </c>
      <c r="F245" s="2">
        <f>$M245*input!F241</f>
        <v>0</v>
      </c>
      <c r="G245" s="2">
        <f>$M245*input!G241</f>
        <v>0</v>
      </c>
      <c r="H245" s="2">
        <f>$M245*input!H241</f>
        <v>0</v>
      </c>
      <c r="I245" s="2">
        <f>$M245*input!I241</f>
        <v>0</v>
      </c>
      <c r="J245" s="2">
        <f>$M245*input!J241</f>
        <v>0</v>
      </c>
      <c r="K245" s="2">
        <f>$M245*input!K241</f>
        <v>0</v>
      </c>
      <c r="M245" s="3">
        <v>1</v>
      </c>
    </row>
    <row r="246" spans="1:14" ht="13" x14ac:dyDescent="0.15">
      <c r="A246" s="1" t="str">
        <f>input!A242</f>
        <v>Imposte differite (+/-)</v>
      </c>
      <c r="B246" s="2">
        <f>$M246*input!B242</f>
        <v>0</v>
      </c>
      <c r="C246" s="2">
        <f>$M246*input!C242</f>
        <v>0</v>
      </c>
      <c r="D246" s="2">
        <f>$M246*input!D242</f>
        <v>0</v>
      </c>
      <c r="E246" s="2">
        <f>$M246*input!E242</f>
        <v>0</v>
      </c>
      <c r="F246" s="2">
        <f>$M246*input!F242</f>
        <v>0</v>
      </c>
      <c r="G246" s="2">
        <f>$M246*input!G242</f>
        <v>0</v>
      </c>
      <c r="H246" s="2">
        <f>$M246*input!H242</f>
        <v>0</v>
      </c>
      <c r="I246" s="2">
        <f>$M246*input!I242</f>
        <v>0</v>
      </c>
      <c r="J246" s="2">
        <f>$M246*input!J242</f>
        <v>0</v>
      </c>
      <c r="K246" s="2">
        <f>$M246*input!K242</f>
        <v>0</v>
      </c>
      <c r="M246" s="3">
        <v>1</v>
      </c>
    </row>
    <row r="247" spans="1:14" ht="13" x14ac:dyDescent="0.15">
      <c r="A247" s="1" t="str">
        <f>input!A243</f>
        <v>Imposte anticipate (+/-)</v>
      </c>
      <c r="B247" s="2">
        <f>$M247*input!B243</f>
        <v>0</v>
      </c>
      <c r="C247" s="2">
        <f>$M247*input!C243</f>
        <v>0</v>
      </c>
      <c r="D247" s="2">
        <f>$M247*input!D243</f>
        <v>0</v>
      </c>
      <c r="E247" s="2">
        <f>$M247*input!E243</f>
        <v>0</v>
      </c>
      <c r="F247" s="2">
        <f>$M247*input!F243</f>
        <v>0</v>
      </c>
      <c r="G247" s="2">
        <f>$M247*input!G243</f>
        <v>0</v>
      </c>
      <c r="H247" s="2">
        <f>$M247*input!H243</f>
        <v>0</v>
      </c>
      <c r="I247" s="2">
        <f>$M247*input!I243</f>
        <v>0</v>
      </c>
      <c r="J247" s="2">
        <f>$M247*input!J243</f>
        <v>0</v>
      </c>
      <c r="K247" s="2">
        <f>$M247*input!K243</f>
        <v>0</v>
      </c>
      <c r="M247" s="3">
        <v>1</v>
      </c>
    </row>
    <row r="248" spans="1:14" ht="13" x14ac:dyDescent="0.15">
      <c r="A248" s="1" t="str">
        <f>input!A244</f>
        <v>Prov. (oneri) da adesione al regime di trasparenza fiscale</v>
      </c>
      <c r="B248" s="2">
        <f>$M248*input!B244</f>
        <v>0</v>
      </c>
      <c r="C248" s="2">
        <f>$M248*input!C244</f>
        <v>0</v>
      </c>
      <c r="D248" s="2">
        <f>$M248*input!D244</f>
        <v>0</v>
      </c>
      <c r="E248" s="2">
        <f>$M248*input!E244</f>
        <v>0</v>
      </c>
      <c r="F248" s="2">
        <f>$M248*input!F244</f>
        <v>0</v>
      </c>
      <c r="G248" s="2">
        <f>$M248*input!G244</f>
        <v>0</v>
      </c>
      <c r="H248" s="2">
        <f>$M248*input!H244</f>
        <v>0</v>
      </c>
      <c r="I248" s="2">
        <f>$M248*input!I244</f>
        <v>0</v>
      </c>
      <c r="J248" s="2">
        <f>$M248*input!J244</f>
        <v>0</v>
      </c>
      <c r="K248" s="2">
        <f>$M248*input!K244</f>
        <v>0</v>
      </c>
      <c r="M248" s="3">
        <v>1</v>
      </c>
    </row>
    <row r="249" spans="1:14" s="11" customFormat="1" ht="13.5" customHeight="1" x14ac:dyDescent="0.15">
      <c r="A249" s="17" t="str">
        <f>input!A245</f>
        <v>21. UTILE/PERDITA DI ESERCIZIO</v>
      </c>
      <c r="B249" s="18">
        <f>$M249*input!B245</f>
        <v>899733</v>
      </c>
      <c r="C249" s="18">
        <f>$M249*input!C245</f>
        <v>566667</v>
      </c>
      <c r="D249" s="18">
        <f>$M249*input!D245</f>
        <v>678581</v>
      </c>
      <c r="E249" s="18">
        <f>$M249*input!E245</f>
        <v>961303</v>
      </c>
      <c r="F249" s="18">
        <f>$M249*input!F245</f>
        <v>921282</v>
      </c>
      <c r="G249" s="18">
        <f>$M249*input!G245</f>
        <v>751636</v>
      </c>
      <c r="H249" s="18">
        <f>$M249*input!H245</f>
        <v>670425</v>
      </c>
      <c r="I249" s="18">
        <f>$M249*input!I245</f>
        <v>364746</v>
      </c>
      <c r="J249" s="18">
        <f>$M249*input!J245</f>
        <v>0</v>
      </c>
      <c r="K249" s="18">
        <f>$M249*input!K245</f>
        <v>0</v>
      </c>
      <c r="M249" s="11">
        <v>1</v>
      </c>
    </row>
    <row r="250" spans="1:14" ht="13" x14ac:dyDescent="0.15">
      <c r="A250" s="32" t="str">
        <f>input!A246</f>
        <v>UTILE/PERDITA DI ESERCIZIO di pert. di TERZI</v>
      </c>
      <c r="B250" s="33">
        <f>$M250*input!B246</f>
        <v>0</v>
      </c>
      <c r="C250" s="33">
        <f>$M250*input!C246</f>
        <v>0</v>
      </c>
      <c r="D250" s="33">
        <f>$M250*input!D246</f>
        <v>0</v>
      </c>
      <c r="E250" s="33">
        <f>$M250*input!E246</f>
        <v>0</v>
      </c>
      <c r="F250" s="33">
        <f>$M250*input!F246</f>
        <v>0</v>
      </c>
      <c r="G250" s="33">
        <f>$M250*input!G246</f>
        <v>0</v>
      </c>
      <c r="H250" s="33">
        <f>$M250*input!H246</f>
        <v>0</v>
      </c>
      <c r="I250" s="33">
        <f>$M250*input!I246</f>
        <v>0</v>
      </c>
      <c r="J250" s="33">
        <f>$M250*input!J246</f>
        <v>0</v>
      </c>
      <c r="K250" s="33">
        <f>$M250*input!K246</f>
        <v>0</v>
      </c>
      <c r="M250" s="3">
        <v>1</v>
      </c>
    </row>
    <row r="251" spans="1:14" ht="13" x14ac:dyDescent="0.15">
      <c r="A251" s="1" t="str">
        <f>input!A247</f>
        <v>BOME' S.P.A.</v>
      </c>
    </row>
    <row r="252" spans="1:14" ht="13" x14ac:dyDescent="0.15">
      <c r="A252" s="1" t="str">
        <f>input!A248</f>
        <v>00369120225</v>
      </c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162"/>
  <sheetViews>
    <sheetView topLeftCell="A10" zoomScaleNormal="100" workbookViewId="0">
      <selection activeCell="E176" sqref="E176"/>
    </sheetView>
  </sheetViews>
  <sheetFormatPr baseColWidth="10" defaultColWidth="12.6640625" defaultRowHeight="15.75" customHeight="1" x14ac:dyDescent="0.15"/>
  <cols>
    <col min="1" max="1" width="42.83203125" style="3" customWidth="1"/>
    <col min="2" max="11" width="15.83203125" style="26" customWidth="1"/>
    <col min="12" max="16384" width="12.6640625" style="3"/>
  </cols>
  <sheetData>
    <row r="1" spans="1:11" s="35" customFormat="1" ht="15.75" customHeight="1" x14ac:dyDescent="0.15">
      <c r="A1" s="34"/>
      <c r="B1" s="28">
        <f>case!B1</f>
        <v>2024</v>
      </c>
      <c r="C1" s="35">
        <f>case!C1</f>
        <v>2023</v>
      </c>
      <c r="D1" s="35">
        <f>case!D1</f>
        <v>2022</v>
      </c>
      <c r="E1" s="35">
        <f>case!E1</f>
        <v>2021</v>
      </c>
      <c r="F1" s="35">
        <f>case!F1</f>
        <v>2020</v>
      </c>
      <c r="G1" s="35">
        <f>case!G1</f>
        <v>2019</v>
      </c>
      <c r="H1" s="35">
        <f>case!H1</f>
        <v>2018</v>
      </c>
      <c r="I1" s="35">
        <f>case!I1</f>
        <v>2017</v>
      </c>
      <c r="J1" s="35">
        <f>case!J1</f>
        <v>0</v>
      </c>
      <c r="K1" s="35">
        <f>case!K1</f>
        <v>0</v>
      </c>
    </row>
    <row r="2" spans="1:11" s="12" customFormat="1" ht="15.75" customHeight="1" x14ac:dyDescent="0.15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15.75" customHeight="1" x14ac:dyDescent="0.15">
      <c r="A3" s="38" t="s">
        <v>297</v>
      </c>
    </row>
    <row r="4" spans="1:11" ht="15.75" customHeight="1" x14ac:dyDescent="0.15">
      <c r="A4" s="39" t="s">
        <v>298</v>
      </c>
    </row>
    <row r="5" spans="1:11" ht="15.75" customHeight="1" x14ac:dyDescent="0.15">
      <c r="A5" s="39" t="s">
        <v>256</v>
      </c>
      <c r="B5" s="26">
        <f>SUMIF(case!$N:$N,$A5,case!B:B)</f>
        <v>4256399</v>
      </c>
      <c r="C5" s="26">
        <f>SUMIF(case!$N:$N,$A5,case!C:C)</f>
        <v>3896776</v>
      </c>
      <c r="D5" s="26">
        <f>SUMIF(case!$N:$N,$A5,case!D:D)</f>
        <v>2966203</v>
      </c>
      <c r="E5" s="26">
        <f>SUMIF(case!$N:$N,$A5,case!E:E)</f>
        <v>3180616</v>
      </c>
      <c r="F5" s="26">
        <f>SUMIF(case!$N:$N,$A5,case!F:F)</f>
        <v>2787212</v>
      </c>
      <c r="G5" s="26">
        <f>SUMIF(case!$N:$N,$A5,case!G:G)</f>
        <v>2642901</v>
      </c>
      <c r="H5" s="26">
        <f>SUMIF(case!$N:$N,$A5,case!H:H)</f>
        <v>2353521</v>
      </c>
      <c r="I5" s="26">
        <f>SUMIF(case!$N:$N,$A5,case!I:I)</f>
        <v>2381302</v>
      </c>
      <c r="J5" s="26">
        <f>SUMIF(case!$N:$N,$A5,case!J:J)</f>
        <v>0</v>
      </c>
      <c r="K5" s="26">
        <f>SUMIF(case!$N:$N,$A5,case!K:K)</f>
        <v>0</v>
      </c>
    </row>
    <row r="6" spans="1:11" ht="15.75" customHeight="1" x14ac:dyDescent="0.15">
      <c r="A6" s="39" t="s">
        <v>254</v>
      </c>
      <c r="B6" s="26">
        <f>SUMIF(case!$N:$N,$A6,case!B:B)</f>
        <v>4608814</v>
      </c>
      <c r="C6" s="26">
        <f>SUMIF(case!$N:$N,$A6,case!C:C)</f>
        <v>5040346</v>
      </c>
      <c r="D6" s="26">
        <f>SUMIF(case!$N:$N,$A6,case!D:D)</f>
        <v>5250264</v>
      </c>
      <c r="E6" s="26">
        <f>SUMIF(case!$N:$N,$A6,case!E:E)</f>
        <v>2924371</v>
      </c>
      <c r="F6" s="26">
        <f>SUMIF(case!$N:$N,$A6,case!F:F)</f>
        <v>2556678</v>
      </c>
      <c r="G6" s="26">
        <f>SUMIF(case!$N:$N,$A6,case!G:G)</f>
        <v>3010721</v>
      </c>
      <c r="H6" s="26">
        <f>SUMIF(case!$N:$N,$A6,case!H:H)</f>
        <v>2422241</v>
      </c>
      <c r="I6" s="26">
        <f>SUMIF(case!$N:$N,$A6,case!I:I)</f>
        <v>2070635</v>
      </c>
      <c r="J6" s="26">
        <f>SUMIF(case!$N:$N,$A6,case!J:J)</f>
        <v>0</v>
      </c>
      <c r="K6" s="26">
        <f>SUMIF(case!$N:$N,$A6,case!K:K)</f>
        <v>0</v>
      </c>
    </row>
    <row r="7" spans="1:11" ht="15.75" customHeight="1" x14ac:dyDescent="0.15">
      <c r="A7" s="39" t="s">
        <v>255</v>
      </c>
      <c r="B7" s="26">
        <f>SUMIF(case!$N:$N,$A7,case!B:B)</f>
        <v>816992</v>
      </c>
      <c r="C7" s="26">
        <f>SUMIF(case!$N:$N,$A7,case!C:C)</f>
        <v>1399880</v>
      </c>
      <c r="D7" s="26">
        <f>SUMIF(case!$N:$N,$A7,case!D:D)</f>
        <v>1028451</v>
      </c>
      <c r="E7" s="26">
        <f>SUMIF(case!$N:$N,$A7,case!E:E)</f>
        <v>116979</v>
      </c>
      <c r="F7" s="26">
        <f>SUMIF(case!$N:$N,$A7,case!F:F)</f>
        <v>104609</v>
      </c>
      <c r="G7" s="26">
        <f>SUMIF(case!$N:$N,$A7,case!G:G)</f>
        <v>261767</v>
      </c>
      <c r="H7" s="26">
        <f>SUMIF(case!$N:$N,$A7,case!H:H)</f>
        <v>83114</v>
      </c>
      <c r="I7" s="26">
        <f>SUMIF(case!$N:$N,$A7,case!I:I)</f>
        <v>73755</v>
      </c>
      <c r="J7" s="26">
        <f>SUMIF(case!$N:$N,$A7,case!J:J)</f>
        <v>0</v>
      </c>
      <c r="K7" s="26">
        <f>SUMIF(case!$N:$N,$A7,case!K:K)</f>
        <v>0</v>
      </c>
    </row>
    <row r="8" spans="1:11" ht="15.75" customHeight="1" x14ac:dyDescent="0.15">
      <c r="A8" s="38" t="s">
        <v>299</v>
      </c>
      <c r="B8" s="26">
        <f t="shared" ref="B8:K8" si="0">SUM(B5:B7)</f>
        <v>9682205</v>
      </c>
      <c r="C8" s="26">
        <f t="shared" si="0"/>
        <v>10337002</v>
      </c>
      <c r="D8" s="26">
        <f t="shared" si="0"/>
        <v>9244918</v>
      </c>
      <c r="E8" s="26">
        <f t="shared" si="0"/>
        <v>6221966</v>
      </c>
      <c r="F8" s="26">
        <f t="shared" si="0"/>
        <v>5448499</v>
      </c>
      <c r="G8" s="26">
        <f t="shared" si="0"/>
        <v>5915389</v>
      </c>
      <c r="H8" s="26">
        <f t="shared" si="0"/>
        <v>4858876</v>
      </c>
      <c r="I8" s="26">
        <f t="shared" si="0"/>
        <v>4525692</v>
      </c>
      <c r="J8" s="26">
        <f t="shared" si="0"/>
        <v>0</v>
      </c>
      <c r="K8" s="26">
        <f t="shared" si="0"/>
        <v>0</v>
      </c>
    </row>
    <row r="9" spans="1:11" ht="15.75" customHeight="1" x14ac:dyDescent="0.15">
      <c r="A9" s="39" t="s">
        <v>300</v>
      </c>
    </row>
    <row r="10" spans="1:11" ht="15.75" customHeight="1" x14ac:dyDescent="0.15">
      <c r="A10" s="39" t="s">
        <v>247</v>
      </c>
      <c r="B10" s="26">
        <f>SUMIF(case!$N:$N,$A10,case!B:B)</f>
        <v>8694725</v>
      </c>
      <c r="C10" s="26">
        <f>SUMIF(case!$N:$N,$A10,case!C:C)</f>
        <v>9017770</v>
      </c>
      <c r="D10" s="26">
        <f>SUMIF(case!$N:$N,$A10,case!D:D)</f>
        <v>9416528</v>
      </c>
      <c r="E10" s="26">
        <f>SUMIF(case!$N:$N,$A10,case!E:E)</f>
        <v>9430510</v>
      </c>
      <c r="F10" s="26">
        <f>SUMIF(case!$N:$N,$A10,case!F:F)</f>
        <v>7025024</v>
      </c>
      <c r="G10" s="26">
        <f>SUMIF(case!$N:$N,$A10,case!G:G)</f>
        <v>2594042</v>
      </c>
      <c r="H10" s="26">
        <f>SUMIF(case!$N:$N,$A10,case!H:H)</f>
        <v>1186419</v>
      </c>
      <c r="I10" s="26">
        <f>SUMIF(case!$N:$N,$A10,case!I:I)</f>
        <v>891818</v>
      </c>
      <c r="J10" s="26">
        <f>SUMIF(case!$N:$N,$A10,case!J:J)</f>
        <v>0</v>
      </c>
      <c r="K10" s="26">
        <f>SUMIF(case!$N:$N,$A10,case!K:K)</f>
        <v>0</v>
      </c>
    </row>
    <row r="11" spans="1:11" ht="15.75" customHeight="1" x14ac:dyDescent="0.15">
      <c r="A11" s="39" t="s">
        <v>246</v>
      </c>
      <c r="B11" s="26">
        <f>SUMIF(case!$N:$N,$A11,case!B:B)</f>
        <v>89523</v>
      </c>
      <c r="C11" s="26">
        <f>SUMIF(case!$N:$N,$A11,case!C:C)</f>
        <v>106380</v>
      </c>
      <c r="D11" s="26">
        <f>SUMIF(case!$N:$N,$A11,case!D:D)</f>
        <v>139717</v>
      </c>
      <c r="E11" s="26">
        <f>SUMIF(case!$N:$N,$A11,case!E:E)</f>
        <v>76490</v>
      </c>
      <c r="F11" s="26">
        <f>SUMIF(case!$N:$N,$A11,case!F:F)</f>
        <v>33453</v>
      </c>
      <c r="G11" s="26">
        <f>SUMIF(case!$N:$N,$A11,case!G:G)</f>
        <v>7543</v>
      </c>
      <c r="H11" s="26">
        <f>SUMIF(case!$N:$N,$A11,case!H:H)</f>
        <v>0</v>
      </c>
      <c r="I11" s="26">
        <f>SUMIF(case!$N:$N,$A11,case!I:I)</f>
        <v>1977</v>
      </c>
      <c r="J11" s="26">
        <f>SUMIF(case!$N:$N,$A11,case!J:J)</f>
        <v>0</v>
      </c>
      <c r="K11" s="26">
        <f>SUMIF(case!$N:$N,$A11,case!K:K)</f>
        <v>0</v>
      </c>
    </row>
    <row r="12" spans="1:11" ht="15.75" customHeight="1" x14ac:dyDescent="0.15">
      <c r="A12" s="38" t="s">
        <v>301</v>
      </c>
      <c r="B12" s="26">
        <f t="shared" ref="B12:K12" si="1">SUM(B10:B11)</f>
        <v>8784248</v>
      </c>
      <c r="C12" s="26">
        <f t="shared" si="1"/>
        <v>9124150</v>
      </c>
      <c r="D12" s="26">
        <f t="shared" si="1"/>
        <v>9556245</v>
      </c>
      <c r="E12" s="26">
        <f t="shared" si="1"/>
        <v>9507000</v>
      </c>
      <c r="F12" s="26">
        <f t="shared" si="1"/>
        <v>7058477</v>
      </c>
      <c r="G12" s="26">
        <f t="shared" si="1"/>
        <v>2601585</v>
      </c>
      <c r="H12" s="26">
        <f t="shared" si="1"/>
        <v>1186419</v>
      </c>
      <c r="I12" s="26">
        <f t="shared" si="1"/>
        <v>893795</v>
      </c>
      <c r="J12" s="26">
        <f t="shared" si="1"/>
        <v>0</v>
      </c>
      <c r="K12" s="26">
        <f t="shared" si="1"/>
        <v>0</v>
      </c>
    </row>
    <row r="13" spans="1:11" ht="15.75" customHeight="1" x14ac:dyDescent="0.15">
      <c r="A13" s="39" t="s">
        <v>302</v>
      </c>
    </row>
    <row r="14" spans="1:11" ht="15.75" customHeight="1" x14ac:dyDescent="0.15">
      <c r="A14" s="39" t="s">
        <v>251</v>
      </c>
      <c r="B14" s="26">
        <f>SUMIF(case!$N:$N,$A14,case!B:B)</f>
        <v>0</v>
      </c>
      <c r="C14" s="26">
        <f>SUMIF(case!$N:$N,$A14,case!C:C)</f>
        <v>0</v>
      </c>
      <c r="D14" s="26">
        <f>SUMIF(case!$N:$N,$A14,case!D:D)</f>
        <v>0</v>
      </c>
      <c r="E14" s="26">
        <f>SUMIF(case!$N:$N,$A14,case!E:E)</f>
        <v>0</v>
      </c>
      <c r="F14" s="26">
        <f>SUMIF(case!$N:$N,$A14,case!F:F)</f>
        <v>8192</v>
      </c>
      <c r="G14" s="26">
        <f>SUMIF(case!$N:$N,$A14,case!G:G)</f>
        <v>8192</v>
      </c>
      <c r="H14" s="26">
        <f>SUMIF(case!$N:$N,$A14,case!H:H)</f>
        <v>8192</v>
      </c>
      <c r="I14" s="26">
        <f>SUMIF(case!$N:$N,$A14,case!I:I)</f>
        <v>8192</v>
      </c>
      <c r="J14" s="26">
        <f>SUMIF(case!$N:$N,$A14,case!J:J)</f>
        <v>0</v>
      </c>
      <c r="K14" s="26">
        <f>SUMIF(case!$N:$N,$A14,case!K:K)</f>
        <v>0</v>
      </c>
    </row>
    <row r="15" spans="1:11" ht="15.75" customHeight="1" x14ac:dyDescent="0.15">
      <c r="A15" s="38" t="s">
        <v>303</v>
      </c>
      <c r="B15" s="26">
        <f t="shared" ref="B15:K15" si="2">SUM(B14)</f>
        <v>0</v>
      </c>
      <c r="C15" s="26">
        <f t="shared" si="2"/>
        <v>0</v>
      </c>
      <c r="D15" s="26">
        <f t="shared" si="2"/>
        <v>0</v>
      </c>
      <c r="E15" s="26">
        <f t="shared" si="2"/>
        <v>0</v>
      </c>
      <c r="F15" s="26">
        <f t="shared" si="2"/>
        <v>8192</v>
      </c>
      <c r="G15" s="26">
        <f t="shared" si="2"/>
        <v>8192</v>
      </c>
      <c r="H15" s="26">
        <f t="shared" si="2"/>
        <v>8192</v>
      </c>
      <c r="I15" s="26">
        <f t="shared" si="2"/>
        <v>8192</v>
      </c>
      <c r="J15" s="26">
        <f t="shared" si="2"/>
        <v>0</v>
      </c>
      <c r="K15" s="26">
        <f t="shared" si="2"/>
        <v>0</v>
      </c>
    </row>
    <row r="16" spans="1:11" ht="15.75" customHeight="1" x14ac:dyDescent="0.15">
      <c r="A16" s="38" t="s">
        <v>304</v>
      </c>
      <c r="B16" s="26">
        <f t="shared" ref="B16:K16" si="3">B8+B12+B15</f>
        <v>18466453</v>
      </c>
      <c r="C16" s="26">
        <f t="shared" si="3"/>
        <v>19461152</v>
      </c>
      <c r="D16" s="26">
        <f t="shared" si="3"/>
        <v>18801163</v>
      </c>
      <c r="E16" s="26">
        <f t="shared" si="3"/>
        <v>15728966</v>
      </c>
      <c r="F16" s="26">
        <f t="shared" si="3"/>
        <v>12515168</v>
      </c>
      <c r="G16" s="26">
        <f t="shared" si="3"/>
        <v>8525166</v>
      </c>
      <c r="H16" s="26">
        <f t="shared" si="3"/>
        <v>6053487</v>
      </c>
      <c r="I16" s="26">
        <f t="shared" si="3"/>
        <v>5427679</v>
      </c>
      <c r="J16" s="26">
        <f t="shared" si="3"/>
        <v>0</v>
      </c>
      <c r="K16" s="26">
        <f t="shared" si="3"/>
        <v>0</v>
      </c>
    </row>
    <row r="17" spans="1:11" ht="15.75" customHeight="1" x14ac:dyDescent="0.15">
      <c r="A17" s="39"/>
    </row>
    <row r="18" spans="1:11" ht="15.75" customHeight="1" x14ac:dyDescent="0.15">
      <c r="A18" s="38" t="s">
        <v>305</v>
      </c>
    </row>
    <row r="19" spans="1:11" ht="15.75" customHeight="1" x14ac:dyDescent="0.15">
      <c r="A19" s="39" t="s">
        <v>257</v>
      </c>
      <c r="B19" s="26">
        <f>SUMIF(case!$N:$N,$A19,case!B:B)</f>
        <v>23274</v>
      </c>
      <c r="C19" s="26">
        <f>SUMIF(case!$N:$N,$A19,case!C:C)</f>
        <v>142981</v>
      </c>
      <c r="D19" s="26">
        <f>SUMIF(case!$N:$N,$A19,case!D:D)</f>
        <v>705663</v>
      </c>
      <c r="E19" s="26">
        <f>SUMIF(case!$N:$N,$A19,case!E:E)</f>
        <v>147272</v>
      </c>
      <c r="F19" s="26">
        <f>SUMIF(case!$N:$N,$A19,case!F:F)</f>
        <v>284700</v>
      </c>
      <c r="G19" s="26">
        <f>SUMIF(case!$N:$N,$A19,case!G:G)</f>
        <v>175791</v>
      </c>
      <c r="H19" s="26">
        <f>SUMIF(case!$N:$N,$A19,case!H:H)</f>
        <v>57954</v>
      </c>
      <c r="I19" s="26">
        <f>SUMIF(case!$N:$N,$A19,case!I:I)</f>
        <v>4758</v>
      </c>
      <c r="J19" s="26">
        <f>SUMIF(case!$N:$N,$A19,case!J:J)</f>
        <v>0</v>
      </c>
      <c r="K19" s="26">
        <f>SUMIF(case!$N:$N,$A19,case!K:K)</f>
        <v>0</v>
      </c>
    </row>
    <row r="20" spans="1:11" ht="15.75" customHeight="1" x14ac:dyDescent="0.15">
      <c r="A20" s="39" t="s">
        <v>258</v>
      </c>
      <c r="B20" s="26">
        <f>SUMIF(case!$N:$N,$A20,case!B:B)</f>
        <v>0</v>
      </c>
      <c r="C20" s="26">
        <f>SUMIF(case!$N:$N,$A20,case!C:C)</f>
        <v>0</v>
      </c>
      <c r="D20" s="26">
        <f>SUMIF(case!$N:$N,$A20,case!D:D)</f>
        <v>0</v>
      </c>
      <c r="E20" s="26">
        <f>SUMIF(case!$N:$N,$A20,case!E:E)</f>
        <v>0</v>
      </c>
      <c r="F20" s="26">
        <f>SUMIF(case!$N:$N,$A20,case!F:F)</f>
        <v>0</v>
      </c>
      <c r="G20" s="26">
        <f>SUMIF(case!$N:$N,$A20,case!G:G)</f>
        <v>0</v>
      </c>
      <c r="H20" s="26">
        <f>SUMIF(case!$N:$N,$A20,case!H:H)</f>
        <v>0</v>
      </c>
      <c r="I20" s="26">
        <f>SUMIF(case!$N:$N,$A20,case!I:I)</f>
        <v>0</v>
      </c>
      <c r="J20" s="26">
        <f>SUMIF(case!$N:$N,$A20,case!J:J)</f>
        <v>0</v>
      </c>
      <c r="K20" s="26">
        <f>SUMIF(case!$N:$N,$A20,case!K:K)</f>
        <v>0</v>
      </c>
    </row>
    <row r="21" spans="1:11" ht="15.75" customHeight="1" x14ac:dyDescent="0.15">
      <c r="A21" s="38" t="s">
        <v>306</v>
      </c>
      <c r="B21" s="26">
        <f t="shared" ref="B21:K21" si="4">SUM(B19:B20)</f>
        <v>23274</v>
      </c>
      <c r="C21" s="26">
        <f t="shared" si="4"/>
        <v>142981</v>
      </c>
      <c r="D21" s="26">
        <f t="shared" si="4"/>
        <v>705663</v>
      </c>
      <c r="E21" s="26">
        <f t="shared" si="4"/>
        <v>147272</v>
      </c>
      <c r="F21" s="26">
        <f t="shared" si="4"/>
        <v>284700</v>
      </c>
      <c r="G21" s="26">
        <f t="shared" si="4"/>
        <v>175791</v>
      </c>
      <c r="H21" s="26">
        <f t="shared" si="4"/>
        <v>57954</v>
      </c>
      <c r="I21" s="26">
        <f t="shared" si="4"/>
        <v>4758</v>
      </c>
      <c r="J21" s="26">
        <f t="shared" si="4"/>
        <v>0</v>
      </c>
      <c r="K21" s="26">
        <f t="shared" si="4"/>
        <v>0</v>
      </c>
    </row>
    <row r="22" spans="1:11" ht="15.75" customHeight="1" x14ac:dyDescent="0.15">
      <c r="A22" s="39"/>
    </row>
    <row r="23" spans="1:11" ht="15.75" customHeight="1" x14ac:dyDescent="0.15">
      <c r="A23" s="38" t="s">
        <v>307</v>
      </c>
    </row>
    <row r="24" spans="1:11" ht="15.75" customHeight="1" x14ac:dyDescent="0.15">
      <c r="A24" s="39" t="s">
        <v>308</v>
      </c>
      <c r="B24" s="26">
        <f>SUMIF(case!$N:$N,$A24,case!B:B)</f>
        <v>0</v>
      </c>
      <c r="C24" s="26">
        <f>SUMIF(case!$N:$N,$A24,case!C:C)</f>
        <v>0</v>
      </c>
      <c r="D24" s="26">
        <f>SUMIF(case!$N:$N,$A24,case!D:D)</f>
        <v>0</v>
      </c>
      <c r="E24" s="26">
        <f>SUMIF(case!$N:$N,$A24,case!E:E)</f>
        <v>0</v>
      </c>
      <c r="F24" s="26">
        <f>SUMIF(case!$N:$N,$A24,case!F:F)</f>
        <v>0</v>
      </c>
      <c r="G24" s="26">
        <f>SUMIF(case!$N:$N,$A24,case!G:G)</f>
        <v>0</v>
      </c>
      <c r="H24" s="26">
        <f>SUMIF(case!$N:$N,$A24,case!H:H)</f>
        <v>0</v>
      </c>
      <c r="I24" s="26">
        <f>SUMIF(case!$N:$N,$A24,case!I:I)</f>
        <v>0</v>
      </c>
      <c r="J24" s="26">
        <f>SUMIF(case!$N:$N,$A24,case!J:J)</f>
        <v>0</v>
      </c>
      <c r="K24" s="26">
        <f>SUMIF(case!$N:$N,$A24,case!K:K)</f>
        <v>0</v>
      </c>
    </row>
    <row r="25" spans="1:11" ht="15.75" customHeight="1" x14ac:dyDescent="0.15">
      <c r="A25" s="39" t="s">
        <v>248</v>
      </c>
      <c r="B25" s="26">
        <f>SUMIF(case!$N:$N,$A25,case!B:B)</f>
        <v>58702</v>
      </c>
      <c r="C25" s="26">
        <f>SUMIF(case!$N:$N,$A25,case!C:C)</f>
        <v>58702</v>
      </c>
      <c r="D25" s="26">
        <f>SUMIF(case!$N:$N,$A25,case!D:D)</f>
        <v>58702</v>
      </c>
      <c r="E25" s="26">
        <f>SUMIF(case!$N:$N,$A25,case!E:E)</f>
        <v>58702</v>
      </c>
      <c r="F25" s="26">
        <f>SUMIF(case!$N:$N,$A25,case!F:F)</f>
        <v>6512</v>
      </c>
      <c r="G25" s="26">
        <f>SUMIF(case!$N:$N,$A25,case!G:G)</f>
        <v>6512</v>
      </c>
      <c r="H25" s="26">
        <f>SUMIF(case!$N:$N,$A25,case!H:H)</f>
        <v>6512</v>
      </c>
      <c r="I25" s="26">
        <f>SUMIF(case!$N:$N,$A25,case!I:I)</f>
        <v>6512</v>
      </c>
      <c r="J25" s="26">
        <f>SUMIF(case!$N:$N,$A25,case!J:J)</f>
        <v>0</v>
      </c>
      <c r="K25" s="26">
        <f>SUMIF(case!$N:$N,$A25,case!K:K)</f>
        <v>0</v>
      </c>
    </row>
    <row r="26" spans="1:11" ht="15.75" customHeight="1" x14ac:dyDescent="0.15">
      <c r="A26" s="39" t="s">
        <v>250</v>
      </c>
      <c r="B26" s="26">
        <f>SUMIF(case!$N:$N,$A26,case!B:B)</f>
        <v>0</v>
      </c>
      <c r="C26" s="26">
        <f>SUMIF(case!$N:$N,$A26,case!C:C)</f>
        <v>0</v>
      </c>
      <c r="D26" s="26">
        <f>SUMIF(case!$N:$N,$A26,case!D:D)</f>
        <v>0</v>
      </c>
      <c r="E26" s="26">
        <f>SUMIF(case!$N:$N,$A26,case!E:E)</f>
        <v>0</v>
      </c>
      <c r="F26" s="26">
        <f>SUMIF(case!$N:$N,$A26,case!F:F)</f>
        <v>0</v>
      </c>
      <c r="G26" s="26">
        <f>SUMIF(case!$N:$N,$A26,case!G:G)</f>
        <v>0</v>
      </c>
      <c r="H26" s="26">
        <f>SUMIF(case!$N:$N,$A26,case!H:H)</f>
        <v>0</v>
      </c>
      <c r="I26" s="26">
        <f>SUMIF(case!$N:$N,$A26,case!I:I)</f>
        <v>0</v>
      </c>
      <c r="J26" s="26">
        <f>SUMIF(case!$N:$N,$A26,case!J:J)</f>
        <v>0</v>
      </c>
      <c r="K26" s="26">
        <f>SUMIF(case!$N:$N,$A26,case!K:K)</f>
        <v>0</v>
      </c>
    </row>
    <row r="27" spans="1:11" ht="15.75" customHeight="1" x14ac:dyDescent="0.15">
      <c r="A27" s="38" t="s">
        <v>309</v>
      </c>
      <c r="B27" s="26">
        <f t="shared" ref="B27:K27" si="5">SUM(B24:B26)</f>
        <v>58702</v>
      </c>
      <c r="C27" s="26">
        <f t="shared" si="5"/>
        <v>58702</v>
      </c>
      <c r="D27" s="26">
        <f t="shared" si="5"/>
        <v>58702</v>
      </c>
      <c r="E27" s="26">
        <f t="shared" si="5"/>
        <v>58702</v>
      </c>
      <c r="F27" s="26">
        <f t="shared" si="5"/>
        <v>6512</v>
      </c>
      <c r="G27" s="26">
        <f t="shared" si="5"/>
        <v>6512</v>
      </c>
      <c r="H27" s="26">
        <f t="shared" si="5"/>
        <v>6512</v>
      </c>
      <c r="I27" s="26">
        <f t="shared" si="5"/>
        <v>6512</v>
      </c>
      <c r="J27" s="26">
        <f t="shared" si="5"/>
        <v>0</v>
      </c>
      <c r="K27" s="26">
        <f t="shared" si="5"/>
        <v>0</v>
      </c>
    </row>
    <row r="28" spans="1:11" ht="15.75" customHeight="1" x14ac:dyDescent="0.15">
      <c r="A28" s="39"/>
    </row>
    <row r="29" spans="1:11" ht="15.75" customHeight="1" x14ac:dyDescent="0.15">
      <c r="A29" s="38" t="s">
        <v>310</v>
      </c>
    </row>
    <row r="30" spans="1:11" ht="15.75" customHeight="1" x14ac:dyDescent="0.15">
      <c r="A30" s="39" t="s">
        <v>259</v>
      </c>
      <c r="B30" s="26">
        <f>SUMIF(case!$N:$N,$A30,case!B:B)</f>
        <v>0</v>
      </c>
      <c r="C30" s="26">
        <f>SUMIF(case!$N:$N,$A30,case!C:C)</f>
        <v>0</v>
      </c>
      <c r="D30" s="26">
        <f>SUMIF(case!$N:$N,$A30,case!D:D)</f>
        <v>0</v>
      </c>
      <c r="E30" s="26">
        <f>SUMIF(case!$N:$N,$A30,case!E:E)</f>
        <v>0</v>
      </c>
      <c r="F30" s="26">
        <f>SUMIF(case!$N:$N,$A30,case!F:F)</f>
        <v>0</v>
      </c>
      <c r="G30" s="26">
        <f>SUMIF(case!$N:$N,$A30,case!G:G)</f>
        <v>0</v>
      </c>
      <c r="H30" s="26">
        <f>SUMIF(case!$N:$N,$A30,case!H:H)</f>
        <v>0</v>
      </c>
      <c r="I30" s="26">
        <f>SUMIF(case!$N:$N,$A30,case!I:I)</f>
        <v>0</v>
      </c>
      <c r="J30" s="26">
        <f>SUMIF(case!$N:$N,$A30,case!J:J)</f>
        <v>0</v>
      </c>
      <c r="K30" s="26">
        <f>SUMIF(case!$N:$N,$A30,case!K:K)</f>
        <v>0</v>
      </c>
    </row>
    <row r="31" spans="1:11" ht="15.75" customHeight="1" x14ac:dyDescent="0.15">
      <c r="A31" s="39" t="s">
        <v>260</v>
      </c>
      <c r="B31" s="26">
        <f>SUMIF(case!$N:$N,$A31,case!B:B)</f>
        <v>242430</v>
      </c>
      <c r="C31" s="26">
        <f>SUMIF(case!$N:$N,$A31,case!C:C)</f>
        <v>891542</v>
      </c>
      <c r="D31" s="26">
        <f>SUMIF(case!$N:$N,$A31,case!D:D)</f>
        <v>1157532</v>
      </c>
      <c r="E31" s="26">
        <f>SUMIF(case!$N:$N,$A31,case!E:E)</f>
        <v>2269671</v>
      </c>
      <c r="F31" s="26">
        <f>SUMIF(case!$N:$N,$A31,case!F:F)</f>
        <v>1988631</v>
      </c>
      <c r="G31" s="26">
        <f>SUMIF(case!$N:$N,$A31,case!G:G)</f>
        <v>603929</v>
      </c>
      <c r="H31" s="26">
        <f>SUMIF(case!$N:$N,$A31,case!H:H)</f>
        <v>337078</v>
      </c>
      <c r="I31" s="26">
        <f>SUMIF(case!$N:$N,$A31,case!I:I)</f>
        <v>712788</v>
      </c>
      <c r="J31" s="26">
        <f>SUMIF(case!$N:$N,$A31,case!J:J)</f>
        <v>0</v>
      </c>
      <c r="K31" s="26">
        <f>SUMIF(case!$N:$N,$A31,case!K:K)</f>
        <v>0</v>
      </c>
    </row>
    <row r="32" spans="1:11" ht="15.75" customHeight="1" x14ac:dyDescent="0.15">
      <c r="A32" s="39" t="s">
        <v>252</v>
      </c>
      <c r="B32" s="26">
        <f>SUMIF(case!$N:$N,$A32,case!B:B)</f>
        <v>0</v>
      </c>
      <c r="C32" s="26">
        <f>SUMIF(case!$N:$N,$A32,case!C:C)</f>
        <v>0</v>
      </c>
      <c r="D32" s="26">
        <f>SUMIF(case!$N:$N,$A32,case!D:D)</f>
        <v>0</v>
      </c>
      <c r="E32" s="26">
        <f>SUMIF(case!$N:$N,$A32,case!E:E)</f>
        <v>0</v>
      </c>
      <c r="F32" s="26">
        <f>SUMIF(case!$N:$N,$A32,case!F:F)</f>
        <v>0</v>
      </c>
      <c r="G32" s="26">
        <f>SUMIF(case!$N:$N,$A32,case!G:G)</f>
        <v>0</v>
      </c>
      <c r="H32" s="26">
        <f>SUMIF(case!$N:$N,$A32,case!H:H)</f>
        <v>0</v>
      </c>
      <c r="I32" s="26">
        <f>SUMIF(case!$N:$N,$A32,case!I:I)</f>
        <v>0</v>
      </c>
      <c r="J32" s="26">
        <f>SUMIF(case!$N:$N,$A32,case!J:J)</f>
        <v>0</v>
      </c>
      <c r="K32" s="26">
        <f>SUMIF(case!$N:$N,$A32,case!K:K)</f>
        <v>0</v>
      </c>
    </row>
    <row r="33" spans="1:11" ht="15.75" customHeight="1" x14ac:dyDescent="0.15">
      <c r="A33" s="38" t="s">
        <v>311</v>
      </c>
      <c r="B33" s="26">
        <f t="shared" ref="B33:K33" si="6">SUM(B30:B32)</f>
        <v>242430</v>
      </c>
      <c r="C33" s="26">
        <f t="shared" si="6"/>
        <v>891542</v>
      </c>
      <c r="D33" s="26">
        <f t="shared" si="6"/>
        <v>1157532</v>
      </c>
      <c r="E33" s="26">
        <f t="shared" si="6"/>
        <v>2269671</v>
      </c>
      <c r="F33" s="26">
        <f t="shared" si="6"/>
        <v>1988631</v>
      </c>
      <c r="G33" s="26">
        <f t="shared" si="6"/>
        <v>603929</v>
      </c>
      <c r="H33" s="26">
        <f t="shared" si="6"/>
        <v>337078</v>
      </c>
      <c r="I33" s="26">
        <f t="shared" si="6"/>
        <v>712788</v>
      </c>
      <c r="J33" s="26">
        <f t="shared" si="6"/>
        <v>0</v>
      </c>
      <c r="K33" s="26">
        <f t="shared" si="6"/>
        <v>0</v>
      </c>
    </row>
    <row r="34" spans="1:11" ht="15.75" customHeight="1" x14ac:dyDescent="0.15">
      <c r="A34" s="39"/>
    </row>
    <row r="35" spans="1:11" ht="15.75" customHeight="1" x14ac:dyDescent="0.15">
      <c r="A35" s="38" t="s">
        <v>312</v>
      </c>
      <c r="B35" s="26">
        <f t="shared" ref="B35:K35" si="7">B16+B21+B27+B33</f>
        <v>18790859</v>
      </c>
      <c r="C35" s="26">
        <f t="shared" si="7"/>
        <v>20554377</v>
      </c>
      <c r="D35" s="26">
        <f t="shared" si="7"/>
        <v>20723060</v>
      </c>
      <c r="E35" s="26">
        <f t="shared" si="7"/>
        <v>18204611</v>
      </c>
      <c r="F35" s="26">
        <f t="shared" si="7"/>
        <v>14795011</v>
      </c>
      <c r="G35" s="26">
        <f t="shared" si="7"/>
        <v>9311398</v>
      </c>
      <c r="H35" s="26">
        <f t="shared" si="7"/>
        <v>6455031</v>
      </c>
      <c r="I35" s="26">
        <f t="shared" si="7"/>
        <v>6151737</v>
      </c>
      <c r="J35" s="26">
        <f t="shared" si="7"/>
        <v>0</v>
      </c>
      <c r="K35" s="26">
        <f t="shared" si="7"/>
        <v>0</v>
      </c>
    </row>
    <row r="36" spans="1:11" ht="15.75" customHeight="1" x14ac:dyDescent="0.15">
      <c r="A36" s="39"/>
    </row>
    <row r="37" spans="1:11" ht="15.75" customHeight="1" x14ac:dyDescent="0.15">
      <c r="A37" s="39" t="s">
        <v>313</v>
      </c>
      <c r="B37" s="26">
        <f>case!B95</f>
        <v>18790859</v>
      </c>
      <c r="C37" s="26">
        <f>case!C95</f>
        <v>20554377</v>
      </c>
      <c r="D37" s="26">
        <f>case!D95</f>
        <v>20723060</v>
      </c>
      <c r="E37" s="26">
        <f>case!E95</f>
        <v>18204611</v>
      </c>
      <c r="F37" s="26">
        <f>case!F95</f>
        <v>14795011</v>
      </c>
      <c r="G37" s="26">
        <f>case!G95</f>
        <v>9311398</v>
      </c>
      <c r="H37" s="26">
        <f>case!H95</f>
        <v>6455031</v>
      </c>
      <c r="I37" s="26">
        <f>case!I95</f>
        <v>6151737</v>
      </c>
      <c r="J37" s="26">
        <f>case!J95</f>
        <v>0</v>
      </c>
      <c r="K37" s="26">
        <f>case!K95</f>
        <v>0</v>
      </c>
    </row>
    <row r="38" spans="1:11" ht="15.75" customHeight="1" x14ac:dyDescent="0.15">
      <c r="A38" s="39" t="s">
        <v>314</v>
      </c>
      <c r="B38" s="26">
        <f t="shared" ref="B38:K38" si="8">B37-B35</f>
        <v>0</v>
      </c>
      <c r="C38" s="26">
        <f t="shared" si="8"/>
        <v>0</v>
      </c>
      <c r="D38" s="26">
        <f t="shared" si="8"/>
        <v>0</v>
      </c>
      <c r="E38" s="26">
        <f t="shared" si="8"/>
        <v>0</v>
      </c>
      <c r="F38" s="26">
        <f t="shared" si="8"/>
        <v>0</v>
      </c>
      <c r="G38" s="26">
        <f t="shared" si="8"/>
        <v>0</v>
      </c>
      <c r="H38" s="26">
        <f t="shared" si="8"/>
        <v>0</v>
      </c>
      <c r="I38" s="26">
        <f t="shared" si="8"/>
        <v>0</v>
      </c>
      <c r="J38" s="26">
        <f t="shared" si="8"/>
        <v>0</v>
      </c>
      <c r="K38" s="26">
        <f t="shared" si="8"/>
        <v>0</v>
      </c>
    </row>
    <row r="39" spans="1:11" ht="15.75" customHeight="1" x14ac:dyDescent="0.15">
      <c r="A39" s="39" t="s">
        <v>315</v>
      </c>
      <c r="B39" s="26">
        <f>case!B2+case!B46</f>
        <v>0</v>
      </c>
      <c r="C39" s="26">
        <f>case!C2+case!C46</f>
        <v>0</v>
      </c>
      <c r="D39" s="26">
        <f>case!D2+case!D46</f>
        <v>0</v>
      </c>
      <c r="E39" s="26">
        <f>case!E2+case!E46</f>
        <v>0</v>
      </c>
      <c r="F39" s="26">
        <f>case!F2+case!F46</f>
        <v>0</v>
      </c>
      <c r="G39" s="26">
        <f>case!G2+case!G46</f>
        <v>0</v>
      </c>
      <c r="H39" s="26">
        <f>case!H2+case!H46</f>
        <v>0</v>
      </c>
      <c r="I39" s="26">
        <f>case!I2+case!I46</f>
        <v>0</v>
      </c>
      <c r="J39" s="26">
        <f>case!J2+case!J46</f>
        <v>0</v>
      </c>
      <c r="K39" s="26">
        <f>case!K2+case!K46</f>
        <v>0</v>
      </c>
    </row>
    <row r="40" spans="1:11" ht="15.75" customHeight="1" x14ac:dyDescent="0.15">
      <c r="A40" s="39" t="s">
        <v>316</v>
      </c>
      <c r="B40" s="26">
        <f t="shared" ref="B40:K40" si="9">B38+B39</f>
        <v>0</v>
      </c>
      <c r="C40" s="26">
        <f t="shared" si="9"/>
        <v>0</v>
      </c>
      <c r="D40" s="26">
        <f t="shared" si="9"/>
        <v>0</v>
      </c>
      <c r="E40" s="26">
        <f t="shared" si="9"/>
        <v>0</v>
      </c>
      <c r="F40" s="26">
        <f t="shared" si="9"/>
        <v>0</v>
      </c>
      <c r="G40" s="26">
        <f t="shared" si="9"/>
        <v>0</v>
      </c>
      <c r="H40" s="26">
        <f t="shared" si="9"/>
        <v>0</v>
      </c>
      <c r="I40" s="26">
        <f t="shared" si="9"/>
        <v>0</v>
      </c>
      <c r="J40" s="26">
        <f t="shared" si="9"/>
        <v>0</v>
      </c>
      <c r="K40" s="26">
        <f t="shared" si="9"/>
        <v>0</v>
      </c>
    </row>
    <row r="41" spans="1:11" ht="15.75" customHeight="1" x14ac:dyDescent="0.15">
      <c r="A41" s="39"/>
    </row>
    <row r="42" spans="1:11" ht="15.75" customHeight="1" x14ac:dyDescent="0.15">
      <c r="A42" s="39"/>
    </row>
    <row r="43" spans="1:11" ht="15.75" customHeight="1" x14ac:dyDescent="0.15">
      <c r="A43" s="39"/>
    </row>
    <row r="44" spans="1:11" ht="15.75" customHeight="1" x14ac:dyDescent="0.15">
      <c r="A44" s="38"/>
      <c r="B44" s="10">
        <f t="shared" ref="B44:K44" si="10">B1</f>
        <v>2024</v>
      </c>
      <c r="C44" s="10">
        <f t="shared" si="10"/>
        <v>2023</v>
      </c>
      <c r="D44" s="10">
        <f t="shared" si="10"/>
        <v>2022</v>
      </c>
      <c r="E44" s="10">
        <f t="shared" si="10"/>
        <v>2021</v>
      </c>
      <c r="F44" s="10">
        <f t="shared" si="10"/>
        <v>2020</v>
      </c>
      <c r="G44" s="10">
        <f t="shared" si="10"/>
        <v>2019</v>
      </c>
      <c r="H44" s="10">
        <f t="shared" si="10"/>
        <v>2018</v>
      </c>
      <c r="I44" s="10">
        <f t="shared" si="10"/>
        <v>2017</v>
      </c>
      <c r="J44" s="10">
        <f t="shared" si="10"/>
        <v>0</v>
      </c>
      <c r="K44" s="10">
        <f t="shared" si="10"/>
        <v>0</v>
      </c>
    </row>
    <row r="45" spans="1:11" s="12" customFormat="1" ht="15.75" customHeight="1" x14ac:dyDescent="0.15">
      <c r="A45" s="36" t="s">
        <v>317</v>
      </c>
    </row>
    <row r="46" spans="1:11" ht="15.75" customHeight="1" x14ac:dyDescent="0.15">
      <c r="A46" s="38" t="s">
        <v>318</v>
      </c>
    </row>
    <row r="47" spans="1:11" ht="15.75" customHeight="1" x14ac:dyDescent="0.15">
      <c r="A47" s="39" t="s">
        <v>319</v>
      </c>
      <c r="B47" s="26">
        <f>SUMIF(case!$N:$N,$A47,case!B:B)</f>
        <v>0</v>
      </c>
      <c r="C47" s="26">
        <f>SUMIF(case!$N:$N,$A47,case!C:C)</f>
        <v>0</v>
      </c>
      <c r="D47" s="26">
        <f>SUMIF(case!$N:$N,$A47,case!D:D)</f>
        <v>0</v>
      </c>
      <c r="E47" s="26">
        <f>SUMIF(case!$N:$N,$A47,case!E:E)</f>
        <v>0</v>
      </c>
      <c r="F47" s="26">
        <f>SUMIF(case!$N:$N,$A47,case!F:F)</f>
        <v>0</v>
      </c>
      <c r="G47" s="26">
        <f>SUMIF(case!$N:$N,$A47,case!G:G)</f>
        <v>0</v>
      </c>
      <c r="H47" s="26">
        <f>SUMIF(case!$N:$N,$A47,case!H:H)</f>
        <v>0</v>
      </c>
      <c r="I47" s="26">
        <f>SUMIF(case!$N:$N,$A47,case!I:I)</f>
        <v>0</v>
      </c>
      <c r="J47" s="26">
        <f>SUMIF(case!$N:$N,$A47,case!J:J)</f>
        <v>0</v>
      </c>
      <c r="K47" s="26">
        <f>SUMIF(case!$N:$N,$A47,case!K:K)</f>
        <v>0</v>
      </c>
    </row>
    <row r="48" spans="1:11" ht="15.75" customHeight="1" x14ac:dyDescent="0.15">
      <c r="A48" s="39" t="s">
        <v>274</v>
      </c>
      <c r="B48" s="26">
        <f>SUMIF(case!$N:$N,$A48,case!B:B)</f>
        <v>2274193</v>
      </c>
      <c r="C48" s="26">
        <f>SUMIF(case!$N:$N,$A48,case!C:C)</f>
        <v>2343088</v>
      </c>
      <c r="D48" s="26">
        <f>SUMIF(case!$N:$N,$A48,case!D:D)</f>
        <v>2517619</v>
      </c>
      <c r="E48" s="26">
        <f>SUMIF(case!$N:$N,$A48,case!E:E)</f>
        <v>2142223</v>
      </c>
      <c r="F48" s="26">
        <f>SUMIF(case!$N:$N,$A48,case!F:F)</f>
        <v>1385728</v>
      </c>
      <c r="G48" s="26">
        <f>SUMIF(case!$N:$N,$A48,case!G:G)</f>
        <v>2083244</v>
      </c>
      <c r="H48" s="26">
        <f>SUMIF(case!$N:$N,$A48,case!H:H)</f>
        <v>1195746</v>
      </c>
      <c r="I48" s="26">
        <f>SUMIF(case!$N:$N,$A48,case!I:I)</f>
        <v>1264218</v>
      </c>
      <c r="J48" s="26">
        <f>SUMIF(case!$N:$N,$A48,case!J:J)</f>
        <v>0</v>
      </c>
      <c r="K48" s="26">
        <f>SUMIF(case!$N:$N,$A48,case!K:K)</f>
        <v>0</v>
      </c>
    </row>
    <row r="49" spans="1:11" ht="15.75" customHeight="1" x14ac:dyDescent="0.15">
      <c r="A49" s="39" t="s">
        <v>320</v>
      </c>
      <c r="B49" s="26">
        <f>SUMIF(case!$N:$N,$A49,case!B:B)</f>
        <v>0</v>
      </c>
      <c r="C49" s="26">
        <f>SUMIF(case!$N:$N,$A49,case!C:C)</f>
        <v>0</v>
      </c>
      <c r="D49" s="26">
        <f>SUMIF(case!$N:$N,$A49,case!D:D)</f>
        <v>0</v>
      </c>
      <c r="E49" s="26">
        <f>SUMIF(case!$N:$N,$A49,case!E:E)</f>
        <v>0</v>
      </c>
      <c r="F49" s="26">
        <f>SUMIF(case!$N:$N,$A49,case!F:F)</f>
        <v>0</v>
      </c>
      <c r="G49" s="26">
        <f>SUMIF(case!$N:$N,$A49,case!G:G)</f>
        <v>0</v>
      </c>
      <c r="H49" s="26">
        <f>SUMIF(case!$N:$N,$A49,case!H:H)</f>
        <v>0</v>
      </c>
      <c r="I49" s="26">
        <f>SUMIF(case!$N:$N,$A49,case!I:I)</f>
        <v>0</v>
      </c>
      <c r="J49" s="26">
        <f>SUMIF(case!$N:$N,$A49,case!J:J)</f>
        <v>0</v>
      </c>
      <c r="K49" s="26">
        <f>SUMIF(case!$N:$N,$A49,case!K:K)</f>
        <v>0</v>
      </c>
    </row>
    <row r="50" spans="1:11" ht="15.75" customHeight="1" x14ac:dyDescent="0.15">
      <c r="A50" s="39" t="s">
        <v>272</v>
      </c>
      <c r="B50" s="26">
        <f>SUMIF(case!$N:$N,$A50,case!B:B)</f>
        <v>1755910</v>
      </c>
      <c r="C50" s="26">
        <f>SUMIF(case!$N:$N,$A50,case!C:C)</f>
        <v>1902846</v>
      </c>
      <c r="D50" s="26">
        <f>SUMIF(case!$N:$N,$A50,case!D:D)</f>
        <v>1988017</v>
      </c>
      <c r="E50" s="26">
        <f>SUMIF(case!$N:$N,$A50,case!E:E)</f>
        <v>743242</v>
      </c>
      <c r="F50" s="26">
        <f>SUMIF(case!$N:$N,$A50,case!F:F)</f>
        <v>648237</v>
      </c>
      <c r="G50" s="26">
        <f>SUMIF(case!$N:$N,$A50,case!G:G)</f>
        <v>547878</v>
      </c>
      <c r="H50" s="26">
        <f>SUMIF(case!$N:$N,$A50,case!H:H)</f>
        <v>447728</v>
      </c>
      <c r="I50" s="26">
        <f>SUMIF(case!$N:$N,$A50,case!I:I)</f>
        <v>399886</v>
      </c>
      <c r="J50" s="26">
        <f>SUMIF(case!$N:$N,$A50,case!J:J)</f>
        <v>0</v>
      </c>
      <c r="K50" s="26">
        <f>SUMIF(case!$N:$N,$A50,case!K:K)</f>
        <v>0</v>
      </c>
    </row>
    <row r="51" spans="1:11" ht="15.75" customHeight="1" x14ac:dyDescent="0.15">
      <c r="A51" s="38" t="s">
        <v>321</v>
      </c>
      <c r="B51" s="26">
        <f t="shared" ref="B51:K51" si="11">SUM(B48:B50)</f>
        <v>4030103</v>
      </c>
      <c r="C51" s="26">
        <f t="shared" si="11"/>
        <v>4245934</v>
      </c>
      <c r="D51" s="26">
        <f t="shared" si="11"/>
        <v>4505636</v>
      </c>
      <c r="E51" s="26">
        <f t="shared" si="11"/>
        <v>2885465</v>
      </c>
      <c r="F51" s="26">
        <f t="shared" si="11"/>
        <v>2033965</v>
      </c>
      <c r="G51" s="26">
        <f t="shared" si="11"/>
        <v>2631122</v>
      </c>
      <c r="H51" s="26">
        <f t="shared" si="11"/>
        <v>1643474</v>
      </c>
      <c r="I51" s="26">
        <f t="shared" si="11"/>
        <v>1664104</v>
      </c>
      <c r="J51" s="26">
        <f t="shared" si="11"/>
        <v>0</v>
      </c>
      <c r="K51" s="26">
        <f t="shared" si="11"/>
        <v>0</v>
      </c>
    </row>
    <row r="52" spans="1:11" ht="15.75" customHeight="1" x14ac:dyDescent="0.15">
      <c r="A52" s="39" t="s">
        <v>322</v>
      </c>
      <c r="B52" s="26">
        <f>SUMIF(case!$N:$N,$A52,case!B:B)</f>
        <v>0</v>
      </c>
      <c r="C52" s="26">
        <f>SUMIF(case!$N:$N,$A52,case!C:C)</f>
        <v>0</v>
      </c>
      <c r="D52" s="26">
        <f>SUMIF(case!$N:$N,$A52,case!D:D)</f>
        <v>0</v>
      </c>
      <c r="E52" s="26">
        <f>SUMIF(case!$N:$N,$A52,case!E:E)</f>
        <v>0</v>
      </c>
      <c r="F52" s="26">
        <f>SUMIF(case!$N:$N,$A52,case!F:F)</f>
        <v>0</v>
      </c>
      <c r="G52" s="26">
        <f>SUMIF(case!$N:$N,$A52,case!G:G)</f>
        <v>0</v>
      </c>
      <c r="H52" s="26">
        <f>SUMIF(case!$N:$N,$A52,case!H:H)</f>
        <v>0</v>
      </c>
      <c r="I52" s="26">
        <f>SUMIF(case!$N:$N,$A52,case!I:I)</f>
        <v>0</v>
      </c>
      <c r="J52" s="26">
        <f>SUMIF(case!$N:$N,$A52,case!J:J)</f>
        <v>0</v>
      </c>
      <c r="K52" s="26">
        <f>SUMIF(case!$N:$N,$A52,case!K:K)</f>
        <v>0</v>
      </c>
    </row>
    <row r="53" spans="1:11" ht="15.75" customHeight="1" x14ac:dyDescent="0.15">
      <c r="A53" s="39" t="s">
        <v>269</v>
      </c>
      <c r="B53" s="26">
        <f>SUMIF(case!$N:$N,$A53,case!B:B)</f>
        <v>191675</v>
      </c>
      <c r="C53" s="26">
        <f>SUMIF(case!$N:$N,$A53,case!C:C)</f>
        <v>179286</v>
      </c>
      <c r="D53" s="26">
        <f>SUMIF(case!$N:$N,$A53,case!D:D)</f>
        <v>189098</v>
      </c>
      <c r="E53" s="26">
        <f>SUMIF(case!$N:$N,$A53,case!E:E)</f>
        <v>197380</v>
      </c>
      <c r="F53" s="26">
        <f>SUMIF(case!$N:$N,$A53,case!F:F)</f>
        <v>174392</v>
      </c>
      <c r="G53" s="26">
        <f>SUMIF(case!$N:$N,$A53,case!G:G)</f>
        <v>206556</v>
      </c>
      <c r="H53" s="26">
        <f>SUMIF(case!$N:$N,$A53,case!H:H)</f>
        <v>187238</v>
      </c>
      <c r="I53" s="26">
        <f>SUMIF(case!$N:$N,$A53,case!I:I)</f>
        <v>173667</v>
      </c>
      <c r="J53" s="26">
        <f>SUMIF(case!$N:$N,$A53,case!J:J)</f>
        <v>0</v>
      </c>
      <c r="K53" s="26">
        <f>SUMIF(case!$N:$N,$A53,case!K:K)</f>
        <v>0</v>
      </c>
    </row>
    <row r="54" spans="1:11" ht="15.75" customHeight="1" x14ac:dyDescent="0.15">
      <c r="A54" s="39" t="s">
        <v>273</v>
      </c>
      <c r="B54" s="26">
        <f>SUMIF(case!$N:$N,$A54,case!B:B)</f>
        <v>0</v>
      </c>
      <c r="C54" s="26">
        <f>SUMIF(case!$N:$N,$A54,case!C:C)</f>
        <v>0</v>
      </c>
      <c r="D54" s="26">
        <f>SUMIF(case!$N:$N,$A54,case!D:D)</f>
        <v>0</v>
      </c>
      <c r="E54" s="26">
        <f>SUMIF(case!$N:$N,$A54,case!E:E)</f>
        <v>0</v>
      </c>
      <c r="F54" s="26">
        <f>SUMIF(case!$N:$N,$A54,case!F:F)</f>
        <v>0</v>
      </c>
      <c r="G54" s="26">
        <f>SUMIF(case!$N:$N,$A54,case!G:G)</f>
        <v>0</v>
      </c>
      <c r="H54" s="26">
        <f>SUMIF(case!$N:$N,$A54,case!H:H)</f>
        <v>0</v>
      </c>
      <c r="I54" s="26">
        <f>SUMIF(case!$N:$N,$A54,case!I:I)</f>
        <v>0</v>
      </c>
      <c r="J54" s="26">
        <f>SUMIF(case!$N:$N,$A54,case!J:J)</f>
        <v>0</v>
      </c>
      <c r="K54" s="26">
        <f>SUMIF(case!$N:$N,$A54,case!K:K)</f>
        <v>0</v>
      </c>
    </row>
    <row r="55" spans="1:11" ht="15.75" customHeight="1" x14ac:dyDescent="0.15">
      <c r="A55" s="38" t="s">
        <v>323</v>
      </c>
      <c r="B55" s="26">
        <f t="shared" ref="B55:K55" si="12">SUM(B53:B54)</f>
        <v>191675</v>
      </c>
      <c r="C55" s="26">
        <f t="shared" si="12"/>
        <v>179286</v>
      </c>
      <c r="D55" s="26">
        <f t="shared" si="12"/>
        <v>189098</v>
      </c>
      <c r="E55" s="26">
        <f t="shared" si="12"/>
        <v>197380</v>
      </c>
      <c r="F55" s="26">
        <f t="shared" si="12"/>
        <v>174392</v>
      </c>
      <c r="G55" s="26">
        <f t="shared" si="12"/>
        <v>206556</v>
      </c>
      <c r="H55" s="26">
        <f t="shared" si="12"/>
        <v>187238</v>
      </c>
      <c r="I55" s="26">
        <f t="shared" si="12"/>
        <v>173667</v>
      </c>
      <c r="J55" s="26">
        <f t="shared" si="12"/>
        <v>0</v>
      </c>
      <c r="K55" s="26">
        <f t="shared" si="12"/>
        <v>0</v>
      </c>
    </row>
    <row r="56" spans="1:11" ht="15.75" customHeight="1" x14ac:dyDescent="0.15">
      <c r="A56" s="38" t="s">
        <v>324</v>
      </c>
      <c r="B56" s="26">
        <f t="shared" ref="B56:K56" si="13">B51+B55</f>
        <v>4221778</v>
      </c>
      <c r="C56" s="26">
        <f t="shared" si="13"/>
        <v>4425220</v>
      </c>
      <c r="D56" s="26">
        <f t="shared" si="13"/>
        <v>4694734</v>
      </c>
      <c r="E56" s="26">
        <f t="shared" si="13"/>
        <v>3082845</v>
      </c>
      <c r="F56" s="26">
        <f t="shared" si="13"/>
        <v>2208357</v>
      </c>
      <c r="G56" s="26">
        <f t="shared" si="13"/>
        <v>2837678</v>
      </c>
      <c r="H56" s="26">
        <f t="shared" si="13"/>
        <v>1830712</v>
      </c>
      <c r="I56" s="26">
        <f t="shared" si="13"/>
        <v>1837771</v>
      </c>
      <c r="J56" s="26">
        <f t="shared" si="13"/>
        <v>0</v>
      </c>
      <c r="K56" s="26">
        <f t="shared" si="13"/>
        <v>0</v>
      </c>
    </row>
    <row r="57" spans="1:11" ht="15.75" customHeight="1" x14ac:dyDescent="0.15">
      <c r="A57" s="39"/>
    </row>
    <row r="58" spans="1:11" ht="15.75" customHeight="1" x14ac:dyDescent="0.15">
      <c r="A58" s="38" t="s">
        <v>325</v>
      </c>
    </row>
    <row r="59" spans="1:11" ht="15.75" customHeight="1" x14ac:dyDescent="0.15">
      <c r="A59" s="39" t="s">
        <v>276</v>
      </c>
      <c r="B59" s="26">
        <f>SUMIF(case!$N:$N,$A59,case!B:B)</f>
        <v>305861</v>
      </c>
      <c r="C59" s="26">
        <f>SUMIF(case!$N:$N,$A59,case!C:C)</f>
        <v>221774</v>
      </c>
      <c r="D59" s="26">
        <f>SUMIF(case!$N:$N,$A59,case!D:D)</f>
        <v>130071</v>
      </c>
      <c r="E59" s="26">
        <f>SUMIF(case!$N:$N,$A59,case!E:E)</f>
        <v>171771</v>
      </c>
      <c r="F59" s="26">
        <f>SUMIF(case!$N:$N,$A59,case!F:F)</f>
        <v>152360</v>
      </c>
      <c r="G59" s="26">
        <f>SUMIF(case!$N:$N,$A59,case!G:G)</f>
        <v>109971</v>
      </c>
      <c r="H59" s="26">
        <f>SUMIF(case!$N:$N,$A59,case!H:H)</f>
        <v>216414</v>
      </c>
      <c r="I59" s="26">
        <f>SUMIF(case!$N:$N,$A59,case!I:I)</f>
        <v>303692</v>
      </c>
      <c r="J59" s="26">
        <f>SUMIF(case!$N:$N,$A59,case!J:J)</f>
        <v>0</v>
      </c>
      <c r="K59" s="26">
        <f>SUMIF(case!$N:$N,$A59,case!K:K)</f>
        <v>0</v>
      </c>
    </row>
    <row r="60" spans="1:11" ht="15.75" customHeight="1" x14ac:dyDescent="0.15">
      <c r="A60" s="39" t="s">
        <v>267</v>
      </c>
      <c r="B60" s="26">
        <f>SUMIF(case!$N:$N,$A60,case!B:B)</f>
        <v>0</v>
      </c>
      <c r="C60" s="26">
        <f>SUMIF(case!$N:$N,$A60,case!C:C)</f>
        <v>0</v>
      </c>
      <c r="D60" s="26">
        <f>SUMIF(case!$N:$N,$A60,case!D:D)</f>
        <v>0</v>
      </c>
      <c r="E60" s="26">
        <f>SUMIF(case!$N:$N,$A60,case!E:E)</f>
        <v>0</v>
      </c>
      <c r="F60" s="26">
        <f>SUMIF(case!$N:$N,$A60,case!F:F)</f>
        <v>0</v>
      </c>
      <c r="G60" s="26">
        <f>SUMIF(case!$N:$N,$A60,case!G:G)</f>
        <v>0</v>
      </c>
      <c r="H60" s="26">
        <f>SUMIF(case!$N:$N,$A60,case!H:H)</f>
        <v>0</v>
      </c>
      <c r="I60" s="26">
        <f>SUMIF(case!$N:$N,$A60,case!I:I)</f>
        <v>0</v>
      </c>
      <c r="J60" s="26">
        <f>SUMIF(case!$N:$N,$A60,case!J:J)</f>
        <v>0</v>
      </c>
      <c r="K60" s="26">
        <f>SUMIF(case!$N:$N,$A60,case!K:K)</f>
        <v>0</v>
      </c>
    </row>
    <row r="61" spans="1:11" ht="15.75" customHeight="1" x14ac:dyDescent="0.15">
      <c r="A61" s="39" t="s">
        <v>266</v>
      </c>
      <c r="B61" s="26">
        <f>SUMIF(case!$N:$N,$A61,case!B:B)</f>
        <v>0</v>
      </c>
      <c r="C61" s="26">
        <f>SUMIF(case!$N:$N,$A61,case!C:C)</f>
        <v>0</v>
      </c>
      <c r="D61" s="26">
        <f>SUMIF(case!$N:$N,$A61,case!D:D)</f>
        <v>0</v>
      </c>
      <c r="E61" s="26">
        <f>SUMIF(case!$N:$N,$A61,case!E:E)</f>
        <v>0</v>
      </c>
      <c r="F61" s="26">
        <f>SUMIF(case!$N:$N,$A61,case!F:F)</f>
        <v>0</v>
      </c>
      <c r="G61" s="26">
        <f>SUMIF(case!$N:$N,$A61,case!G:G)</f>
        <v>0</v>
      </c>
      <c r="H61" s="26">
        <f>SUMIF(case!$N:$N,$A61,case!H:H)</f>
        <v>41042</v>
      </c>
      <c r="I61" s="26">
        <f>SUMIF(case!$N:$N,$A61,case!I:I)</f>
        <v>41042</v>
      </c>
      <c r="J61" s="26">
        <f>SUMIF(case!$N:$N,$A61,case!J:J)</f>
        <v>0</v>
      </c>
      <c r="K61" s="26">
        <f>SUMIF(case!$N:$N,$A61,case!K:K)</f>
        <v>0</v>
      </c>
    </row>
    <row r="62" spans="1:11" ht="15.75" customHeight="1" x14ac:dyDescent="0.15">
      <c r="A62" s="38" t="s">
        <v>326</v>
      </c>
      <c r="B62" s="26">
        <f t="shared" ref="B62:K62" si="14">SUM(B59:B61)</f>
        <v>305861</v>
      </c>
      <c r="C62" s="26">
        <f t="shared" si="14"/>
        <v>221774</v>
      </c>
      <c r="D62" s="26">
        <f t="shared" si="14"/>
        <v>130071</v>
      </c>
      <c r="E62" s="26">
        <f t="shared" si="14"/>
        <v>171771</v>
      </c>
      <c r="F62" s="26">
        <f t="shared" si="14"/>
        <v>152360</v>
      </c>
      <c r="G62" s="26">
        <f t="shared" si="14"/>
        <v>109971</v>
      </c>
      <c r="H62" s="26">
        <f t="shared" si="14"/>
        <v>257456</v>
      </c>
      <c r="I62" s="26">
        <f t="shared" si="14"/>
        <v>344734</v>
      </c>
      <c r="J62" s="26">
        <f t="shared" si="14"/>
        <v>0</v>
      </c>
      <c r="K62" s="26">
        <f t="shared" si="14"/>
        <v>0</v>
      </c>
    </row>
    <row r="63" spans="1:11" ht="15.75" customHeight="1" x14ac:dyDescent="0.15">
      <c r="A63" s="39"/>
    </row>
    <row r="64" spans="1:11" ht="15.75" customHeight="1" x14ac:dyDescent="0.15">
      <c r="A64" s="38" t="s">
        <v>327</v>
      </c>
    </row>
    <row r="65" spans="1:11" ht="15.75" customHeight="1" x14ac:dyDescent="0.15">
      <c r="A65" s="39" t="s">
        <v>275</v>
      </c>
      <c r="B65" s="26">
        <f>SUMIF(case!$N:$N,$A65,case!B:B)</f>
        <v>0</v>
      </c>
      <c r="C65" s="26">
        <f>SUMIF(case!$N:$N,$A65,case!C:C)</f>
        <v>0</v>
      </c>
      <c r="D65" s="26">
        <f>SUMIF(case!$N:$N,$A65,case!D:D)</f>
        <v>0</v>
      </c>
      <c r="E65" s="26">
        <f>SUMIF(case!$N:$N,$A65,case!E:E)</f>
        <v>0</v>
      </c>
      <c r="F65" s="26">
        <f>SUMIF(case!$N:$N,$A65,case!F:F)</f>
        <v>0</v>
      </c>
      <c r="G65" s="26">
        <f>SUMIF(case!$N:$N,$A65,case!G:G)</f>
        <v>0</v>
      </c>
      <c r="H65" s="26">
        <f>SUMIF(case!$N:$N,$A65,case!H:H)</f>
        <v>0</v>
      </c>
      <c r="I65" s="26">
        <f>SUMIF(case!$N:$N,$A65,case!I:I)</f>
        <v>0</v>
      </c>
      <c r="J65" s="26">
        <f>SUMIF(case!$N:$N,$A65,case!J:J)</f>
        <v>0</v>
      </c>
      <c r="K65" s="26">
        <f>SUMIF(case!$N:$N,$A65,case!K:K)</f>
        <v>0</v>
      </c>
    </row>
    <row r="66" spans="1:11" ht="15.75" customHeight="1" x14ac:dyDescent="0.15">
      <c r="A66" s="38" t="s">
        <v>328</v>
      </c>
      <c r="B66" s="26">
        <f t="shared" ref="B66:K66" si="15">B65</f>
        <v>0</v>
      </c>
      <c r="C66" s="26">
        <f t="shared" si="15"/>
        <v>0</v>
      </c>
      <c r="D66" s="26">
        <f t="shared" si="15"/>
        <v>0</v>
      </c>
      <c r="E66" s="26">
        <f t="shared" si="15"/>
        <v>0</v>
      </c>
      <c r="F66" s="26">
        <f t="shared" si="15"/>
        <v>0</v>
      </c>
      <c r="G66" s="26">
        <f t="shared" si="15"/>
        <v>0</v>
      </c>
      <c r="H66" s="26">
        <f t="shared" si="15"/>
        <v>0</v>
      </c>
      <c r="I66" s="26">
        <f t="shared" si="15"/>
        <v>0</v>
      </c>
      <c r="J66" s="26">
        <f t="shared" si="15"/>
        <v>0</v>
      </c>
      <c r="K66" s="26">
        <f t="shared" si="15"/>
        <v>0</v>
      </c>
    </row>
    <row r="67" spans="1:11" ht="15.75" customHeight="1" x14ac:dyDescent="0.15">
      <c r="A67" s="39"/>
    </row>
    <row r="68" spans="1:11" ht="15.75" customHeight="1" x14ac:dyDescent="0.15">
      <c r="A68" s="38" t="s">
        <v>329</v>
      </c>
    </row>
    <row r="69" spans="1:11" ht="15.75" customHeight="1" x14ac:dyDescent="0.15">
      <c r="A69" s="39" t="s">
        <v>270</v>
      </c>
      <c r="B69" s="26">
        <f>SUMIF(case!$N:$N,$A69,case!B:B)</f>
        <v>5110204</v>
      </c>
      <c r="C69" s="26">
        <f>SUMIF(case!$N:$N,$A69,case!C:C)</f>
        <v>6691873</v>
      </c>
      <c r="D69" s="26">
        <f>SUMIF(case!$N:$N,$A69,case!D:D)</f>
        <v>6717513</v>
      </c>
      <c r="E69" s="26">
        <f>SUMIF(case!$N:$N,$A69,case!E:E)</f>
        <v>7372195</v>
      </c>
      <c r="F69" s="26">
        <f>SUMIF(case!$N:$N,$A69,case!F:F)</f>
        <v>6304053</v>
      </c>
      <c r="G69" s="26">
        <f>SUMIF(case!$N:$N,$A69,case!G:G)</f>
        <v>588287</v>
      </c>
      <c r="H69" s="26">
        <f>SUMIF(case!$N:$N,$A69,case!H:H)</f>
        <v>808395</v>
      </c>
      <c r="I69" s="26">
        <f>SUMIF(case!$N:$N,$A69,case!I:I)</f>
        <v>952264</v>
      </c>
      <c r="J69" s="26">
        <f>SUMIF(case!$N:$N,$A69,case!J:J)</f>
        <v>0</v>
      </c>
      <c r="K69" s="26">
        <f>SUMIF(case!$N:$N,$A69,case!K:K)</f>
        <v>0</v>
      </c>
    </row>
    <row r="70" spans="1:11" ht="15.75" customHeight="1" x14ac:dyDescent="0.15">
      <c r="A70" s="39" t="s">
        <v>271</v>
      </c>
      <c r="B70" s="26">
        <f>SUMIF(case!$N:$N,$A70,case!B:B)</f>
        <v>3395729</v>
      </c>
      <c r="C70" s="26">
        <f>SUMIF(case!$N:$N,$A70,case!C:C)</f>
        <v>3987958</v>
      </c>
      <c r="D70" s="26">
        <f>SUMIF(case!$N:$N,$A70,case!D:D)</f>
        <v>4519855</v>
      </c>
      <c r="E70" s="26">
        <f>SUMIF(case!$N:$N,$A70,case!E:E)</f>
        <v>3495497</v>
      </c>
      <c r="F70" s="26">
        <f>SUMIF(case!$N:$N,$A70,case!F:F)</f>
        <v>2924240</v>
      </c>
      <c r="G70" s="26">
        <f>SUMIF(case!$N:$N,$A70,case!G:G)</f>
        <v>3390744</v>
      </c>
      <c r="H70" s="26">
        <f>SUMIF(case!$N:$N,$A70,case!H:H)</f>
        <v>1825387</v>
      </c>
      <c r="I70" s="26">
        <f>SUMIF(case!$N:$N,$A70,case!I:I)</f>
        <v>1954310</v>
      </c>
      <c r="J70" s="26">
        <f>SUMIF(case!$N:$N,$A70,case!J:J)</f>
        <v>0</v>
      </c>
      <c r="K70" s="26">
        <f>SUMIF(case!$N:$N,$A70,case!K:K)</f>
        <v>0</v>
      </c>
    </row>
    <row r="71" spans="1:11" ht="15.75" customHeight="1" x14ac:dyDescent="0.15">
      <c r="A71" s="39" t="s">
        <v>330</v>
      </c>
      <c r="B71" s="26">
        <f>SUMIF(case!$N:$N,$A71,case!B:B)</f>
        <v>0</v>
      </c>
      <c r="C71" s="26">
        <f>SUMIF(case!$N:$N,$A71,case!C:C)</f>
        <v>0</v>
      </c>
      <c r="D71" s="26">
        <f>SUMIF(case!$N:$N,$A71,case!D:D)</f>
        <v>0</v>
      </c>
      <c r="E71" s="26">
        <f>SUMIF(case!$N:$N,$A71,case!E:E)</f>
        <v>0</v>
      </c>
      <c r="F71" s="26">
        <f>SUMIF(case!$N:$N,$A71,case!F:F)</f>
        <v>0</v>
      </c>
      <c r="G71" s="26">
        <f>SUMIF(case!$N:$N,$A71,case!G:G)</f>
        <v>0</v>
      </c>
      <c r="H71" s="26">
        <f>SUMIF(case!$N:$N,$A71,case!H:H)</f>
        <v>0</v>
      </c>
      <c r="I71" s="26">
        <f>SUMIF(case!$N:$N,$A71,case!I:I)</f>
        <v>0</v>
      </c>
      <c r="J71" s="26">
        <f>SUMIF(case!$N:$N,$A71,case!J:J)</f>
        <v>0</v>
      </c>
      <c r="K71" s="26">
        <f>SUMIF(case!$N:$N,$A71,case!K:K)</f>
        <v>0</v>
      </c>
    </row>
    <row r="72" spans="1:11" ht="15.75" customHeight="1" x14ac:dyDescent="0.15">
      <c r="A72" s="39" t="s">
        <v>268</v>
      </c>
      <c r="B72" s="26">
        <f>SUMIF(case!$N:$N,$A72,case!B:B)</f>
        <v>0</v>
      </c>
      <c r="C72" s="26">
        <f>SUMIF(case!$N:$N,$A72,case!C:C)</f>
        <v>0</v>
      </c>
      <c r="D72" s="26">
        <f>SUMIF(case!$N:$N,$A72,case!D:D)</f>
        <v>0</v>
      </c>
      <c r="E72" s="26">
        <f>SUMIF(case!$N:$N,$A72,case!E:E)</f>
        <v>0</v>
      </c>
      <c r="F72" s="26">
        <f>SUMIF(case!$N:$N,$A72,case!F:F)</f>
        <v>0</v>
      </c>
      <c r="G72" s="26">
        <f>SUMIF(case!$N:$N,$A72,case!G:G)</f>
        <v>0</v>
      </c>
      <c r="H72" s="26">
        <f>SUMIF(case!$N:$N,$A72,case!H:H)</f>
        <v>0</v>
      </c>
      <c r="I72" s="26">
        <f>SUMIF(case!$N:$N,$A72,case!I:I)</f>
        <v>0</v>
      </c>
      <c r="J72" s="26">
        <f>SUMIF(case!$N:$N,$A72,case!J:J)</f>
        <v>0</v>
      </c>
      <c r="K72" s="26">
        <f>SUMIF(case!$N:$N,$A72,case!K:K)</f>
        <v>0</v>
      </c>
    </row>
    <row r="73" spans="1:11" ht="15.75" customHeight="1" x14ac:dyDescent="0.15">
      <c r="A73" s="38" t="s">
        <v>331</v>
      </c>
      <c r="B73" s="26">
        <f t="shared" ref="B73:K73" si="16">SUM(B69:B72)</f>
        <v>8505933</v>
      </c>
      <c r="C73" s="26">
        <f t="shared" si="16"/>
        <v>10679831</v>
      </c>
      <c r="D73" s="26">
        <f t="shared" si="16"/>
        <v>11237368</v>
      </c>
      <c r="E73" s="26">
        <f t="shared" si="16"/>
        <v>10867692</v>
      </c>
      <c r="F73" s="26">
        <f t="shared" si="16"/>
        <v>9228293</v>
      </c>
      <c r="G73" s="26">
        <f t="shared" si="16"/>
        <v>3979031</v>
      </c>
      <c r="H73" s="26">
        <f t="shared" si="16"/>
        <v>2633782</v>
      </c>
      <c r="I73" s="26">
        <f t="shared" si="16"/>
        <v>2906574</v>
      </c>
      <c r="J73" s="26">
        <f t="shared" si="16"/>
        <v>0</v>
      </c>
      <c r="K73" s="26">
        <f t="shared" si="16"/>
        <v>0</v>
      </c>
    </row>
    <row r="74" spans="1:11" ht="15.75" customHeight="1" x14ac:dyDescent="0.15">
      <c r="A74" s="39"/>
    </row>
    <row r="75" spans="1:11" ht="15.75" customHeight="1" x14ac:dyDescent="0.15">
      <c r="A75" s="38" t="s">
        <v>332</v>
      </c>
    </row>
    <row r="76" spans="1:11" ht="15.75" customHeight="1" x14ac:dyDescent="0.15">
      <c r="A76" s="39" t="s">
        <v>245</v>
      </c>
      <c r="B76" s="26">
        <f>SUMIF(case!$N:$N,$A76,case!B:B)</f>
        <v>0</v>
      </c>
      <c r="C76" s="26">
        <f>SUMIF(case!$N:$N,$A76,case!C:C)</f>
        <v>0</v>
      </c>
      <c r="D76" s="26">
        <f>SUMIF(case!$N:$N,$A76,case!D:D)</f>
        <v>0</v>
      </c>
      <c r="E76" s="26">
        <f>SUMIF(case!$N:$N,$A76,case!E:E)</f>
        <v>0</v>
      </c>
      <c r="F76" s="26">
        <f>SUMIF(case!$N:$N,$A76,case!F:F)</f>
        <v>0</v>
      </c>
      <c r="G76" s="26">
        <f>SUMIF(case!$N:$N,$A76,case!G:G)</f>
        <v>0</v>
      </c>
      <c r="H76" s="26">
        <f>SUMIF(case!$N:$N,$A76,case!H:H)</f>
        <v>0</v>
      </c>
      <c r="I76" s="26">
        <f>SUMIF(case!$N:$N,$A76,case!I:I)</f>
        <v>0</v>
      </c>
      <c r="J76" s="26">
        <f>SUMIF(case!$N:$N,$A76,case!J:J)</f>
        <v>0</v>
      </c>
      <c r="K76" s="26">
        <f>SUMIF(case!$N:$N,$A76,case!K:K)</f>
        <v>0</v>
      </c>
    </row>
    <row r="77" spans="1:11" ht="15.75" customHeight="1" x14ac:dyDescent="0.15">
      <c r="A77" s="39" t="s">
        <v>333</v>
      </c>
      <c r="B77" s="26">
        <f t="shared" ref="B77:K77" si="17">SUM(B78:B82)</f>
        <v>5757287</v>
      </c>
      <c r="C77" s="26">
        <f t="shared" si="17"/>
        <v>5227552</v>
      </c>
      <c r="D77" s="26">
        <f t="shared" si="17"/>
        <v>4660887</v>
      </c>
      <c r="E77" s="26">
        <f t="shared" si="17"/>
        <v>4082303</v>
      </c>
      <c r="F77" s="26">
        <f t="shared" si="17"/>
        <v>3206001</v>
      </c>
      <c r="G77" s="26">
        <f t="shared" si="17"/>
        <v>2384718</v>
      </c>
      <c r="H77" s="26">
        <f t="shared" si="17"/>
        <v>1733081</v>
      </c>
      <c r="I77" s="26">
        <f t="shared" si="17"/>
        <v>1062658</v>
      </c>
      <c r="J77" s="26">
        <f t="shared" si="17"/>
        <v>0</v>
      </c>
      <c r="K77" s="26">
        <f t="shared" si="17"/>
        <v>0</v>
      </c>
    </row>
    <row r="78" spans="1:11" ht="15.75" customHeight="1" x14ac:dyDescent="0.15">
      <c r="A78" s="39" t="s">
        <v>261</v>
      </c>
      <c r="B78" s="26">
        <f>SUMIF(case!$N:$N,$A78,case!B:B)</f>
        <v>140000</v>
      </c>
      <c r="C78" s="26">
        <f>SUMIF(case!$N:$N,$A78,case!C:C)</f>
        <v>140000</v>
      </c>
      <c r="D78" s="26">
        <f>SUMIF(case!$N:$N,$A78,case!D:D)</f>
        <v>140000</v>
      </c>
      <c r="E78" s="26">
        <f>SUMIF(case!$N:$N,$A78,case!E:E)</f>
        <v>140000</v>
      </c>
      <c r="F78" s="26">
        <f>SUMIF(case!$N:$N,$A78,case!F:F)</f>
        <v>140000</v>
      </c>
      <c r="G78" s="26">
        <f>SUMIF(case!$N:$N,$A78,case!G:G)</f>
        <v>140000</v>
      </c>
      <c r="H78" s="26">
        <f>SUMIF(case!$N:$N,$A78,case!H:H)</f>
        <v>140000</v>
      </c>
      <c r="I78" s="26">
        <f>SUMIF(case!$N:$N,$A78,case!I:I)</f>
        <v>140000</v>
      </c>
      <c r="J78" s="26">
        <f>SUMIF(case!$N:$N,$A78,case!J:J)</f>
        <v>0</v>
      </c>
      <c r="K78" s="26">
        <f>SUMIF(case!$N:$N,$A78,case!K:K)</f>
        <v>0</v>
      </c>
    </row>
    <row r="79" spans="1:11" ht="15.75" customHeight="1" x14ac:dyDescent="0.15">
      <c r="A79" s="39" t="s">
        <v>263</v>
      </c>
      <c r="B79" s="26">
        <f>SUMIF(case!$N:$N,$A79,case!B:B)</f>
        <v>4717554</v>
      </c>
      <c r="C79" s="26">
        <f>SUMIF(case!$N:$N,$A79,case!C:C)</f>
        <v>4520885</v>
      </c>
      <c r="D79" s="26">
        <f>SUMIF(case!$N:$N,$A79,case!D:D)</f>
        <v>3842306</v>
      </c>
      <c r="E79" s="26">
        <f>SUMIF(case!$N:$N,$A79,case!E:E)</f>
        <v>2981000</v>
      </c>
      <c r="F79" s="26">
        <f>SUMIF(case!$N:$N,$A79,case!F:F)</f>
        <v>2144719</v>
      </c>
      <c r="G79" s="26">
        <f>SUMIF(case!$N:$N,$A79,case!G:G)</f>
        <v>1493082</v>
      </c>
      <c r="H79" s="26">
        <f>SUMIF(case!$N:$N,$A79,case!H:H)</f>
        <v>922656</v>
      </c>
      <c r="I79" s="26">
        <f>SUMIF(case!$N:$N,$A79,case!I:I)</f>
        <v>557912</v>
      </c>
      <c r="J79" s="26">
        <f>SUMIF(case!$N:$N,$A79,case!J:J)</f>
        <v>0</v>
      </c>
      <c r="K79" s="26">
        <f>SUMIF(case!$N:$N,$A79,case!K:K)</f>
        <v>0</v>
      </c>
    </row>
    <row r="80" spans="1:11" ht="15.75" customHeight="1" x14ac:dyDescent="0.15">
      <c r="A80" s="39" t="s">
        <v>262</v>
      </c>
      <c r="B80" s="26">
        <f>SUMIF(case!$N:$N,$A80,case!B:B)</f>
        <v>0</v>
      </c>
      <c r="C80" s="26">
        <f>SUMIF(case!$N:$N,$A80,case!C:C)</f>
        <v>0</v>
      </c>
      <c r="D80" s="26">
        <f>SUMIF(case!$N:$N,$A80,case!D:D)</f>
        <v>0</v>
      </c>
      <c r="E80" s="26">
        <f>SUMIF(case!$N:$N,$A80,case!E:E)</f>
        <v>0</v>
      </c>
      <c r="F80" s="26">
        <f>SUMIF(case!$N:$N,$A80,case!F:F)</f>
        <v>0</v>
      </c>
      <c r="G80" s="26">
        <f>SUMIF(case!$N:$N,$A80,case!G:G)</f>
        <v>0</v>
      </c>
      <c r="H80" s="26">
        <f>SUMIF(case!$N:$N,$A80,case!H:H)</f>
        <v>0</v>
      </c>
      <c r="I80" s="26">
        <f>SUMIF(case!$N:$N,$A80,case!I:I)</f>
        <v>0</v>
      </c>
      <c r="J80" s="26">
        <f>SUMIF(case!$N:$N,$A80,case!J:J)</f>
        <v>0</v>
      </c>
      <c r="K80" s="26">
        <f>SUMIF(case!$N:$N,$A80,case!K:K)</f>
        <v>0</v>
      </c>
    </row>
    <row r="81" spans="1:11" ht="15.75" customHeight="1" x14ac:dyDescent="0.15">
      <c r="A81" s="39" t="s">
        <v>249</v>
      </c>
      <c r="B81" s="26">
        <f>SUMIF(case!$N:$N,$A81,case!B:B)</f>
        <v>0</v>
      </c>
      <c r="C81" s="26">
        <f>SUMIF(case!$N:$N,$A81,case!C:C)</f>
        <v>0</v>
      </c>
      <c r="D81" s="26">
        <f>SUMIF(case!$N:$N,$A81,case!D:D)</f>
        <v>0</v>
      </c>
      <c r="E81" s="26">
        <f>SUMIF(case!$N:$N,$A81,case!E:E)</f>
        <v>0</v>
      </c>
      <c r="F81" s="26">
        <f>SUMIF(case!$N:$N,$A81,case!F:F)</f>
        <v>0</v>
      </c>
      <c r="G81" s="26">
        <f>SUMIF(case!$N:$N,$A81,case!G:G)</f>
        <v>0</v>
      </c>
      <c r="H81" s="26">
        <f>SUMIF(case!$N:$N,$A81,case!H:H)</f>
        <v>0</v>
      </c>
      <c r="I81" s="26">
        <f>SUMIF(case!$N:$N,$A81,case!I:I)</f>
        <v>0</v>
      </c>
      <c r="J81" s="26">
        <f>SUMIF(case!$N:$N,$A81,case!J:J)</f>
        <v>0</v>
      </c>
      <c r="K81" s="26">
        <f>SUMIF(case!$N:$N,$A81,case!K:K)</f>
        <v>0</v>
      </c>
    </row>
    <row r="82" spans="1:11" ht="15.75" customHeight="1" x14ac:dyDescent="0.15">
      <c r="A82" s="39" t="s">
        <v>264</v>
      </c>
      <c r="B82" s="26">
        <f>SUMIF(case!$N:$N,$A82,case!B:B)</f>
        <v>899733</v>
      </c>
      <c r="C82" s="26">
        <f>SUMIF(case!$N:$N,$A82,case!C:C)</f>
        <v>566667</v>
      </c>
      <c r="D82" s="26">
        <f>SUMIF(case!$N:$N,$A82,case!D:D)</f>
        <v>678581</v>
      </c>
      <c r="E82" s="26">
        <f>SUMIF(case!$N:$N,$A82,case!E:E)</f>
        <v>961303</v>
      </c>
      <c r="F82" s="26">
        <f>SUMIF(case!$N:$N,$A82,case!F:F)</f>
        <v>921282</v>
      </c>
      <c r="G82" s="26">
        <f>SUMIF(case!$N:$N,$A82,case!G:G)</f>
        <v>751636</v>
      </c>
      <c r="H82" s="26">
        <f>SUMIF(case!$N:$N,$A82,case!H:H)</f>
        <v>670425</v>
      </c>
      <c r="I82" s="26">
        <f>SUMIF(case!$N:$N,$A82,case!I:I)</f>
        <v>364746</v>
      </c>
      <c r="J82" s="26">
        <f>SUMIF(case!$N:$N,$A82,case!J:J)</f>
        <v>0</v>
      </c>
      <c r="K82" s="26">
        <f>SUMIF(case!$N:$N,$A82,case!K:K)</f>
        <v>0</v>
      </c>
    </row>
    <row r="83" spans="1:11" ht="15.75" customHeight="1" x14ac:dyDescent="0.15">
      <c r="A83" s="39" t="s">
        <v>265</v>
      </c>
      <c r="B83" s="26">
        <f>SUMIF(case!$N:$N,$A83,case!B:B)</f>
        <v>0</v>
      </c>
      <c r="C83" s="26">
        <f>SUMIF(case!$N:$N,$A83,case!C:C)</f>
        <v>0</v>
      </c>
      <c r="D83" s="26">
        <f>SUMIF(case!$N:$N,$A83,case!D:D)</f>
        <v>0</v>
      </c>
      <c r="E83" s="26">
        <f>SUMIF(case!$N:$N,$A83,case!E:E)</f>
        <v>0</v>
      </c>
      <c r="F83" s="26">
        <f>SUMIF(case!$N:$N,$A83,case!F:F)</f>
        <v>0</v>
      </c>
      <c r="G83" s="26">
        <f>SUMIF(case!$N:$N,$A83,case!G:G)</f>
        <v>0</v>
      </c>
      <c r="H83" s="26">
        <f>SUMIF(case!$N:$N,$A83,case!H:H)</f>
        <v>0</v>
      </c>
      <c r="I83" s="26">
        <f>SUMIF(case!$N:$N,$A83,case!I:I)</f>
        <v>0</v>
      </c>
      <c r="J83" s="26">
        <f>SUMIF(case!$N:$N,$A83,case!J:J)</f>
        <v>0</v>
      </c>
      <c r="K83" s="26">
        <f>SUMIF(case!$N:$N,$A83,case!K:K)</f>
        <v>0</v>
      </c>
    </row>
    <row r="84" spans="1:11" ht="15.75" customHeight="1" x14ac:dyDescent="0.15">
      <c r="A84" s="38" t="s">
        <v>334</v>
      </c>
      <c r="B84" s="26">
        <f t="shared" ref="B84:K84" si="18">B76+B77+B83</f>
        <v>5757287</v>
      </c>
      <c r="C84" s="26">
        <f t="shared" si="18"/>
        <v>5227552</v>
      </c>
      <c r="D84" s="26">
        <f t="shared" si="18"/>
        <v>4660887</v>
      </c>
      <c r="E84" s="26">
        <f t="shared" si="18"/>
        <v>4082303</v>
      </c>
      <c r="F84" s="26">
        <f t="shared" si="18"/>
        <v>3206001</v>
      </c>
      <c r="G84" s="26">
        <f t="shared" si="18"/>
        <v>2384718</v>
      </c>
      <c r="H84" s="26">
        <f t="shared" si="18"/>
        <v>1733081</v>
      </c>
      <c r="I84" s="26">
        <f t="shared" si="18"/>
        <v>1062658</v>
      </c>
      <c r="J84" s="26">
        <f t="shared" si="18"/>
        <v>0</v>
      </c>
      <c r="K84" s="26">
        <f t="shared" si="18"/>
        <v>0</v>
      </c>
    </row>
    <row r="85" spans="1:11" ht="15.75" customHeight="1" x14ac:dyDescent="0.15">
      <c r="A85" s="39"/>
    </row>
    <row r="86" spans="1:11" ht="15.75" customHeight="1" x14ac:dyDescent="0.15">
      <c r="A86" s="38" t="s">
        <v>335</v>
      </c>
      <c r="B86" s="26">
        <f t="shared" ref="B86:K86" si="19">B56+B62+B66+B73+B84</f>
        <v>18790859</v>
      </c>
      <c r="C86" s="26">
        <f t="shared" si="19"/>
        <v>20554377</v>
      </c>
      <c r="D86" s="26">
        <f t="shared" si="19"/>
        <v>20723060</v>
      </c>
      <c r="E86" s="26">
        <f t="shared" si="19"/>
        <v>18204611</v>
      </c>
      <c r="F86" s="26">
        <f t="shared" si="19"/>
        <v>14795011</v>
      </c>
      <c r="G86" s="26">
        <f t="shared" si="19"/>
        <v>9311398</v>
      </c>
      <c r="H86" s="26">
        <f t="shared" si="19"/>
        <v>6455031</v>
      </c>
      <c r="I86" s="26">
        <f t="shared" si="19"/>
        <v>6151737</v>
      </c>
      <c r="J86" s="26">
        <f t="shared" si="19"/>
        <v>0</v>
      </c>
      <c r="K86" s="26">
        <f t="shared" si="19"/>
        <v>0</v>
      </c>
    </row>
    <row r="87" spans="1:11" ht="15.75" customHeight="1" x14ac:dyDescent="0.15">
      <c r="A87" s="38"/>
    </row>
    <row r="88" spans="1:11" ht="15.75" customHeight="1" x14ac:dyDescent="0.15">
      <c r="A88" s="39" t="s">
        <v>313</v>
      </c>
      <c r="B88" s="26">
        <f>case!B168</f>
        <v>18790859</v>
      </c>
      <c r="C88" s="26">
        <f>case!C168</f>
        <v>20554377</v>
      </c>
      <c r="D88" s="26">
        <f>case!D168</f>
        <v>20723060</v>
      </c>
      <c r="E88" s="26">
        <f>case!E168</f>
        <v>18204611</v>
      </c>
      <c r="F88" s="26">
        <f>case!F168</f>
        <v>14795011</v>
      </c>
      <c r="G88" s="26">
        <f>case!G168</f>
        <v>9311398</v>
      </c>
      <c r="H88" s="26">
        <f>case!H168</f>
        <v>6455031</v>
      </c>
      <c r="I88" s="26">
        <f>case!I168</f>
        <v>6151737</v>
      </c>
      <c r="J88" s="26">
        <f>case!J168</f>
        <v>0</v>
      </c>
      <c r="K88" s="26">
        <f>case!K168</f>
        <v>0</v>
      </c>
    </row>
    <row r="89" spans="1:11" ht="15.75" customHeight="1" x14ac:dyDescent="0.15">
      <c r="A89" s="40" t="s">
        <v>336</v>
      </c>
      <c r="B89" s="26">
        <f t="shared" ref="B89:K89" si="20">B88-B86</f>
        <v>0</v>
      </c>
      <c r="C89" s="26">
        <f t="shared" si="20"/>
        <v>0</v>
      </c>
      <c r="D89" s="26">
        <f t="shared" si="20"/>
        <v>0</v>
      </c>
      <c r="E89" s="26">
        <f t="shared" si="20"/>
        <v>0</v>
      </c>
      <c r="F89" s="26">
        <f t="shared" si="20"/>
        <v>0</v>
      </c>
      <c r="G89" s="26">
        <f t="shared" si="20"/>
        <v>0</v>
      </c>
      <c r="H89" s="26">
        <f t="shared" si="20"/>
        <v>0</v>
      </c>
      <c r="I89" s="26">
        <f t="shared" si="20"/>
        <v>0</v>
      </c>
      <c r="J89" s="26">
        <f t="shared" si="20"/>
        <v>0</v>
      </c>
      <c r="K89" s="26">
        <f t="shared" si="20"/>
        <v>0</v>
      </c>
    </row>
    <row r="90" spans="1:11" ht="15.75" customHeight="1" x14ac:dyDescent="0.15">
      <c r="A90" s="39" t="s">
        <v>337</v>
      </c>
      <c r="B90" s="26">
        <f t="shared" ref="B90:K90" si="21">B35-B86</f>
        <v>0</v>
      </c>
      <c r="C90" s="26">
        <f t="shared" si="21"/>
        <v>0</v>
      </c>
      <c r="D90" s="26">
        <f t="shared" si="21"/>
        <v>0</v>
      </c>
      <c r="E90" s="26">
        <f t="shared" si="21"/>
        <v>0</v>
      </c>
      <c r="F90" s="26">
        <f t="shared" si="21"/>
        <v>0</v>
      </c>
      <c r="G90" s="26">
        <f t="shared" si="21"/>
        <v>0</v>
      </c>
      <c r="H90" s="26">
        <f t="shared" si="21"/>
        <v>0</v>
      </c>
      <c r="I90" s="26">
        <f t="shared" si="21"/>
        <v>0</v>
      </c>
      <c r="J90" s="26">
        <f t="shared" si="21"/>
        <v>0</v>
      </c>
      <c r="K90" s="26">
        <f t="shared" si="21"/>
        <v>0</v>
      </c>
    </row>
    <row r="91" spans="1:11" ht="15.75" customHeight="1" x14ac:dyDescent="0.15">
      <c r="A91" s="39"/>
    </row>
    <row r="92" spans="1:11" ht="15.75" customHeight="1" x14ac:dyDescent="0.15">
      <c r="A92" s="38" t="s">
        <v>338</v>
      </c>
    </row>
    <row r="93" spans="1:11" ht="15.75" customHeight="1" x14ac:dyDescent="0.15">
      <c r="A93" s="39" t="s">
        <v>339</v>
      </c>
      <c r="B93" s="26">
        <f t="shared" ref="B93:K93" si="22">B16-B56+B21-B62</f>
        <v>13962088</v>
      </c>
      <c r="C93" s="26">
        <f t="shared" si="22"/>
        <v>14957139</v>
      </c>
      <c r="D93" s="26">
        <f t="shared" si="22"/>
        <v>14682021</v>
      </c>
      <c r="E93" s="26">
        <f t="shared" si="22"/>
        <v>12621622</v>
      </c>
      <c r="F93" s="26">
        <f t="shared" si="22"/>
        <v>10439151</v>
      </c>
      <c r="G93" s="26">
        <f t="shared" si="22"/>
        <v>5753308</v>
      </c>
      <c r="H93" s="26">
        <f t="shared" si="22"/>
        <v>4023273</v>
      </c>
      <c r="I93" s="26">
        <f t="shared" si="22"/>
        <v>3249932</v>
      </c>
      <c r="J93" s="26">
        <f t="shared" si="22"/>
        <v>0</v>
      </c>
      <c r="K93" s="26">
        <f t="shared" si="22"/>
        <v>0</v>
      </c>
    </row>
    <row r="94" spans="1:11" ht="15.75" customHeight="1" x14ac:dyDescent="0.15">
      <c r="A94" s="39" t="s">
        <v>340</v>
      </c>
      <c r="B94" s="26">
        <f t="shared" ref="B94:K94" si="23">B27-B66</f>
        <v>58702</v>
      </c>
      <c r="C94" s="26">
        <f t="shared" si="23"/>
        <v>58702</v>
      </c>
      <c r="D94" s="26">
        <f t="shared" si="23"/>
        <v>58702</v>
      </c>
      <c r="E94" s="26">
        <f t="shared" si="23"/>
        <v>58702</v>
      </c>
      <c r="F94" s="26">
        <f t="shared" si="23"/>
        <v>6512</v>
      </c>
      <c r="G94" s="26">
        <f t="shared" si="23"/>
        <v>6512</v>
      </c>
      <c r="H94" s="26">
        <f t="shared" si="23"/>
        <v>6512</v>
      </c>
      <c r="I94" s="26">
        <f t="shared" si="23"/>
        <v>6512</v>
      </c>
      <c r="J94" s="26">
        <f t="shared" si="23"/>
        <v>0</v>
      </c>
      <c r="K94" s="26">
        <f t="shared" si="23"/>
        <v>0</v>
      </c>
    </row>
    <row r="95" spans="1:11" ht="15.75" customHeight="1" x14ac:dyDescent="0.15">
      <c r="A95" s="39" t="s">
        <v>341</v>
      </c>
      <c r="B95" s="26">
        <f t="shared" ref="B95:K95" si="24">B33-B73</f>
        <v>-8263503</v>
      </c>
      <c r="C95" s="26">
        <f t="shared" si="24"/>
        <v>-9788289</v>
      </c>
      <c r="D95" s="26">
        <f t="shared" si="24"/>
        <v>-10079836</v>
      </c>
      <c r="E95" s="26">
        <f t="shared" si="24"/>
        <v>-8598021</v>
      </c>
      <c r="F95" s="26">
        <f t="shared" si="24"/>
        <v>-7239662</v>
      </c>
      <c r="G95" s="26">
        <f t="shared" si="24"/>
        <v>-3375102</v>
      </c>
      <c r="H95" s="26">
        <f t="shared" si="24"/>
        <v>-2296704</v>
      </c>
      <c r="I95" s="26">
        <f t="shared" si="24"/>
        <v>-2193786</v>
      </c>
      <c r="J95" s="26">
        <f t="shared" si="24"/>
        <v>0</v>
      </c>
      <c r="K95" s="26">
        <f t="shared" si="24"/>
        <v>0</v>
      </c>
    </row>
    <row r="96" spans="1:11" ht="15.75" customHeight="1" x14ac:dyDescent="0.15">
      <c r="A96" s="39" t="s">
        <v>342</v>
      </c>
      <c r="B96" s="26">
        <f t="shared" ref="B96:K96" si="25">B84</f>
        <v>5757287</v>
      </c>
      <c r="C96" s="26">
        <f t="shared" si="25"/>
        <v>5227552</v>
      </c>
      <c r="D96" s="26">
        <f t="shared" si="25"/>
        <v>4660887</v>
      </c>
      <c r="E96" s="26">
        <f t="shared" si="25"/>
        <v>4082303</v>
      </c>
      <c r="F96" s="26">
        <f t="shared" si="25"/>
        <v>3206001</v>
      </c>
      <c r="G96" s="26">
        <f t="shared" si="25"/>
        <v>2384718</v>
      </c>
      <c r="H96" s="26">
        <f t="shared" si="25"/>
        <v>1733081</v>
      </c>
      <c r="I96" s="26">
        <f t="shared" si="25"/>
        <v>1062658</v>
      </c>
      <c r="J96" s="26">
        <f t="shared" si="25"/>
        <v>0</v>
      </c>
      <c r="K96" s="26">
        <f t="shared" si="25"/>
        <v>0</v>
      </c>
    </row>
    <row r="97" spans="1:11" ht="15.75" customHeight="1" x14ac:dyDescent="0.15">
      <c r="A97" s="39" t="s">
        <v>343</v>
      </c>
      <c r="B97" s="26">
        <f t="shared" ref="B97:K97" si="26">B35</f>
        <v>18790859</v>
      </c>
      <c r="C97" s="26">
        <f t="shared" si="26"/>
        <v>20554377</v>
      </c>
      <c r="D97" s="26">
        <f t="shared" si="26"/>
        <v>20723060</v>
      </c>
      <c r="E97" s="26">
        <f t="shared" si="26"/>
        <v>18204611</v>
      </c>
      <c r="F97" s="26">
        <f t="shared" si="26"/>
        <v>14795011</v>
      </c>
      <c r="G97" s="26">
        <f t="shared" si="26"/>
        <v>9311398</v>
      </c>
      <c r="H97" s="26">
        <f t="shared" si="26"/>
        <v>6455031</v>
      </c>
      <c r="I97" s="26">
        <f t="shared" si="26"/>
        <v>6151737</v>
      </c>
      <c r="J97" s="26">
        <f t="shared" si="26"/>
        <v>0</v>
      </c>
      <c r="K97" s="26">
        <f t="shared" si="26"/>
        <v>0</v>
      </c>
    </row>
    <row r="98" spans="1:11" ht="15.75" customHeight="1" x14ac:dyDescent="0.15">
      <c r="A98" s="39" t="s">
        <v>344</v>
      </c>
      <c r="B98" s="26">
        <f t="shared" ref="B98:K98" si="27">B86</f>
        <v>18790859</v>
      </c>
      <c r="C98" s="26">
        <f t="shared" si="27"/>
        <v>20554377</v>
      </c>
      <c r="D98" s="26">
        <f t="shared" si="27"/>
        <v>20723060</v>
      </c>
      <c r="E98" s="26">
        <f t="shared" si="27"/>
        <v>18204611</v>
      </c>
      <c r="F98" s="26">
        <f t="shared" si="27"/>
        <v>14795011</v>
      </c>
      <c r="G98" s="26">
        <f t="shared" si="27"/>
        <v>9311398</v>
      </c>
      <c r="H98" s="26">
        <f t="shared" si="27"/>
        <v>6455031</v>
      </c>
      <c r="I98" s="26">
        <f t="shared" si="27"/>
        <v>6151737</v>
      </c>
      <c r="J98" s="26">
        <f t="shared" si="27"/>
        <v>0</v>
      </c>
      <c r="K98" s="26">
        <f t="shared" si="27"/>
        <v>0</v>
      </c>
    </row>
    <row r="99" spans="1:11" ht="15.75" customHeight="1" x14ac:dyDescent="0.15">
      <c r="A99" s="39" t="s">
        <v>316</v>
      </c>
      <c r="B99" s="26">
        <f t="shared" ref="B99:K99" si="28">B97-B98</f>
        <v>0</v>
      </c>
      <c r="C99" s="26">
        <f t="shared" si="28"/>
        <v>0</v>
      </c>
      <c r="D99" s="26">
        <f t="shared" si="28"/>
        <v>0</v>
      </c>
      <c r="E99" s="26">
        <f t="shared" si="28"/>
        <v>0</v>
      </c>
      <c r="F99" s="26">
        <f t="shared" si="28"/>
        <v>0</v>
      </c>
      <c r="G99" s="26">
        <f t="shared" si="28"/>
        <v>0</v>
      </c>
      <c r="H99" s="26">
        <f t="shared" si="28"/>
        <v>0</v>
      </c>
      <c r="I99" s="26">
        <f t="shared" si="28"/>
        <v>0</v>
      </c>
      <c r="J99" s="26">
        <f t="shared" si="28"/>
        <v>0</v>
      </c>
      <c r="K99" s="26">
        <f t="shared" si="28"/>
        <v>0</v>
      </c>
    </row>
    <row r="100" spans="1:11" ht="15.75" customHeight="1" x14ac:dyDescent="0.15">
      <c r="A100" s="39"/>
    </row>
    <row r="101" spans="1:11" ht="15.75" customHeight="1" x14ac:dyDescent="0.15">
      <c r="A101" s="41" t="s">
        <v>345</v>
      </c>
      <c r="B101" s="26">
        <f t="shared" ref="B101:K101" si="29">B8-B51</f>
        <v>5652102</v>
      </c>
      <c r="C101" s="26">
        <f t="shared" si="29"/>
        <v>6091068</v>
      </c>
      <c r="D101" s="26">
        <f t="shared" si="29"/>
        <v>4739282</v>
      </c>
      <c r="E101" s="26">
        <f t="shared" si="29"/>
        <v>3336501</v>
      </c>
      <c r="F101" s="26">
        <f t="shared" si="29"/>
        <v>3414534</v>
      </c>
      <c r="G101" s="26">
        <f t="shared" si="29"/>
        <v>3284267</v>
      </c>
      <c r="H101" s="26">
        <f t="shared" si="29"/>
        <v>3215402</v>
      </c>
      <c r="I101" s="26">
        <f t="shared" si="29"/>
        <v>2861588</v>
      </c>
      <c r="J101" s="26">
        <f t="shared" si="29"/>
        <v>0</v>
      </c>
      <c r="K101" s="26">
        <f t="shared" si="29"/>
        <v>0</v>
      </c>
    </row>
    <row r="102" spans="1:11" ht="15.75" customHeight="1" x14ac:dyDescent="0.15">
      <c r="A102" s="41" t="s">
        <v>346</v>
      </c>
      <c r="B102" s="26">
        <f t="shared" ref="B102:K102" si="30">B16-B56</f>
        <v>14244675</v>
      </c>
      <c r="C102" s="26">
        <f t="shared" si="30"/>
        <v>15035932</v>
      </c>
      <c r="D102" s="26">
        <f t="shared" si="30"/>
        <v>14106429</v>
      </c>
      <c r="E102" s="26">
        <f t="shared" si="30"/>
        <v>12646121</v>
      </c>
      <c r="F102" s="26">
        <f t="shared" si="30"/>
        <v>10306811</v>
      </c>
      <c r="G102" s="26">
        <f t="shared" si="30"/>
        <v>5687488</v>
      </c>
      <c r="H102" s="26">
        <f t="shared" si="30"/>
        <v>4222775</v>
      </c>
      <c r="I102" s="26">
        <f t="shared" si="30"/>
        <v>3589908</v>
      </c>
      <c r="J102" s="26">
        <f t="shared" si="30"/>
        <v>0</v>
      </c>
      <c r="K102" s="26">
        <f t="shared" si="30"/>
        <v>0</v>
      </c>
    </row>
    <row r="103" spans="1:11" ht="15.75" customHeight="1" x14ac:dyDescent="0.15">
      <c r="A103" s="41" t="s">
        <v>347</v>
      </c>
      <c r="B103" s="26">
        <f t="shared" ref="B103:K103" si="31">-B95</f>
        <v>8263503</v>
      </c>
      <c r="C103" s="26">
        <f t="shared" si="31"/>
        <v>9788289</v>
      </c>
      <c r="D103" s="26">
        <f t="shared" si="31"/>
        <v>10079836</v>
      </c>
      <c r="E103" s="26">
        <f t="shared" si="31"/>
        <v>8598021</v>
      </c>
      <c r="F103" s="26">
        <f t="shared" si="31"/>
        <v>7239662</v>
      </c>
      <c r="G103" s="26">
        <f t="shared" si="31"/>
        <v>3375102</v>
      </c>
      <c r="H103" s="26">
        <f t="shared" si="31"/>
        <v>2296704</v>
      </c>
      <c r="I103" s="26">
        <f t="shared" si="31"/>
        <v>2193786</v>
      </c>
      <c r="J103" s="26">
        <f t="shared" si="31"/>
        <v>0</v>
      </c>
      <c r="K103" s="26">
        <f t="shared" si="31"/>
        <v>0</v>
      </c>
    </row>
    <row r="104" spans="1:11" ht="15.75" customHeight="1" x14ac:dyDescent="0.15">
      <c r="A104" s="39" t="s">
        <v>348</v>
      </c>
      <c r="B104" s="26">
        <f t="shared" ref="B104:K104" si="32">B93+B94</f>
        <v>14020790</v>
      </c>
      <c r="C104" s="26">
        <f t="shared" si="32"/>
        <v>15015841</v>
      </c>
      <c r="D104" s="26">
        <f t="shared" si="32"/>
        <v>14740723</v>
      </c>
      <c r="E104" s="26">
        <f t="shared" si="32"/>
        <v>12680324</v>
      </c>
      <c r="F104" s="26">
        <f t="shared" si="32"/>
        <v>10445663</v>
      </c>
      <c r="G104" s="26">
        <f t="shared" si="32"/>
        <v>5759820</v>
      </c>
      <c r="H104" s="26">
        <f t="shared" si="32"/>
        <v>4029785</v>
      </c>
      <c r="I104" s="26">
        <f t="shared" si="32"/>
        <v>3256444</v>
      </c>
      <c r="J104" s="26">
        <f t="shared" si="32"/>
        <v>0</v>
      </c>
      <c r="K104" s="26">
        <f t="shared" si="32"/>
        <v>0</v>
      </c>
    </row>
    <row r="105" spans="1:11" ht="15.75" customHeight="1" x14ac:dyDescent="0.15">
      <c r="A105" s="39" t="s">
        <v>349</v>
      </c>
      <c r="B105" s="26">
        <f t="shared" ref="B105:K105" si="33">B96+B103</f>
        <v>14020790</v>
      </c>
      <c r="C105" s="26">
        <f t="shared" si="33"/>
        <v>15015841</v>
      </c>
      <c r="D105" s="26">
        <f t="shared" si="33"/>
        <v>14740723</v>
      </c>
      <c r="E105" s="26">
        <f t="shared" si="33"/>
        <v>12680324</v>
      </c>
      <c r="F105" s="26">
        <f t="shared" si="33"/>
        <v>10445663</v>
      </c>
      <c r="G105" s="26">
        <f t="shared" si="33"/>
        <v>5759820</v>
      </c>
      <c r="H105" s="26">
        <f t="shared" si="33"/>
        <v>4029785</v>
      </c>
      <c r="I105" s="26">
        <f t="shared" si="33"/>
        <v>3256444</v>
      </c>
      <c r="J105" s="26">
        <f t="shared" si="33"/>
        <v>0</v>
      </c>
      <c r="K105" s="26">
        <f t="shared" si="33"/>
        <v>0</v>
      </c>
    </row>
    <row r="106" spans="1:11" ht="15.75" customHeight="1" x14ac:dyDescent="0.15">
      <c r="A106" s="39" t="s">
        <v>350</v>
      </c>
      <c r="B106" s="26">
        <f t="shared" ref="B106:K106" si="34">B104-B105</f>
        <v>0</v>
      </c>
      <c r="C106" s="26">
        <f t="shared" si="34"/>
        <v>0</v>
      </c>
      <c r="D106" s="26">
        <f t="shared" si="34"/>
        <v>0</v>
      </c>
      <c r="E106" s="26">
        <f t="shared" si="34"/>
        <v>0</v>
      </c>
      <c r="F106" s="26">
        <f t="shared" si="34"/>
        <v>0</v>
      </c>
      <c r="G106" s="26">
        <f t="shared" si="34"/>
        <v>0</v>
      </c>
      <c r="H106" s="26">
        <f t="shared" si="34"/>
        <v>0</v>
      </c>
      <c r="I106" s="26">
        <f t="shared" si="34"/>
        <v>0</v>
      </c>
      <c r="J106" s="26">
        <f t="shared" si="34"/>
        <v>0</v>
      </c>
      <c r="K106" s="26">
        <f t="shared" si="34"/>
        <v>0</v>
      </c>
    </row>
    <row r="107" spans="1:11" ht="15.75" customHeight="1" x14ac:dyDescent="0.15">
      <c r="A107" s="39"/>
    </row>
    <row r="108" spans="1:11" ht="15.75" customHeight="1" x14ac:dyDescent="0.15">
      <c r="A108" s="39"/>
      <c r="B108" s="28">
        <f t="shared" ref="B108:K108" si="35">B1</f>
        <v>2024</v>
      </c>
      <c r="C108" s="28">
        <f t="shared" si="35"/>
        <v>2023</v>
      </c>
      <c r="D108" s="28">
        <f t="shared" si="35"/>
        <v>2022</v>
      </c>
      <c r="E108" s="28">
        <f t="shared" si="35"/>
        <v>2021</v>
      </c>
      <c r="F108" s="28">
        <f t="shared" si="35"/>
        <v>2020</v>
      </c>
      <c r="G108" s="28">
        <f t="shared" si="35"/>
        <v>2019</v>
      </c>
      <c r="H108" s="28">
        <f t="shared" si="35"/>
        <v>2018</v>
      </c>
      <c r="I108" s="28">
        <f t="shared" si="35"/>
        <v>2017</v>
      </c>
      <c r="J108" s="28">
        <f t="shared" si="35"/>
        <v>0</v>
      </c>
      <c r="K108" s="28">
        <f t="shared" si="35"/>
        <v>0</v>
      </c>
    </row>
    <row r="109" spans="1:11" ht="15.75" customHeight="1" x14ac:dyDescent="0.15">
      <c r="A109" s="36" t="s">
        <v>351</v>
      </c>
    </row>
    <row r="110" spans="1:11" ht="15.75" customHeight="1" x14ac:dyDescent="0.15">
      <c r="A110" s="38" t="s">
        <v>352</v>
      </c>
    </row>
    <row r="111" spans="1:11" ht="15.75" customHeight="1" x14ac:dyDescent="0.15">
      <c r="A111" s="39" t="s">
        <v>277</v>
      </c>
      <c r="B111" s="26">
        <f>SUMIF(case!$N:$N,$A111,case!B:B)-B127</f>
        <v>21650995</v>
      </c>
      <c r="C111" s="26">
        <f>SUMIF(case!$N:$N,$A111,case!C:C)-C127</f>
        <v>21142391</v>
      </c>
      <c r="D111" s="26">
        <f>SUMIF(case!$N:$N,$A111,case!D:D)-D127</f>
        <v>17821289</v>
      </c>
      <c r="E111" s="26">
        <f>SUMIF(case!$N:$N,$A111,case!E:E)-E127</f>
        <v>15638358</v>
      </c>
      <c r="F111" s="26">
        <f>SUMIF(case!$N:$N,$A111,case!F:F)-F127</f>
        <v>14336879</v>
      </c>
      <c r="G111" s="26">
        <f>SUMIF(case!$N:$N,$A111,case!G:G)-G127</f>
        <v>13550152</v>
      </c>
      <c r="H111" s="26">
        <f>SUMIF(case!$N:$N,$A111,case!H:H)-H127</f>
        <v>11519434</v>
      </c>
      <c r="I111" s="26">
        <f>SUMIF(case!$N:$N,$A111,case!I:I)-I127</f>
        <v>9917341</v>
      </c>
      <c r="J111" s="26">
        <f>SUMIF(case!$N:$N,$A111,case!J:J)-J127</f>
        <v>0</v>
      </c>
      <c r="K111" s="26">
        <f>SUMIF(case!$N:$N,$A111,case!K:K)-K127</f>
        <v>0</v>
      </c>
    </row>
    <row r="112" spans="1:11" ht="15.75" customHeight="1" x14ac:dyDescent="0.15">
      <c r="A112" s="39" t="s">
        <v>353</v>
      </c>
    </row>
    <row r="113" spans="1:11" ht="15.75" customHeight="1" x14ac:dyDescent="0.15">
      <c r="A113" s="39" t="s">
        <v>282</v>
      </c>
      <c r="B113" s="26">
        <f>SUMIF(case!$N:$N,$A113,case!B:B)</f>
        <v>-14699595</v>
      </c>
      <c r="C113" s="26">
        <f>SUMIF(case!$N:$N,$A113,case!C:C)</f>
        <v>-14953922</v>
      </c>
      <c r="D113" s="26">
        <f>SUMIF(case!$N:$N,$A113,case!D:D)</f>
        <v>-13825249</v>
      </c>
      <c r="E113" s="26">
        <f>SUMIF(case!$N:$N,$A113,case!E:E)</f>
        <v>-10511247</v>
      </c>
      <c r="F113" s="26">
        <f>SUMIF(case!$N:$N,$A113,case!F:F)</f>
        <v>-9060210</v>
      </c>
      <c r="G113" s="26">
        <f>SUMIF(case!$N:$N,$A113,case!G:G)</f>
        <v>-9472095</v>
      </c>
      <c r="H113" s="26">
        <f>SUMIF(case!$N:$N,$A113,case!H:H)</f>
        <v>-7620373</v>
      </c>
      <c r="I113" s="26">
        <f>SUMIF(case!$N:$N,$A113,case!I:I)</f>
        <v>-6509298</v>
      </c>
      <c r="J113" s="26">
        <f>SUMIF(case!$N:$N,$A113,case!J:J)</f>
        <v>0</v>
      </c>
      <c r="K113" s="26">
        <f>SUMIF(case!$N:$N,$A113,case!K:K)</f>
        <v>0</v>
      </c>
    </row>
    <row r="114" spans="1:11" ht="15.75" customHeight="1" x14ac:dyDescent="0.15">
      <c r="A114" s="39" t="s">
        <v>283</v>
      </c>
      <c r="B114" s="26">
        <f>SUMIF(case!$N:$N,$A114,case!B:B)</f>
        <v>-2422226</v>
      </c>
      <c r="C114" s="26">
        <f>SUMIF(case!$N:$N,$A114,case!C:C)</f>
        <v>-2512120</v>
      </c>
      <c r="D114" s="26">
        <f>SUMIF(case!$N:$N,$A114,case!D:D)</f>
        <v>-2928006</v>
      </c>
      <c r="E114" s="26">
        <f>SUMIF(case!$N:$N,$A114,case!E:E)</f>
        <v>-2010409</v>
      </c>
      <c r="F114" s="26">
        <f>SUMIF(case!$N:$N,$A114,case!F:F)</f>
        <v>-1917407</v>
      </c>
      <c r="G114" s="26">
        <f>SUMIF(case!$N:$N,$A114,case!G:G)</f>
        <v>-1966664</v>
      </c>
      <c r="H114" s="26">
        <f>SUMIF(case!$N:$N,$A114,case!H:H)</f>
        <v>-1696231</v>
      </c>
      <c r="I114" s="26">
        <f>SUMIF(case!$N:$N,$A114,case!I:I)</f>
        <v>-1342031</v>
      </c>
      <c r="J114" s="26">
        <f>SUMIF(case!$N:$N,$A114,case!J:J)</f>
        <v>0</v>
      </c>
      <c r="K114" s="26">
        <f>SUMIF(case!$N:$N,$A114,case!K:K)</f>
        <v>0</v>
      </c>
    </row>
    <row r="115" spans="1:11" ht="15.75" customHeight="1" x14ac:dyDescent="0.15">
      <c r="A115" s="39" t="s">
        <v>284</v>
      </c>
      <c r="B115" s="26">
        <f>SUMIF(case!$N:$N,$A115,case!B:B)</f>
        <v>-117380</v>
      </c>
      <c r="C115" s="26">
        <f>SUMIF(case!$N:$N,$A115,case!C:C)</f>
        <v>-75105</v>
      </c>
      <c r="D115" s="26">
        <f>SUMIF(case!$N:$N,$A115,case!D:D)</f>
        <v>-85474</v>
      </c>
      <c r="E115" s="26">
        <f>SUMIF(case!$N:$N,$A115,case!E:E)</f>
        <v>-78590</v>
      </c>
      <c r="F115" s="26">
        <f>SUMIF(case!$N:$N,$A115,case!F:F)</f>
        <v>-73502</v>
      </c>
      <c r="G115" s="26">
        <f>SUMIF(case!$N:$N,$A115,case!G:G)</f>
        <v>-66140</v>
      </c>
      <c r="H115" s="26">
        <f>SUMIF(case!$N:$N,$A115,case!H:H)</f>
        <v>-53268</v>
      </c>
      <c r="I115" s="26">
        <f>SUMIF(case!$N:$N,$A115,case!I:I)</f>
        <v>-64128</v>
      </c>
      <c r="J115" s="26">
        <f>SUMIF(case!$N:$N,$A115,case!J:J)</f>
        <v>0</v>
      </c>
      <c r="K115" s="26">
        <f>SUMIF(case!$N:$N,$A115,case!K:K)</f>
        <v>0</v>
      </c>
    </row>
    <row r="116" spans="1:11" ht="15.75" customHeight="1" x14ac:dyDescent="0.15">
      <c r="A116" s="39" t="s">
        <v>354</v>
      </c>
      <c r="B116" s="26">
        <f t="shared" ref="B116:K116" si="36">SUM(B113:B115)</f>
        <v>-17239201</v>
      </c>
      <c r="C116" s="26">
        <f t="shared" si="36"/>
        <v>-17541147</v>
      </c>
      <c r="D116" s="26">
        <f t="shared" si="36"/>
        <v>-16838729</v>
      </c>
      <c r="E116" s="26">
        <f t="shared" si="36"/>
        <v>-12600246</v>
      </c>
      <c r="F116" s="26">
        <f t="shared" si="36"/>
        <v>-11051119</v>
      </c>
      <c r="G116" s="26">
        <f t="shared" si="36"/>
        <v>-11504899</v>
      </c>
      <c r="H116" s="26">
        <f t="shared" si="36"/>
        <v>-9369872</v>
      </c>
      <c r="I116" s="26">
        <f t="shared" si="36"/>
        <v>-7915457</v>
      </c>
      <c r="J116" s="26">
        <f t="shared" si="36"/>
        <v>0</v>
      </c>
      <c r="K116" s="26">
        <f t="shared" si="36"/>
        <v>0</v>
      </c>
    </row>
    <row r="117" spans="1:11" ht="15.75" customHeight="1" x14ac:dyDescent="0.15">
      <c r="A117" s="39" t="s">
        <v>288</v>
      </c>
      <c r="B117" s="26">
        <f>SUMIF(case!$N:$N,$A117,case!B:B)</f>
        <v>141939</v>
      </c>
      <c r="C117" s="26">
        <f>SUMIF(case!$N:$N,$A117,case!C:C)</f>
        <v>-135450</v>
      </c>
      <c r="D117" s="26">
        <f>SUMIF(case!$N:$N,$A117,case!D:D)</f>
        <v>162139</v>
      </c>
      <c r="E117" s="26">
        <f>SUMIF(case!$N:$N,$A117,case!E:E)</f>
        <v>79592</v>
      </c>
      <c r="F117" s="26">
        <f>SUMIF(case!$N:$N,$A117,case!F:F)</f>
        <v>-76252</v>
      </c>
      <c r="G117" s="26">
        <f>SUMIF(case!$N:$N,$A117,case!G:G)</f>
        <v>94059</v>
      </c>
      <c r="H117" s="26">
        <f>SUMIF(case!$N:$N,$A117,case!H:H)</f>
        <v>-35037</v>
      </c>
      <c r="I117" s="26">
        <f>SUMIF(case!$N:$N,$A117,case!I:I)</f>
        <v>61620</v>
      </c>
      <c r="J117" s="26">
        <f>SUMIF(case!$N:$N,$A117,case!J:J)</f>
        <v>0</v>
      </c>
      <c r="K117" s="26">
        <f>SUMIF(case!$N:$N,$A117,case!K:K)</f>
        <v>0</v>
      </c>
    </row>
    <row r="118" spans="1:11" ht="15.75" customHeight="1" x14ac:dyDescent="0.15">
      <c r="A118" s="39" t="s">
        <v>278</v>
      </c>
      <c r="B118" s="26">
        <f>SUMIF(case!$N:$N,$A118,case!B:B)</f>
        <v>-573471</v>
      </c>
      <c r="C118" s="26">
        <f>SUMIF(case!$N:$N,$A118,case!C:C)</f>
        <v>-74468</v>
      </c>
      <c r="D118" s="26">
        <f>SUMIF(case!$N:$N,$A118,case!D:D)</f>
        <v>2163754</v>
      </c>
      <c r="E118" s="26">
        <f>SUMIF(case!$N:$N,$A118,case!E:E)</f>
        <v>288102</v>
      </c>
      <c r="F118" s="26">
        <f>SUMIF(case!$N:$N,$A118,case!F:F)</f>
        <v>-377792</v>
      </c>
      <c r="G118" s="26">
        <f>SUMIF(case!$N:$N,$A118,case!G:G)</f>
        <v>494422</v>
      </c>
      <c r="H118" s="26">
        <f>SUMIF(case!$N:$N,$A118,case!H:H)</f>
        <v>386643</v>
      </c>
      <c r="I118" s="26">
        <f>SUMIF(case!$N:$N,$A118,case!I:I)</f>
        <v>-75281</v>
      </c>
      <c r="J118" s="26">
        <f>SUMIF(case!$N:$N,$A118,case!J:J)</f>
        <v>0</v>
      </c>
      <c r="K118" s="26">
        <f>SUMIF(case!$N:$N,$A118,case!K:K)</f>
        <v>0</v>
      </c>
    </row>
    <row r="119" spans="1:11" ht="15.75" customHeight="1" x14ac:dyDescent="0.15">
      <c r="A119" s="39" t="s">
        <v>279</v>
      </c>
      <c r="B119" s="26">
        <f>SUMIF(case!$N:$N,$A119,case!B:B)</f>
        <v>0</v>
      </c>
      <c r="C119" s="26">
        <f>SUMIF(case!$N:$N,$A119,case!C:C)</f>
        <v>0</v>
      </c>
      <c r="D119" s="26">
        <f>SUMIF(case!$N:$N,$A119,case!D:D)</f>
        <v>0</v>
      </c>
      <c r="E119" s="26">
        <f>SUMIF(case!$N:$N,$A119,case!E:E)</f>
        <v>0</v>
      </c>
      <c r="F119" s="26">
        <f>SUMIF(case!$N:$N,$A119,case!F:F)</f>
        <v>0</v>
      </c>
      <c r="G119" s="26">
        <f>SUMIF(case!$N:$N,$A119,case!G:G)</f>
        <v>0</v>
      </c>
      <c r="H119" s="26">
        <f>SUMIF(case!$N:$N,$A119,case!H:H)</f>
        <v>0</v>
      </c>
      <c r="I119" s="26">
        <f>SUMIF(case!$N:$N,$A119,case!I:I)</f>
        <v>0</v>
      </c>
      <c r="J119" s="26">
        <f>SUMIF(case!$N:$N,$A119,case!J:J)</f>
        <v>0</v>
      </c>
      <c r="K119" s="26">
        <f>SUMIF(case!$N:$N,$A119,case!K:K)</f>
        <v>0</v>
      </c>
    </row>
    <row r="120" spans="1:11" ht="15.75" customHeight="1" x14ac:dyDescent="0.15">
      <c r="A120" s="39" t="s">
        <v>355</v>
      </c>
      <c r="B120" s="26">
        <f t="shared" ref="B120:K120" si="37">B116+B117+B118+B119</f>
        <v>-17670733</v>
      </c>
      <c r="C120" s="26">
        <f t="shared" si="37"/>
        <v>-17751065</v>
      </c>
      <c r="D120" s="26">
        <f t="shared" si="37"/>
        <v>-14512836</v>
      </c>
      <c r="E120" s="26">
        <f t="shared" si="37"/>
        <v>-12232552</v>
      </c>
      <c r="F120" s="26">
        <f t="shared" si="37"/>
        <v>-11505163</v>
      </c>
      <c r="G120" s="26">
        <f t="shared" si="37"/>
        <v>-10916418</v>
      </c>
      <c r="H120" s="26">
        <f t="shared" si="37"/>
        <v>-9018266</v>
      </c>
      <c r="I120" s="26">
        <f t="shared" si="37"/>
        <v>-7929118</v>
      </c>
      <c r="J120" s="26">
        <f t="shared" si="37"/>
        <v>0</v>
      </c>
      <c r="K120" s="26">
        <f t="shared" si="37"/>
        <v>0</v>
      </c>
    </row>
    <row r="121" spans="1:11" ht="15.75" customHeight="1" x14ac:dyDescent="0.15">
      <c r="A121" s="39" t="s">
        <v>356</v>
      </c>
      <c r="B121" s="26">
        <f t="shared" ref="B121:K121" si="38">B111+B120</f>
        <v>3980262</v>
      </c>
      <c r="C121" s="26">
        <f t="shared" si="38"/>
        <v>3391326</v>
      </c>
      <c r="D121" s="26">
        <f t="shared" si="38"/>
        <v>3308453</v>
      </c>
      <c r="E121" s="26">
        <f t="shared" si="38"/>
        <v>3405806</v>
      </c>
      <c r="F121" s="26">
        <f t="shared" si="38"/>
        <v>2831716</v>
      </c>
      <c r="G121" s="26">
        <f t="shared" si="38"/>
        <v>2633734</v>
      </c>
      <c r="H121" s="26">
        <f t="shared" si="38"/>
        <v>2501168</v>
      </c>
      <c r="I121" s="26">
        <f t="shared" si="38"/>
        <v>1988223</v>
      </c>
      <c r="J121" s="26">
        <f t="shared" si="38"/>
        <v>0</v>
      </c>
      <c r="K121" s="26">
        <f t="shared" si="38"/>
        <v>0</v>
      </c>
    </row>
    <row r="122" spans="1:11" ht="15.75" customHeight="1" x14ac:dyDescent="0.15">
      <c r="A122" s="39" t="s">
        <v>285</v>
      </c>
      <c r="B122" s="26">
        <f>SUMIF(case!$N:$N,$A122,case!B:B)</f>
        <v>-1498458</v>
      </c>
      <c r="C122" s="26">
        <f>SUMIF(case!$N:$N,$A122,case!C:C)</f>
        <v>-1556067</v>
      </c>
      <c r="D122" s="26">
        <f>SUMIF(case!$N:$N,$A122,case!D:D)</f>
        <v>-1602450</v>
      </c>
      <c r="E122" s="26">
        <f>SUMIF(case!$N:$N,$A122,case!E:E)</f>
        <v>-1479224</v>
      </c>
      <c r="F122" s="26">
        <f>SUMIF(case!$N:$N,$A122,case!F:F)</f>
        <v>-1291439</v>
      </c>
      <c r="G122" s="26">
        <f>SUMIF(case!$N:$N,$A122,case!G:G)</f>
        <v>-1276116</v>
      </c>
      <c r="H122" s="26">
        <f>SUMIF(case!$N:$N,$A122,case!H:H)</f>
        <v>-1096036</v>
      </c>
      <c r="I122" s="26">
        <f>SUMIF(case!$N:$N,$A122,case!I:I)</f>
        <v>-863572</v>
      </c>
      <c r="J122" s="26">
        <f>SUMIF(case!$N:$N,$A122,case!J:J)</f>
        <v>0</v>
      </c>
      <c r="K122" s="26">
        <f>SUMIF(case!$N:$N,$A122,case!K:K)</f>
        <v>0</v>
      </c>
    </row>
    <row r="123" spans="1:11" ht="15.75" customHeight="1" x14ac:dyDescent="0.15">
      <c r="A123" s="39" t="s">
        <v>357</v>
      </c>
      <c r="B123" s="26">
        <f t="shared" ref="B123:K123" si="39">B121+B122</f>
        <v>2481804</v>
      </c>
      <c r="C123" s="26">
        <f t="shared" si="39"/>
        <v>1835259</v>
      </c>
      <c r="D123" s="26">
        <f t="shared" si="39"/>
        <v>1706003</v>
      </c>
      <c r="E123" s="26">
        <f t="shared" si="39"/>
        <v>1926582</v>
      </c>
      <c r="F123" s="26">
        <f t="shared" si="39"/>
        <v>1540277</v>
      </c>
      <c r="G123" s="26">
        <f t="shared" si="39"/>
        <v>1357618</v>
      </c>
      <c r="H123" s="26">
        <f t="shared" si="39"/>
        <v>1405132</v>
      </c>
      <c r="I123" s="26">
        <f t="shared" si="39"/>
        <v>1124651</v>
      </c>
      <c r="J123" s="26">
        <f t="shared" si="39"/>
        <v>0</v>
      </c>
      <c r="K123" s="26">
        <f t="shared" si="39"/>
        <v>0</v>
      </c>
    </row>
    <row r="124" spans="1:11" ht="15.75" customHeight="1" x14ac:dyDescent="0.15">
      <c r="A124" s="39" t="s">
        <v>286</v>
      </c>
      <c r="B124" s="26">
        <f>SUMIF(case!$N:$N,$A124,case!B:B)</f>
        <v>-916802</v>
      </c>
      <c r="C124" s="26">
        <f>SUMIF(case!$N:$N,$A124,case!C:C)</f>
        <v>-899828</v>
      </c>
      <c r="D124" s="26">
        <f>SUMIF(case!$N:$N,$A124,case!D:D)</f>
        <v>-856051</v>
      </c>
      <c r="E124" s="26">
        <f>SUMIF(case!$N:$N,$A124,case!E:E)</f>
        <v>-470290</v>
      </c>
      <c r="F124" s="26">
        <f>SUMIF(case!$N:$N,$A124,case!F:F)</f>
        <v>-171279</v>
      </c>
      <c r="G124" s="26">
        <f>SUMIF(case!$N:$N,$A124,case!G:G)</f>
        <v>-180598</v>
      </c>
      <c r="H124" s="26">
        <f>SUMIF(case!$N:$N,$A124,case!H:H)</f>
        <v>-184962</v>
      </c>
      <c r="I124" s="26">
        <f>SUMIF(case!$N:$N,$A124,case!I:I)</f>
        <v>-215317</v>
      </c>
      <c r="J124" s="26">
        <f>SUMIF(case!$N:$N,$A124,case!J:J)</f>
        <v>0</v>
      </c>
      <c r="K124" s="26">
        <f>SUMIF(case!$N:$N,$A124,case!K:K)</f>
        <v>0</v>
      </c>
    </row>
    <row r="125" spans="1:11" ht="15.75" customHeight="1" x14ac:dyDescent="0.15">
      <c r="A125" s="39" t="s">
        <v>358</v>
      </c>
      <c r="B125" s="26">
        <f t="shared" ref="B125:K125" si="40">B123+B124</f>
        <v>1565002</v>
      </c>
      <c r="C125" s="26">
        <f t="shared" si="40"/>
        <v>935431</v>
      </c>
      <c r="D125" s="26">
        <f t="shared" si="40"/>
        <v>849952</v>
      </c>
      <c r="E125" s="26">
        <f t="shared" si="40"/>
        <v>1456292</v>
      </c>
      <c r="F125" s="26">
        <f t="shared" si="40"/>
        <v>1368998</v>
      </c>
      <c r="G125" s="26">
        <f t="shared" si="40"/>
        <v>1177020</v>
      </c>
      <c r="H125" s="26">
        <f t="shared" si="40"/>
        <v>1220170</v>
      </c>
      <c r="I125" s="26">
        <f t="shared" si="40"/>
        <v>909334</v>
      </c>
      <c r="J125" s="26">
        <f t="shared" si="40"/>
        <v>0</v>
      </c>
      <c r="K125" s="26">
        <f t="shared" si="40"/>
        <v>0</v>
      </c>
    </row>
    <row r="126" spans="1:11" ht="15.75" customHeight="1" x14ac:dyDescent="0.15">
      <c r="A126" s="39" t="s">
        <v>280</v>
      </c>
      <c r="B126" s="26">
        <f>SUMIF(case!$N:$N,$A126,case!B:B)</f>
        <v>0</v>
      </c>
      <c r="C126" s="26">
        <f>SUMIF(case!$N:$N,$A126,case!C:C)</f>
        <v>0</v>
      </c>
      <c r="D126" s="26">
        <f>SUMIF(case!$N:$N,$A126,case!D:D)</f>
        <v>0</v>
      </c>
      <c r="E126" s="26">
        <f>SUMIF(case!$N:$N,$A126,case!E:E)</f>
        <v>0</v>
      </c>
      <c r="F126" s="26">
        <f>SUMIF(case!$N:$N,$A126,case!F:F)</f>
        <v>0</v>
      </c>
      <c r="G126" s="26">
        <f>SUMIF(case!$N:$N,$A126,case!G:G)</f>
        <v>0</v>
      </c>
      <c r="H126" s="26">
        <f>SUMIF(case!$N:$N,$A126,case!H:H)</f>
        <v>0</v>
      </c>
      <c r="I126" s="26">
        <f>SUMIF(case!$N:$N,$A126,case!I:I)</f>
        <v>0</v>
      </c>
      <c r="J126" s="26">
        <f>SUMIF(case!$N:$N,$A126,case!J:J)</f>
        <v>0</v>
      </c>
      <c r="K126" s="26">
        <f>SUMIF(case!$N:$N,$A126,case!K:K)</f>
        <v>0</v>
      </c>
    </row>
    <row r="127" spans="1:11" ht="15.75" customHeight="1" x14ac:dyDescent="0.15">
      <c r="A127" s="39" t="s">
        <v>281</v>
      </c>
      <c r="B127" s="26">
        <f>SUMIF(case!$N:$N,$A127,case!B:B)</f>
        <v>97559</v>
      </c>
      <c r="C127" s="26">
        <f>SUMIF(case!$N:$N,$A127,case!C:C)</f>
        <v>265833</v>
      </c>
      <c r="D127" s="26">
        <f>SUMIF(case!$N:$N,$A127,case!D:D)</f>
        <v>189996</v>
      </c>
      <c r="E127" s="26">
        <f>SUMIF(case!$N:$N,$A127,case!E:E)</f>
        <v>17223</v>
      </c>
      <c r="F127" s="26">
        <f>SUMIF(case!$N:$N,$A127,case!F:F)</f>
        <v>35171</v>
      </c>
      <c r="G127" s="26">
        <f>SUMIF(case!$N:$N,$A127,case!G:G)</f>
        <v>52406</v>
      </c>
      <c r="H127" s="26">
        <f>SUMIF(case!$N:$N,$A127,case!H:H)</f>
        <v>21783</v>
      </c>
      <c r="I127" s="26">
        <f>SUMIF(case!$N:$N,$A127,case!I:I)</f>
        <v>2994</v>
      </c>
      <c r="J127" s="26">
        <f>SUMIF(case!$N:$N,$A127,case!J:J)</f>
        <v>0</v>
      </c>
      <c r="K127" s="26">
        <f>SUMIF(case!$N:$N,$A127,case!K:K)</f>
        <v>0</v>
      </c>
    </row>
    <row r="128" spans="1:11" ht="15.75" customHeight="1" x14ac:dyDescent="0.15">
      <c r="A128" s="39" t="s">
        <v>359</v>
      </c>
      <c r="B128" s="26">
        <f>SUMIF(case!$N:$N,$A128,case!B:B)</f>
        <v>0</v>
      </c>
      <c r="C128" s="26">
        <f>SUMIF(case!$N:$N,$A128,case!C:C)</f>
        <v>0</v>
      </c>
      <c r="D128" s="26">
        <f>SUMIF(case!$N:$N,$A128,case!D:D)</f>
        <v>0</v>
      </c>
      <c r="E128" s="26">
        <f>SUMIF(case!$N:$N,$A128,case!E:E)</f>
        <v>0</v>
      </c>
      <c r="F128" s="26">
        <f>SUMIF(case!$N:$N,$A128,case!F:F)</f>
        <v>0</v>
      </c>
      <c r="G128" s="26">
        <f>SUMIF(case!$N:$N,$A128,case!G:G)</f>
        <v>0</v>
      </c>
      <c r="H128" s="26">
        <f>SUMIF(case!$N:$N,$A128,case!H:H)</f>
        <v>0</v>
      </c>
      <c r="I128" s="26">
        <f>SUMIF(case!$N:$N,$A128,case!I:I)</f>
        <v>0</v>
      </c>
      <c r="J128" s="26">
        <f>SUMIF(case!$N:$N,$A128,case!J:J)</f>
        <v>0</v>
      </c>
      <c r="K128" s="26">
        <f>SUMIF(case!$N:$N,$A128,case!K:K)</f>
        <v>0</v>
      </c>
    </row>
    <row r="129" spans="1:11" ht="15.75" customHeight="1" x14ac:dyDescent="0.15">
      <c r="A129" s="39" t="s">
        <v>287</v>
      </c>
      <c r="B129" s="26">
        <f>SUMIF(case!$N:$N,$A129,case!B:B)</f>
        <v>-21656</v>
      </c>
      <c r="C129" s="26">
        <f>SUMIF(case!$N:$N,$A129,case!C:C)</f>
        <v>-19768</v>
      </c>
      <c r="D129" s="26">
        <f>SUMIF(case!$N:$N,$A129,case!D:D)</f>
        <v>-15051</v>
      </c>
      <c r="E129" s="26">
        <f>SUMIF(case!$N:$N,$A129,case!E:E)</f>
        <v>-16091</v>
      </c>
      <c r="F129" s="26">
        <f>SUMIF(case!$N:$N,$A129,case!F:F)</f>
        <v>-13944</v>
      </c>
      <c r="G129" s="26">
        <f>SUMIF(case!$N:$N,$A129,case!G:G)</f>
        <v>-13280</v>
      </c>
      <c r="H129" s="26">
        <f>SUMIF(case!$N:$N,$A129,case!H:H)</f>
        <v>-11961</v>
      </c>
      <c r="I129" s="26">
        <f>SUMIF(case!$N:$N,$A129,case!I:I)</f>
        <v>-8187</v>
      </c>
      <c r="J129" s="26">
        <f>SUMIF(case!$N:$N,$A129,case!J:J)</f>
        <v>0</v>
      </c>
      <c r="K129" s="26">
        <f>SUMIF(case!$N:$N,$A129,case!K:K)</f>
        <v>0</v>
      </c>
    </row>
    <row r="130" spans="1:11" ht="15.75" customHeight="1" x14ac:dyDescent="0.15">
      <c r="A130" s="39" t="s">
        <v>289</v>
      </c>
      <c r="B130" s="26">
        <f>SUMIF(case!$N:$N,$A130,case!B:B)</f>
        <v>-52056</v>
      </c>
      <c r="C130" s="26">
        <f>SUMIF(case!$N:$N,$A130,case!C:C)</f>
        <v>-64169</v>
      </c>
      <c r="D130" s="26">
        <f>SUMIF(case!$N:$N,$A130,case!D:D)</f>
        <v>-60922</v>
      </c>
      <c r="E130" s="26">
        <f>SUMIF(case!$N:$N,$A130,case!E:E)</f>
        <v>-46167</v>
      </c>
      <c r="F130" s="26">
        <f>SUMIF(case!$N:$N,$A130,case!F:F)</f>
        <v>-38499</v>
      </c>
      <c r="G130" s="26">
        <f>SUMIF(case!$N:$N,$A130,case!G:G)</f>
        <v>-146519</v>
      </c>
      <c r="H130" s="26">
        <f>SUMIF(case!$N:$N,$A130,case!H:H)</f>
        <v>-177042</v>
      </c>
      <c r="I130" s="26">
        <f>SUMIF(case!$N:$N,$A130,case!I:I)</f>
        <v>-268294</v>
      </c>
      <c r="J130" s="26">
        <f>SUMIF(case!$N:$N,$A130,case!J:J)</f>
        <v>0</v>
      </c>
      <c r="K130" s="26">
        <f>SUMIF(case!$N:$N,$A130,case!K:K)</f>
        <v>0</v>
      </c>
    </row>
    <row r="131" spans="1:11" ht="15.75" customHeight="1" x14ac:dyDescent="0.15">
      <c r="A131" s="38" t="s">
        <v>360</v>
      </c>
      <c r="B131" s="26">
        <f t="shared" ref="B131:K131" si="41">B125+B126+B127+B130+B129+B128</f>
        <v>1588849</v>
      </c>
      <c r="C131" s="26">
        <f t="shared" si="41"/>
        <v>1117327</v>
      </c>
      <c r="D131" s="26">
        <f t="shared" si="41"/>
        <v>963975</v>
      </c>
      <c r="E131" s="26">
        <f t="shared" si="41"/>
        <v>1411257</v>
      </c>
      <c r="F131" s="26">
        <f t="shared" si="41"/>
        <v>1351726</v>
      </c>
      <c r="G131" s="26">
        <f t="shared" si="41"/>
        <v>1069627</v>
      </c>
      <c r="H131" s="26">
        <f t="shared" si="41"/>
        <v>1052950</v>
      </c>
      <c r="I131" s="26">
        <f t="shared" si="41"/>
        <v>635847</v>
      </c>
      <c r="J131" s="26">
        <f t="shared" si="41"/>
        <v>0</v>
      </c>
      <c r="K131" s="26">
        <f t="shared" si="41"/>
        <v>0</v>
      </c>
    </row>
    <row r="132" spans="1:11" ht="15.75" customHeight="1" x14ac:dyDescent="0.15">
      <c r="A132" s="39"/>
    </row>
    <row r="133" spans="1:11" ht="15.75" customHeight="1" x14ac:dyDescent="0.15">
      <c r="A133" s="39" t="s">
        <v>361</v>
      </c>
      <c r="B133" s="26">
        <f>case!B201</f>
        <v>1588849</v>
      </c>
      <c r="C133" s="26">
        <f>case!C201</f>
        <v>1117327</v>
      </c>
      <c r="D133" s="26">
        <f>case!D201</f>
        <v>963975</v>
      </c>
      <c r="E133" s="26">
        <f>case!E201</f>
        <v>1411257</v>
      </c>
      <c r="F133" s="26">
        <f>case!F201</f>
        <v>1351726</v>
      </c>
      <c r="G133" s="26">
        <f>case!G201</f>
        <v>1069627</v>
      </c>
      <c r="H133" s="26">
        <f>case!H201</f>
        <v>1052950</v>
      </c>
      <c r="I133" s="26">
        <f>case!I201</f>
        <v>635847</v>
      </c>
      <c r="J133" s="26">
        <f>case!J201</f>
        <v>0</v>
      </c>
      <c r="K133" s="26">
        <f>case!K201</f>
        <v>0</v>
      </c>
    </row>
    <row r="134" spans="1:11" ht="15.75" customHeight="1" x14ac:dyDescent="0.15">
      <c r="A134" s="39" t="s">
        <v>362</v>
      </c>
      <c r="B134" s="26">
        <f t="shared" ref="B134:K134" si="42">B131-B133</f>
        <v>0</v>
      </c>
      <c r="C134" s="26">
        <f t="shared" si="42"/>
        <v>0</v>
      </c>
      <c r="D134" s="26">
        <f t="shared" si="42"/>
        <v>0</v>
      </c>
      <c r="E134" s="26">
        <f t="shared" si="42"/>
        <v>0</v>
      </c>
      <c r="F134" s="26">
        <f t="shared" si="42"/>
        <v>0</v>
      </c>
      <c r="G134" s="26">
        <f t="shared" si="42"/>
        <v>0</v>
      </c>
      <c r="H134" s="26">
        <f t="shared" si="42"/>
        <v>0</v>
      </c>
      <c r="I134" s="26">
        <f t="shared" si="42"/>
        <v>0</v>
      </c>
      <c r="J134" s="26">
        <f t="shared" si="42"/>
        <v>0</v>
      </c>
      <c r="K134" s="26">
        <f t="shared" si="42"/>
        <v>0</v>
      </c>
    </row>
    <row r="135" spans="1:11" ht="15.75" customHeight="1" x14ac:dyDescent="0.15">
      <c r="A135" s="39"/>
    </row>
    <row r="136" spans="1:11" ht="15.75" customHeight="1" x14ac:dyDescent="0.15">
      <c r="A136" s="38" t="s">
        <v>363</v>
      </c>
    </row>
    <row r="137" spans="1:11" ht="15.75" customHeight="1" x14ac:dyDescent="0.15">
      <c r="A137" s="39" t="s">
        <v>291</v>
      </c>
      <c r="B137" s="26">
        <f>SUMIF(case!$N:$N,$A137,case!B:B)</f>
        <v>1756</v>
      </c>
      <c r="C137" s="26">
        <f>SUMIF(case!$N:$N,$A137,case!C:C)</f>
        <v>2087</v>
      </c>
      <c r="D137" s="26">
        <f>SUMIF(case!$N:$N,$A137,case!D:D)</f>
        <v>208</v>
      </c>
      <c r="E137" s="26">
        <f>SUMIF(case!$N:$N,$A137,case!E:E)</f>
        <v>391</v>
      </c>
      <c r="F137" s="26">
        <f>SUMIF(case!$N:$N,$A137,case!F:F)</f>
        <v>205</v>
      </c>
      <c r="G137" s="26">
        <f>SUMIF(case!$N:$N,$A137,case!G:G)</f>
        <v>4131</v>
      </c>
      <c r="H137" s="26">
        <f>SUMIF(case!$N:$N,$A137,case!H:H)</f>
        <v>185</v>
      </c>
      <c r="I137" s="26">
        <f>SUMIF(case!$N:$N,$A137,case!I:I)</f>
        <v>99</v>
      </c>
      <c r="J137" s="26">
        <f>SUMIF(case!$N:$N,$A137,case!J:J)</f>
        <v>0</v>
      </c>
      <c r="K137" s="26">
        <f>SUMIF(case!$N:$N,$A137,case!K:K)</f>
        <v>0</v>
      </c>
    </row>
    <row r="138" spans="1:11" ht="15.75" customHeight="1" x14ac:dyDescent="0.15">
      <c r="A138" s="39" t="s">
        <v>292</v>
      </c>
      <c r="B138" s="26">
        <f>SUMIF(case!$N:$N,$A138,case!B:B)</f>
        <v>-503404</v>
      </c>
      <c r="C138" s="26">
        <f>SUMIF(case!$N:$N,$A138,case!C:C)</f>
        <v>-528343</v>
      </c>
      <c r="D138" s="26">
        <f>SUMIF(case!$N:$N,$A138,case!D:D)</f>
        <v>-253674</v>
      </c>
      <c r="E138" s="26">
        <f>SUMIF(case!$N:$N,$A138,case!E:E)</f>
        <v>-207408</v>
      </c>
      <c r="F138" s="26">
        <f>SUMIF(case!$N:$N,$A138,case!F:F)</f>
        <v>-159160</v>
      </c>
      <c r="G138" s="26">
        <f>SUMIF(case!$N:$N,$A138,case!G:G)</f>
        <v>-102930</v>
      </c>
      <c r="H138" s="26">
        <f>SUMIF(case!$N:$N,$A138,case!H:H)</f>
        <v>-102001</v>
      </c>
      <c r="I138" s="26">
        <f>SUMIF(case!$N:$N,$A138,case!I:I)</f>
        <v>-102507</v>
      </c>
      <c r="J138" s="26">
        <f>SUMIF(case!$N:$N,$A138,case!J:J)</f>
        <v>0</v>
      </c>
      <c r="K138" s="26">
        <f>SUMIF(case!$N:$N,$A138,case!K:K)</f>
        <v>0</v>
      </c>
    </row>
    <row r="139" spans="1:11" ht="15.75" customHeight="1" x14ac:dyDescent="0.15">
      <c r="A139" s="39" t="s">
        <v>293</v>
      </c>
      <c r="B139" s="26">
        <f>SUMIF(case!$N:$N,$A139,case!B:B)</f>
        <v>0</v>
      </c>
      <c r="C139" s="26">
        <f>SUMIF(case!$N:$N,$A139,case!C:C)</f>
        <v>0</v>
      </c>
      <c r="D139" s="26">
        <f>SUMIF(case!$N:$N,$A139,case!D:D)</f>
        <v>0</v>
      </c>
      <c r="E139" s="26">
        <f>SUMIF(case!$N:$N,$A139,case!E:E)</f>
        <v>0</v>
      </c>
      <c r="F139" s="26">
        <f>SUMIF(case!$N:$N,$A139,case!F:F)</f>
        <v>0</v>
      </c>
      <c r="G139" s="26">
        <f>SUMIF(case!$N:$N,$A139,case!G:G)</f>
        <v>0</v>
      </c>
      <c r="H139" s="26">
        <f>SUMIF(case!$N:$N,$A139,case!H:H)</f>
        <v>0</v>
      </c>
      <c r="I139" s="26">
        <f>SUMIF(case!$N:$N,$A139,case!I:I)</f>
        <v>0</v>
      </c>
      <c r="J139" s="26">
        <f>SUMIF(case!$N:$N,$A139,case!J:J)</f>
        <v>0</v>
      </c>
      <c r="K139" s="26">
        <f>SUMIF(case!$N:$N,$A139,case!K:K)</f>
        <v>0</v>
      </c>
    </row>
    <row r="140" spans="1:11" ht="15.75" customHeight="1" x14ac:dyDescent="0.15">
      <c r="A140" s="39" t="s">
        <v>364</v>
      </c>
      <c r="B140" s="26">
        <f t="shared" ref="B140:K140" si="43">SUM(B137:B139)</f>
        <v>-501648</v>
      </c>
      <c r="C140" s="26">
        <f t="shared" si="43"/>
        <v>-526256</v>
      </c>
      <c r="D140" s="26">
        <f t="shared" si="43"/>
        <v>-253466</v>
      </c>
      <c r="E140" s="26">
        <f t="shared" si="43"/>
        <v>-207017</v>
      </c>
      <c r="F140" s="26">
        <f t="shared" si="43"/>
        <v>-158955</v>
      </c>
      <c r="G140" s="26">
        <f t="shared" si="43"/>
        <v>-98799</v>
      </c>
      <c r="H140" s="26">
        <f t="shared" si="43"/>
        <v>-101816</v>
      </c>
      <c r="I140" s="26">
        <f t="shared" si="43"/>
        <v>-102408</v>
      </c>
      <c r="J140" s="26">
        <f t="shared" si="43"/>
        <v>0</v>
      </c>
      <c r="K140" s="26">
        <f t="shared" si="43"/>
        <v>0</v>
      </c>
    </row>
    <row r="141" spans="1:11" ht="15.75" customHeight="1" x14ac:dyDescent="0.15">
      <c r="A141" s="38" t="s">
        <v>365</v>
      </c>
      <c r="B141" s="26">
        <f t="shared" ref="B141:K141" si="44">B131+B140</f>
        <v>1087201</v>
      </c>
      <c r="C141" s="26">
        <f t="shared" si="44"/>
        <v>591071</v>
      </c>
      <c r="D141" s="26">
        <f t="shared" si="44"/>
        <v>710509</v>
      </c>
      <c r="E141" s="26">
        <f t="shared" si="44"/>
        <v>1204240</v>
      </c>
      <c r="F141" s="26">
        <f t="shared" si="44"/>
        <v>1192771</v>
      </c>
      <c r="G141" s="26">
        <f t="shared" si="44"/>
        <v>970828</v>
      </c>
      <c r="H141" s="26">
        <f t="shared" si="44"/>
        <v>951134</v>
      </c>
      <c r="I141" s="26">
        <f t="shared" si="44"/>
        <v>533439</v>
      </c>
      <c r="J141" s="26">
        <f t="shared" si="44"/>
        <v>0</v>
      </c>
      <c r="K141" s="26">
        <f t="shared" si="44"/>
        <v>0</v>
      </c>
    </row>
    <row r="142" spans="1:11" ht="15.75" customHeight="1" x14ac:dyDescent="0.15">
      <c r="A142" s="39"/>
    </row>
    <row r="143" spans="1:11" ht="15.75" customHeight="1" x14ac:dyDescent="0.15">
      <c r="A143" s="38" t="s">
        <v>366</v>
      </c>
    </row>
    <row r="144" spans="1:11" ht="15.75" customHeight="1" x14ac:dyDescent="0.15">
      <c r="A144" s="39" t="s">
        <v>290</v>
      </c>
      <c r="B144" s="26">
        <f>SUMIF(case!$N:$N,$A144,case!B:B)</f>
        <v>0</v>
      </c>
      <c r="C144" s="26">
        <f>SUMIF(case!$N:$N,$A144,case!C:C)</f>
        <v>0</v>
      </c>
      <c r="D144" s="26">
        <f>SUMIF(case!$N:$N,$A144,case!D:D)</f>
        <v>0</v>
      </c>
      <c r="E144" s="26">
        <f>SUMIF(case!$N:$N,$A144,case!E:E)</f>
        <v>0</v>
      </c>
      <c r="F144" s="26">
        <f>SUMIF(case!$N:$N,$A144,case!F:F)</f>
        <v>0</v>
      </c>
      <c r="G144" s="26">
        <f>SUMIF(case!$N:$N,$A144,case!G:G)</f>
        <v>0</v>
      </c>
      <c r="H144" s="26">
        <f>SUMIF(case!$N:$N,$A144,case!H:H)</f>
        <v>0</v>
      </c>
      <c r="I144" s="26">
        <f>SUMIF(case!$N:$N,$A144,case!I:I)</f>
        <v>0</v>
      </c>
      <c r="J144" s="26">
        <f>SUMIF(case!$N:$N,$A144,case!J:J)</f>
        <v>0</v>
      </c>
      <c r="K144" s="26">
        <f>SUMIF(case!$N:$N,$A144,case!K:K)</f>
        <v>0</v>
      </c>
    </row>
    <row r="145" spans="1:11" ht="15.75" customHeight="1" x14ac:dyDescent="0.15">
      <c r="A145" s="39" t="s">
        <v>294</v>
      </c>
      <c r="B145" s="26">
        <f>SUMIF(case!$N:$N,$A145,case!B:B)</f>
        <v>0</v>
      </c>
      <c r="C145" s="26">
        <f>SUMIF(case!$N:$N,$A145,case!C:C)</f>
        <v>0</v>
      </c>
      <c r="D145" s="26">
        <f>SUMIF(case!$N:$N,$A145,case!D:D)</f>
        <v>0</v>
      </c>
      <c r="E145" s="26">
        <f>SUMIF(case!$N:$N,$A145,case!E:E)</f>
        <v>0</v>
      </c>
      <c r="F145" s="26">
        <f>SUMIF(case!$N:$N,$A145,case!F:F)</f>
        <v>0</v>
      </c>
      <c r="G145" s="26">
        <f>SUMIF(case!$N:$N,$A145,case!G:G)</f>
        <v>0</v>
      </c>
      <c r="H145" s="26">
        <f>SUMIF(case!$N:$N,$A145,case!H:H)</f>
        <v>0</v>
      </c>
      <c r="I145" s="26">
        <f>SUMIF(case!$N:$N,$A145,case!I:I)</f>
        <v>0</v>
      </c>
      <c r="J145" s="26">
        <f>SUMIF(case!$N:$N,$A145,case!J:J)</f>
        <v>0</v>
      </c>
      <c r="K145" s="26">
        <f>SUMIF(case!$N:$N,$A145,case!K:K)</f>
        <v>0</v>
      </c>
    </row>
    <row r="146" spans="1:11" ht="15.75" customHeight="1" x14ac:dyDescent="0.15">
      <c r="A146" s="38" t="s">
        <v>367</v>
      </c>
      <c r="B146" s="26">
        <f t="shared" ref="B146:K146" si="45">SUM(B144:B145)</f>
        <v>0</v>
      </c>
      <c r="C146" s="26">
        <f t="shared" si="45"/>
        <v>0</v>
      </c>
      <c r="D146" s="26">
        <f t="shared" si="45"/>
        <v>0</v>
      </c>
      <c r="E146" s="26">
        <f t="shared" si="45"/>
        <v>0</v>
      </c>
      <c r="F146" s="26">
        <f t="shared" si="45"/>
        <v>0</v>
      </c>
      <c r="G146" s="26">
        <f t="shared" si="45"/>
        <v>0</v>
      </c>
      <c r="H146" s="26">
        <f t="shared" si="45"/>
        <v>0</v>
      </c>
      <c r="I146" s="26">
        <f t="shared" si="45"/>
        <v>0</v>
      </c>
      <c r="J146" s="26">
        <f t="shared" si="45"/>
        <v>0</v>
      </c>
      <c r="K146" s="26">
        <f t="shared" si="45"/>
        <v>0</v>
      </c>
    </row>
    <row r="147" spans="1:11" ht="15.75" customHeight="1" x14ac:dyDescent="0.15">
      <c r="A147" s="39"/>
    </row>
    <row r="148" spans="1:11" ht="15.75" customHeight="1" x14ac:dyDescent="0.15">
      <c r="A148" s="39" t="s">
        <v>368</v>
      </c>
      <c r="B148" s="26">
        <f t="shared" ref="B148:K148" si="46">B141+B146</f>
        <v>1087201</v>
      </c>
      <c r="C148" s="26">
        <f t="shared" si="46"/>
        <v>591071</v>
      </c>
      <c r="D148" s="26">
        <f t="shared" si="46"/>
        <v>710509</v>
      </c>
      <c r="E148" s="26">
        <f t="shared" si="46"/>
        <v>1204240</v>
      </c>
      <c r="F148" s="26">
        <f t="shared" si="46"/>
        <v>1192771</v>
      </c>
      <c r="G148" s="26">
        <f t="shared" si="46"/>
        <v>970828</v>
      </c>
      <c r="H148" s="26">
        <f t="shared" si="46"/>
        <v>951134</v>
      </c>
      <c r="I148" s="26">
        <f t="shared" si="46"/>
        <v>533439</v>
      </c>
      <c r="J148" s="26">
        <f t="shared" si="46"/>
        <v>0</v>
      </c>
      <c r="K148" s="26">
        <f t="shared" si="46"/>
        <v>0</v>
      </c>
    </row>
    <row r="149" spans="1:11" ht="15.75" customHeight="1" x14ac:dyDescent="0.15">
      <c r="A149" s="39" t="s">
        <v>295</v>
      </c>
      <c r="B149" s="26">
        <f>SUMIF(case!$N:$N,$A149,case!B:B)</f>
        <v>-187468</v>
      </c>
      <c r="C149" s="26">
        <f>SUMIF(case!$N:$N,$A149,case!C:C)</f>
        <v>-24404</v>
      </c>
      <c r="D149" s="26">
        <f>SUMIF(case!$N:$N,$A149,case!D:D)</f>
        <v>-31928</v>
      </c>
      <c r="E149" s="26">
        <f>SUMIF(case!$N:$N,$A149,case!E:E)</f>
        <v>-242937</v>
      </c>
      <c r="F149" s="26">
        <f>SUMIF(case!$N:$N,$A149,case!F:F)</f>
        <v>-271489</v>
      </c>
      <c r="G149" s="26">
        <f>SUMIF(case!$N:$N,$A149,case!G:G)</f>
        <v>-219192</v>
      </c>
      <c r="H149" s="26">
        <f>SUMIF(case!$N:$N,$A149,case!H:H)</f>
        <v>-280709</v>
      </c>
      <c r="I149" s="26">
        <f>SUMIF(case!$N:$N,$A149,case!I:I)</f>
        <v>-168693</v>
      </c>
      <c r="J149" s="26">
        <f>SUMIF(case!$N:$N,$A149,case!J:J)</f>
        <v>0</v>
      </c>
      <c r="K149" s="26">
        <f>SUMIF(case!$N:$N,$A149,case!K:K)</f>
        <v>0</v>
      </c>
    </row>
    <row r="150" spans="1:11" ht="15.75" customHeight="1" x14ac:dyDescent="0.15">
      <c r="A150" s="38" t="s">
        <v>369</v>
      </c>
      <c r="B150" s="26">
        <f t="shared" ref="B150:K150" si="47">B148+B149</f>
        <v>899733</v>
      </c>
      <c r="C150" s="26">
        <f t="shared" si="47"/>
        <v>566667</v>
      </c>
      <c r="D150" s="26">
        <f t="shared" si="47"/>
        <v>678581</v>
      </c>
      <c r="E150" s="26">
        <f t="shared" si="47"/>
        <v>961303</v>
      </c>
      <c r="F150" s="26">
        <f t="shared" si="47"/>
        <v>921282</v>
      </c>
      <c r="G150" s="26">
        <f t="shared" si="47"/>
        <v>751636</v>
      </c>
      <c r="H150" s="26">
        <f t="shared" si="47"/>
        <v>670425</v>
      </c>
      <c r="I150" s="26">
        <f t="shared" si="47"/>
        <v>364746</v>
      </c>
      <c r="J150" s="26">
        <f t="shared" si="47"/>
        <v>0</v>
      </c>
      <c r="K150" s="26">
        <f t="shared" si="47"/>
        <v>0</v>
      </c>
    </row>
    <row r="151" spans="1:11" ht="15.75" customHeight="1" x14ac:dyDescent="0.15">
      <c r="A151" s="39"/>
    </row>
    <row r="152" spans="1:11" ht="15.75" customHeight="1" x14ac:dyDescent="0.15">
      <c r="A152" s="39" t="s">
        <v>370</v>
      </c>
      <c r="B152" s="26">
        <f>case!B249</f>
        <v>899733</v>
      </c>
      <c r="C152" s="26">
        <f>case!C249</f>
        <v>566667</v>
      </c>
      <c r="D152" s="26">
        <f>case!D249</f>
        <v>678581</v>
      </c>
      <c r="E152" s="26">
        <f>case!E249</f>
        <v>961303</v>
      </c>
      <c r="F152" s="26">
        <f>case!F249</f>
        <v>921282</v>
      </c>
      <c r="G152" s="26">
        <f>case!G249</f>
        <v>751636</v>
      </c>
      <c r="H152" s="26">
        <f>case!H249</f>
        <v>670425</v>
      </c>
      <c r="I152" s="26">
        <f>case!I249</f>
        <v>364746</v>
      </c>
      <c r="J152" s="26">
        <f>case!J249</f>
        <v>0</v>
      </c>
      <c r="K152" s="26">
        <f>case!K249</f>
        <v>0</v>
      </c>
    </row>
    <row r="153" spans="1:11" ht="15.75" customHeight="1" x14ac:dyDescent="0.15">
      <c r="A153" s="39" t="s">
        <v>371</v>
      </c>
      <c r="B153" s="26">
        <f t="shared" ref="B153:K153" si="48">B152-B150</f>
        <v>0</v>
      </c>
      <c r="C153" s="26">
        <f t="shared" si="48"/>
        <v>0</v>
      </c>
      <c r="D153" s="26">
        <f t="shared" si="48"/>
        <v>0</v>
      </c>
      <c r="E153" s="26">
        <f t="shared" si="48"/>
        <v>0</v>
      </c>
      <c r="F153" s="26">
        <f t="shared" si="48"/>
        <v>0</v>
      </c>
      <c r="G153" s="26">
        <f t="shared" si="48"/>
        <v>0</v>
      </c>
      <c r="H153" s="26">
        <f t="shared" si="48"/>
        <v>0</v>
      </c>
      <c r="I153" s="26">
        <f t="shared" si="48"/>
        <v>0</v>
      </c>
      <c r="J153" s="26">
        <f t="shared" si="48"/>
        <v>0</v>
      </c>
      <c r="K153" s="26">
        <f t="shared" si="48"/>
        <v>0</v>
      </c>
    </row>
    <row r="154" spans="1:11" ht="15.75" customHeight="1" x14ac:dyDescent="0.15">
      <c r="A154" s="39" t="s">
        <v>372</v>
      </c>
      <c r="B154" s="26">
        <f t="shared" ref="B154:K154" si="49">B150-B82</f>
        <v>0</v>
      </c>
      <c r="C154" s="26">
        <f t="shared" si="49"/>
        <v>0</v>
      </c>
      <c r="D154" s="26">
        <f t="shared" si="49"/>
        <v>0</v>
      </c>
      <c r="E154" s="26">
        <f t="shared" si="49"/>
        <v>0</v>
      </c>
      <c r="F154" s="26">
        <f t="shared" si="49"/>
        <v>0</v>
      </c>
      <c r="G154" s="26">
        <f t="shared" si="49"/>
        <v>0</v>
      </c>
      <c r="H154" s="26">
        <f t="shared" si="49"/>
        <v>0</v>
      </c>
      <c r="I154" s="26">
        <f t="shared" si="49"/>
        <v>0</v>
      </c>
      <c r="J154" s="26">
        <f t="shared" si="49"/>
        <v>0</v>
      </c>
      <c r="K154" s="26">
        <f t="shared" si="49"/>
        <v>0</v>
      </c>
    </row>
    <row r="155" spans="1:11" ht="15.75" customHeight="1" x14ac:dyDescent="0.15">
      <c r="A155" s="42"/>
    </row>
    <row r="156" spans="1:11" ht="15.75" customHeight="1" x14ac:dyDescent="0.15">
      <c r="A156" s="39" t="s">
        <v>373</v>
      </c>
      <c r="B156" s="43">
        <f t="shared" ref="B156:K156" si="50">B149/B148</f>
        <v>-0.17243177664479706</v>
      </c>
      <c r="C156" s="43">
        <f t="shared" si="50"/>
        <v>-4.1287764075720178E-2</v>
      </c>
      <c r="D156" s="43">
        <f t="shared" si="50"/>
        <v>-4.4936798830134454E-2</v>
      </c>
      <c r="E156" s="43">
        <f t="shared" si="50"/>
        <v>-0.20173470404570518</v>
      </c>
      <c r="F156" s="43">
        <f t="shared" si="50"/>
        <v>-0.2276120059927681</v>
      </c>
      <c r="G156" s="43">
        <f t="shared" si="50"/>
        <v>-0.22577840770970758</v>
      </c>
      <c r="H156" s="43">
        <f t="shared" si="50"/>
        <v>-0.29513086484133677</v>
      </c>
      <c r="I156" s="43">
        <f t="shared" si="50"/>
        <v>-0.31623672059973118</v>
      </c>
      <c r="J156" s="43" t="e">
        <f t="shared" si="50"/>
        <v>#DIV/0!</v>
      </c>
      <c r="K156" s="43" t="e">
        <f t="shared" si="50"/>
        <v>#DIV/0!</v>
      </c>
    </row>
    <row r="157" spans="1:11" ht="15.75" customHeight="1" x14ac:dyDescent="0.15">
      <c r="A157" s="39" t="s">
        <v>374</v>
      </c>
      <c r="B157" s="26">
        <f t="shared" ref="B157:K157" si="51">B156*B140</f>
        <v>86500.055890309159</v>
      </c>
      <c r="C157" s="26">
        <f t="shared" si="51"/>
        <v>21727.933571432197</v>
      </c>
      <c r="D157" s="26">
        <f t="shared" si="51"/>
        <v>11389.95065227886</v>
      </c>
      <c r="E157" s="26">
        <f t="shared" si="51"/>
        <v>41762.51322742975</v>
      </c>
      <c r="F157" s="26">
        <f t="shared" si="51"/>
        <v>36180.066412580454</v>
      </c>
      <c r="G157" s="26">
        <f t="shared" si="51"/>
        <v>22306.6809033114</v>
      </c>
      <c r="H157" s="26">
        <f t="shared" si="51"/>
        <v>30049.044134685544</v>
      </c>
      <c r="I157" s="26">
        <f t="shared" si="51"/>
        <v>32385.170083177272</v>
      </c>
      <c r="J157" s="26" t="e">
        <f t="shared" si="51"/>
        <v>#DIV/0!</v>
      </c>
      <c r="K157" s="26" t="e">
        <f t="shared" si="51"/>
        <v>#DIV/0!</v>
      </c>
    </row>
    <row r="162" spans="1:11" ht="15.75" customHeight="1" x14ac:dyDescent="0.15">
      <c r="A162" s="3" t="s">
        <v>375</v>
      </c>
      <c r="B162" s="26">
        <f t="shared" ref="B162:K162" si="52">B102+(B21-B62)</f>
        <v>13962088</v>
      </c>
      <c r="C162" s="26">
        <f t="shared" si="52"/>
        <v>14957139</v>
      </c>
      <c r="D162" s="26">
        <f t="shared" si="52"/>
        <v>14682021</v>
      </c>
      <c r="E162" s="26">
        <f t="shared" si="52"/>
        <v>12621622</v>
      </c>
      <c r="F162" s="26">
        <f t="shared" si="52"/>
        <v>10439151</v>
      </c>
      <c r="G162" s="26">
        <f t="shared" si="52"/>
        <v>5753308</v>
      </c>
      <c r="H162" s="26">
        <f t="shared" si="52"/>
        <v>4023273</v>
      </c>
      <c r="I162" s="26">
        <f t="shared" si="52"/>
        <v>3249932</v>
      </c>
      <c r="J162" s="26">
        <f t="shared" si="52"/>
        <v>0</v>
      </c>
      <c r="K162" s="26">
        <f t="shared" si="52"/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L77"/>
  <sheetViews>
    <sheetView tabSelected="1" topLeftCell="A35" zoomScaleNormal="100" workbookViewId="0">
      <selection activeCell="E47" sqref="E47"/>
    </sheetView>
  </sheetViews>
  <sheetFormatPr baseColWidth="10" defaultColWidth="12.6640625" defaultRowHeight="15.75" customHeight="1" x14ac:dyDescent="0.15"/>
  <cols>
    <col min="1" max="1" width="2.1640625" style="44" customWidth="1"/>
    <col min="2" max="2" width="68" style="44" customWidth="1"/>
    <col min="3" max="12" width="16.6640625" customWidth="1"/>
  </cols>
  <sheetData>
    <row r="1" spans="1:12" ht="15.75" customHeight="1" x14ac:dyDescent="0.15">
      <c r="A1" s="45"/>
      <c r="B1" s="46" t="s">
        <v>376</v>
      </c>
      <c r="C1" s="35">
        <f>case!B1</f>
        <v>2024</v>
      </c>
      <c r="D1" s="35">
        <f>case!C1</f>
        <v>2023</v>
      </c>
      <c r="E1" s="35">
        <f>case!D1</f>
        <v>2022</v>
      </c>
      <c r="F1" s="35">
        <f>case!E1</f>
        <v>2021</v>
      </c>
      <c r="G1" s="35">
        <f>case!F1</f>
        <v>2020</v>
      </c>
      <c r="H1" s="35">
        <f>case!G1</f>
        <v>2019</v>
      </c>
      <c r="I1" s="35">
        <f>case!H1</f>
        <v>2018</v>
      </c>
      <c r="J1" s="35">
        <f>case!I1</f>
        <v>2017</v>
      </c>
      <c r="K1" s="35">
        <f>case!J1</f>
        <v>0</v>
      </c>
      <c r="L1" s="35">
        <f>case!K1</f>
        <v>0</v>
      </c>
    </row>
    <row r="2" spans="1:12" ht="15.75" customHeight="1" x14ac:dyDescent="0.15">
      <c r="A2" s="47"/>
      <c r="B2" s="48" t="s">
        <v>377</v>
      </c>
    </row>
    <row r="3" spans="1:12" ht="15.75" customHeight="1" x14ac:dyDescent="0.15">
      <c r="A3" s="49"/>
      <c r="B3" s="50" t="s">
        <v>378</v>
      </c>
    </row>
    <row r="4" spans="1:12" ht="15.75" customHeight="1" x14ac:dyDescent="0.15">
      <c r="A4" s="49" t="s">
        <v>379</v>
      </c>
      <c r="B4" s="50" t="s">
        <v>380</v>
      </c>
      <c r="C4" s="51">
        <f>'RC'!B131</f>
        <v>1588849</v>
      </c>
      <c r="D4" s="51">
        <f>'RC'!C131</f>
        <v>1117327</v>
      </c>
      <c r="E4" s="51">
        <f>'RC'!D131</f>
        <v>963975</v>
      </c>
      <c r="F4" s="51">
        <f>'RC'!E131</f>
        <v>1411257</v>
      </c>
      <c r="G4" s="51">
        <f>'RC'!F131</f>
        <v>1351726</v>
      </c>
      <c r="H4" s="51">
        <f>'RC'!G131</f>
        <v>1069627</v>
      </c>
      <c r="I4" s="51">
        <f>'RC'!H131</f>
        <v>1052950</v>
      </c>
      <c r="J4" s="51">
        <f>'RC'!I131</f>
        <v>635847</v>
      </c>
      <c r="K4" s="51">
        <f>'RC'!J131</f>
        <v>0</v>
      </c>
      <c r="L4" s="51">
        <f>'RC'!K131</f>
        <v>0</v>
      </c>
    </row>
    <row r="5" spans="1:12" ht="15.75" customHeight="1" x14ac:dyDescent="0.15">
      <c r="A5" s="49" t="s">
        <v>381</v>
      </c>
      <c r="B5" s="50" t="s">
        <v>382</v>
      </c>
      <c r="C5" s="51">
        <f>'RC'!B146</f>
        <v>0</v>
      </c>
      <c r="D5" s="51">
        <f>'RC'!C146</f>
        <v>0</v>
      </c>
      <c r="E5" s="51">
        <f>'RC'!D146</f>
        <v>0</v>
      </c>
      <c r="F5" s="51">
        <f>'RC'!E146</f>
        <v>0</v>
      </c>
      <c r="G5" s="51">
        <f>'RC'!F146</f>
        <v>0</v>
      </c>
      <c r="H5" s="51">
        <f>'RC'!G146</f>
        <v>0</v>
      </c>
      <c r="I5" s="51">
        <f>'RC'!H146</f>
        <v>0</v>
      </c>
      <c r="J5" s="51">
        <f>'RC'!I146</f>
        <v>0</v>
      </c>
      <c r="K5" s="51">
        <f>'RC'!J146</f>
        <v>0</v>
      </c>
      <c r="L5" s="51">
        <f>'RC'!K146</f>
        <v>0</v>
      </c>
    </row>
    <row r="6" spans="1:12" ht="15.75" customHeight="1" x14ac:dyDescent="0.15">
      <c r="A6" s="49" t="s">
        <v>379</v>
      </c>
      <c r="B6" s="50" t="s">
        <v>383</v>
      </c>
      <c r="C6" s="51">
        <f>-'RC'!B124</f>
        <v>916802</v>
      </c>
      <c r="D6" s="51">
        <f>-'RC'!C124</f>
        <v>899828</v>
      </c>
      <c r="E6" s="51">
        <f>-'RC'!D124</f>
        <v>856051</v>
      </c>
      <c r="F6" s="51">
        <f>-'RC'!E124</f>
        <v>470290</v>
      </c>
      <c r="G6" s="51">
        <f>-'RC'!F124</f>
        <v>171279</v>
      </c>
      <c r="H6" s="51">
        <f>-'RC'!G124</f>
        <v>180598</v>
      </c>
      <c r="I6" s="51">
        <f>-'RC'!H124</f>
        <v>184962</v>
      </c>
      <c r="J6" s="51">
        <f>-'RC'!I124</f>
        <v>215317</v>
      </c>
      <c r="K6" s="51">
        <f>-'RC'!J124</f>
        <v>0</v>
      </c>
      <c r="L6" s="51">
        <f>-'RC'!K124</f>
        <v>0</v>
      </c>
    </row>
    <row r="7" spans="1:12" ht="15.75" customHeight="1" x14ac:dyDescent="0.15">
      <c r="A7" s="49" t="s">
        <v>384</v>
      </c>
      <c r="B7" s="50" t="s">
        <v>385</v>
      </c>
      <c r="C7" s="51">
        <f>-('RC'!B149+'RC'!B157)</f>
        <v>100967.94410969084</v>
      </c>
      <c r="D7" s="51">
        <f>-('RC'!C149+'RC'!C157)</f>
        <v>2676.0664285678031</v>
      </c>
      <c r="E7" s="51">
        <f>-('RC'!D149+'RC'!D157)</f>
        <v>20538.049347721142</v>
      </c>
      <c r="F7" s="51">
        <f>-('RC'!E149+'RC'!E157)</f>
        <v>201174.48677257024</v>
      </c>
      <c r="G7" s="51">
        <f>-('RC'!F149+'RC'!F157)</f>
        <v>235308.93358741954</v>
      </c>
      <c r="H7" s="51">
        <f>-('RC'!G149+'RC'!G157)</f>
        <v>196885.31909668859</v>
      </c>
      <c r="I7" s="51">
        <f>-('RC'!H149+'RC'!H157)</f>
        <v>250659.95586531446</v>
      </c>
      <c r="J7" s="51">
        <f>-('RC'!I149+'RC'!I157)</f>
        <v>136307.82991682272</v>
      </c>
      <c r="K7" s="51" t="e">
        <f>-('RC'!J149+'RC'!J157)</f>
        <v>#DIV/0!</v>
      </c>
      <c r="L7" s="51" t="e">
        <f>-('RC'!K149+'RC'!K157)</f>
        <v>#DIV/0!</v>
      </c>
    </row>
    <row r="8" spans="1:12" ht="15.75" customHeight="1" x14ac:dyDescent="0.15">
      <c r="A8" s="52" t="s">
        <v>386</v>
      </c>
      <c r="B8" s="53" t="s">
        <v>387</v>
      </c>
      <c r="C8" s="54">
        <f t="shared" ref="C8:L8" si="0">C4+C5+C6-C7</f>
        <v>2404683.0558903092</v>
      </c>
      <c r="D8" s="54">
        <f t="shared" si="0"/>
        <v>2014478.9335714323</v>
      </c>
      <c r="E8" s="54">
        <f t="shared" si="0"/>
        <v>1799487.950652279</v>
      </c>
      <c r="F8" s="54">
        <f t="shared" si="0"/>
        <v>1680372.5132274297</v>
      </c>
      <c r="G8" s="54">
        <f t="shared" si="0"/>
        <v>1287696.0664125804</v>
      </c>
      <c r="H8" s="54">
        <f t="shared" si="0"/>
        <v>1053339.6809033114</v>
      </c>
      <c r="I8" s="54">
        <f t="shared" si="0"/>
        <v>987252.04413468554</v>
      </c>
      <c r="J8" s="54">
        <f t="shared" si="0"/>
        <v>714856.17008317728</v>
      </c>
      <c r="K8" s="54" t="e">
        <f t="shared" si="0"/>
        <v>#DIV/0!</v>
      </c>
      <c r="L8" s="54" t="e">
        <f t="shared" si="0"/>
        <v>#DIV/0!</v>
      </c>
    </row>
    <row r="9" spans="1:12" ht="15.75" customHeight="1" x14ac:dyDescent="0.15">
      <c r="A9" s="49"/>
      <c r="B9" s="50" t="s">
        <v>388</v>
      </c>
    </row>
    <row r="10" spans="1:12" ht="15.75" customHeight="1" x14ac:dyDescent="0.15">
      <c r="A10" s="49"/>
      <c r="B10" s="50" t="s">
        <v>389</v>
      </c>
    </row>
    <row r="11" spans="1:12" ht="15.75" customHeight="1" x14ac:dyDescent="0.15">
      <c r="A11" s="49" t="s">
        <v>384</v>
      </c>
      <c r="B11" s="50" t="s">
        <v>390</v>
      </c>
      <c r="C11" s="51">
        <f>-1*('RC'!B5-'RC'!C5)</f>
        <v>-359623</v>
      </c>
      <c r="D11" s="51">
        <f>-1*('RC'!C5-'RC'!D5)</f>
        <v>-930573</v>
      </c>
      <c r="E11" s="51">
        <f>-1*('RC'!D5-'RC'!E5)</f>
        <v>214413</v>
      </c>
      <c r="F11" s="51">
        <f>-1*('RC'!E5-'RC'!F5)</f>
        <v>-393404</v>
      </c>
      <c r="G11" s="51">
        <f>-1*('RC'!F5-'RC'!G5)</f>
        <v>-144311</v>
      </c>
      <c r="H11" s="51">
        <f>-1*('RC'!G5-'RC'!H5)</f>
        <v>-289380</v>
      </c>
      <c r="I11" s="51">
        <f>-1*('RC'!H5-'RC'!I5)</f>
        <v>27781</v>
      </c>
      <c r="J11" s="51">
        <f>-1*('RC'!I5-'RC'!J5)</f>
        <v>-2381302</v>
      </c>
      <c r="K11" s="51">
        <f>-1*('RC'!J5-'RC'!K5)</f>
        <v>0</v>
      </c>
      <c r="L11" s="51">
        <f>-1*('RC'!K5-'RC'!L5)</f>
        <v>0</v>
      </c>
    </row>
    <row r="12" spans="1:12" ht="15.75" customHeight="1" x14ac:dyDescent="0.15">
      <c r="A12" s="49" t="s">
        <v>384</v>
      </c>
      <c r="B12" s="50" t="s">
        <v>391</v>
      </c>
      <c r="C12" s="51">
        <f>-1*('RC'!B6-'RC'!C6)</f>
        <v>431532</v>
      </c>
      <c r="D12" s="51">
        <f>-1*('RC'!C6-'RC'!D6)</f>
        <v>209918</v>
      </c>
      <c r="E12" s="51">
        <f>-1*('RC'!D6-'RC'!E6)</f>
        <v>-2325893</v>
      </c>
      <c r="F12" s="51">
        <f>-1*('RC'!E6-'RC'!F6)</f>
        <v>-367693</v>
      </c>
      <c r="G12" s="51">
        <f>-1*('RC'!F6-'RC'!G6)</f>
        <v>454043</v>
      </c>
      <c r="H12" s="51">
        <f>-1*('RC'!G6-'RC'!H6)</f>
        <v>-588480</v>
      </c>
      <c r="I12" s="51">
        <f>-1*('RC'!H6-'RC'!I6)</f>
        <v>-351606</v>
      </c>
      <c r="J12" s="51">
        <f>-1*('RC'!I6-'RC'!J6)</f>
        <v>-2070635</v>
      </c>
      <c r="K12" s="51">
        <f>-1*('RC'!J6-'RC'!K6)</f>
        <v>0</v>
      </c>
      <c r="L12" s="51">
        <f>-1*('RC'!K6-'RC'!L6)</f>
        <v>0</v>
      </c>
    </row>
    <row r="13" spans="1:12" ht="15.75" customHeight="1" x14ac:dyDescent="0.15">
      <c r="A13" s="49" t="s">
        <v>384</v>
      </c>
      <c r="B13" s="50" t="s">
        <v>392</v>
      </c>
      <c r="C13" s="51">
        <f>-1*('RC'!B7-'RC'!C7)</f>
        <v>582888</v>
      </c>
      <c r="D13" s="51">
        <f>-1*('RC'!C7-'RC'!D7)</f>
        <v>-371429</v>
      </c>
      <c r="E13" s="51">
        <f>-1*('RC'!D7-'RC'!E7)</f>
        <v>-911472</v>
      </c>
      <c r="F13" s="51">
        <f>-1*('RC'!E7-'RC'!F7)</f>
        <v>-12370</v>
      </c>
      <c r="G13" s="51">
        <f>-1*('RC'!F7-'RC'!G7)</f>
        <v>157158</v>
      </c>
      <c r="H13" s="51">
        <f>-1*('RC'!G7-'RC'!H7)</f>
        <v>-178653</v>
      </c>
      <c r="I13" s="51">
        <f>-1*('RC'!H7-'RC'!I7)</f>
        <v>-9359</v>
      </c>
      <c r="J13" s="51">
        <f>-1*('RC'!I7-'RC'!J7)</f>
        <v>-73755</v>
      </c>
      <c r="K13" s="51">
        <f>-1*('RC'!J7-'RC'!K7)</f>
        <v>0</v>
      </c>
      <c r="L13" s="51">
        <f>-1*('RC'!K7-'RC'!L7)</f>
        <v>0</v>
      </c>
    </row>
    <row r="14" spans="1:12" ht="15.75" customHeight="1" x14ac:dyDescent="0.15">
      <c r="A14" s="49" t="s">
        <v>379</v>
      </c>
      <c r="B14" s="50" t="s">
        <v>393</v>
      </c>
      <c r="C14" s="51">
        <f>'RC'!B48-'RC'!C48</f>
        <v>-68895</v>
      </c>
      <c r="D14" s="51">
        <f>'RC'!C48-'RC'!D48</f>
        <v>-174531</v>
      </c>
      <c r="E14" s="51">
        <f>'RC'!D48-'RC'!E48</f>
        <v>375396</v>
      </c>
      <c r="F14" s="51">
        <f>'RC'!E48-'RC'!F48</f>
        <v>756495</v>
      </c>
      <c r="G14" s="51">
        <f>'RC'!F48-'RC'!G48</f>
        <v>-697516</v>
      </c>
      <c r="H14" s="51">
        <f>'RC'!G48-'RC'!H48</f>
        <v>887498</v>
      </c>
      <c r="I14" s="51">
        <f>'RC'!H48-'RC'!I48</f>
        <v>-68472</v>
      </c>
      <c r="J14" s="51">
        <f>'RC'!I48-'RC'!J48</f>
        <v>1264218</v>
      </c>
      <c r="K14" s="51">
        <f>'RC'!J48-'RC'!K48</f>
        <v>0</v>
      </c>
      <c r="L14" s="51">
        <f>'RC'!K48-'RC'!L48</f>
        <v>0</v>
      </c>
    </row>
    <row r="15" spans="1:12" ht="15.75" customHeight="1" x14ac:dyDescent="0.15">
      <c r="A15" s="49" t="s">
        <v>379</v>
      </c>
      <c r="B15" s="50" t="s">
        <v>394</v>
      </c>
      <c r="C15" s="51">
        <f>'RC'!B50-'RC'!C50</f>
        <v>-146936</v>
      </c>
      <c r="D15" s="51">
        <f>'RC'!C50-'RC'!D50</f>
        <v>-85171</v>
      </c>
      <c r="E15" s="51">
        <f>'RC'!D50-'RC'!E50</f>
        <v>1244775</v>
      </c>
      <c r="F15" s="51">
        <f>'RC'!E50-'RC'!F50</f>
        <v>95005</v>
      </c>
      <c r="G15" s="51">
        <f>'RC'!F50-'RC'!G50</f>
        <v>100359</v>
      </c>
      <c r="H15" s="51">
        <f>'RC'!G50-'RC'!H50</f>
        <v>100150</v>
      </c>
      <c r="I15" s="51">
        <f>'RC'!H50-'RC'!I50</f>
        <v>47842</v>
      </c>
      <c r="J15" s="51">
        <f>'RC'!I50-'RC'!J50</f>
        <v>399886</v>
      </c>
      <c r="K15" s="51">
        <f>'RC'!J50-'RC'!K50</f>
        <v>0</v>
      </c>
      <c r="L15" s="51">
        <f>'RC'!K50-'RC'!L50</f>
        <v>0</v>
      </c>
    </row>
    <row r="16" spans="1:12" ht="15.75" customHeight="1" x14ac:dyDescent="0.15">
      <c r="A16" s="49" t="s">
        <v>384</v>
      </c>
      <c r="B16" s="50" t="s">
        <v>395</v>
      </c>
      <c r="C16" s="51">
        <f>-1*('RC'!B21-'RC'!C21)</f>
        <v>119707</v>
      </c>
      <c r="D16" s="51">
        <f>-1*('RC'!C21-'RC'!D21)</f>
        <v>562682</v>
      </c>
      <c r="E16" s="51">
        <f>-1*('RC'!D21-'RC'!E21)</f>
        <v>-558391</v>
      </c>
      <c r="F16" s="51">
        <f>-1*('RC'!E21-'RC'!F21)</f>
        <v>137428</v>
      </c>
      <c r="G16" s="51">
        <f>-1*('RC'!F21-'RC'!G21)</f>
        <v>-108909</v>
      </c>
      <c r="H16" s="51">
        <f>-1*('RC'!G21-'RC'!H21)</f>
        <v>-117837</v>
      </c>
      <c r="I16" s="51">
        <f>-1*('RC'!H21-'RC'!I21)</f>
        <v>-53196</v>
      </c>
      <c r="J16" s="51">
        <f>-1*('RC'!I21-'RC'!J21)</f>
        <v>-4758</v>
      </c>
      <c r="K16" s="51">
        <f>-1*('RC'!J21-'RC'!K21)</f>
        <v>0</v>
      </c>
      <c r="L16" s="51">
        <f>-1*('RC'!K21-'RC'!L21)</f>
        <v>0</v>
      </c>
    </row>
    <row r="17" spans="1:12" ht="15.75" customHeight="1" x14ac:dyDescent="0.15">
      <c r="A17" s="49" t="s">
        <v>379</v>
      </c>
      <c r="B17" s="50" t="s">
        <v>396</v>
      </c>
      <c r="C17" s="51">
        <f>'RC'!B62-'RC'!C62</f>
        <v>84087</v>
      </c>
      <c r="D17" s="51">
        <f>'RC'!C62-'RC'!D62</f>
        <v>91703</v>
      </c>
      <c r="E17" s="51">
        <f>'RC'!D62-'RC'!E62</f>
        <v>-41700</v>
      </c>
      <c r="F17" s="51">
        <f>'RC'!E62-'RC'!F62</f>
        <v>19411</v>
      </c>
      <c r="G17" s="51">
        <f>'RC'!F62-'RC'!G62</f>
        <v>42389</v>
      </c>
      <c r="H17" s="51">
        <f>'RC'!G62-'RC'!H62</f>
        <v>-147485</v>
      </c>
      <c r="I17" s="51">
        <f>'RC'!H62-'RC'!I62</f>
        <v>-87278</v>
      </c>
      <c r="J17" s="51">
        <f>'RC'!I62-'RC'!J62</f>
        <v>344734</v>
      </c>
      <c r="K17" s="51">
        <f>'RC'!J62-'RC'!K62</f>
        <v>0</v>
      </c>
      <c r="L17" s="51">
        <f>'RC'!K62-'RC'!L62</f>
        <v>0</v>
      </c>
    </row>
    <row r="18" spans="1:12" s="57" customFormat="1" ht="15.75" customHeight="1" x14ac:dyDescent="0.15">
      <c r="A18" s="55" t="s">
        <v>386</v>
      </c>
      <c r="B18" s="56" t="s">
        <v>397</v>
      </c>
      <c r="C18" s="54">
        <f t="shared" ref="C18:L18" si="1">SUM(C11:C17)</f>
        <v>642760</v>
      </c>
      <c r="D18" s="54">
        <f t="shared" si="1"/>
        <v>-697401</v>
      </c>
      <c r="E18" s="54">
        <f t="shared" si="1"/>
        <v>-2002872</v>
      </c>
      <c r="F18" s="54">
        <f t="shared" si="1"/>
        <v>234872</v>
      </c>
      <c r="G18" s="54">
        <f t="shared" si="1"/>
        <v>-196787</v>
      </c>
      <c r="H18" s="54">
        <f t="shared" si="1"/>
        <v>-334187</v>
      </c>
      <c r="I18" s="54">
        <f t="shared" si="1"/>
        <v>-494288</v>
      </c>
      <c r="J18" s="54">
        <f t="shared" si="1"/>
        <v>-2521612</v>
      </c>
      <c r="K18" s="54">
        <f t="shared" si="1"/>
        <v>0</v>
      </c>
      <c r="L18" s="54">
        <f t="shared" si="1"/>
        <v>0</v>
      </c>
    </row>
    <row r="19" spans="1:12" ht="15.75" customHeight="1" x14ac:dyDescent="0.15">
      <c r="A19" s="49" t="s">
        <v>379</v>
      </c>
      <c r="B19" s="50" t="s">
        <v>398</v>
      </c>
      <c r="C19" s="51">
        <f>'RC'!B53-'RC'!C53</f>
        <v>12389</v>
      </c>
      <c r="D19" s="51">
        <f>'RC'!C53-'RC'!D53</f>
        <v>-9812</v>
      </c>
      <c r="E19" s="51">
        <f>'RC'!D53-'RC'!E53</f>
        <v>-8282</v>
      </c>
      <c r="F19" s="51">
        <f>'RC'!E53-'RC'!F53</f>
        <v>22988</v>
      </c>
      <c r="G19" s="51">
        <f>'RC'!F53-'RC'!G53</f>
        <v>-32164</v>
      </c>
      <c r="H19" s="51">
        <f>'RC'!G53-'RC'!H53</f>
        <v>19318</v>
      </c>
      <c r="I19" s="51">
        <f>'RC'!H53-'RC'!I53</f>
        <v>13571</v>
      </c>
      <c r="J19" s="51">
        <f>'RC'!I53-'RC'!J53</f>
        <v>173667</v>
      </c>
      <c r="K19" s="51">
        <f>'RC'!J53-'RC'!K53</f>
        <v>0</v>
      </c>
      <c r="L19" s="51">
        <f>'RC'!K53-'RC'!L53</f>
        <v>0</v>
      </c>
    </row>
    <row r="20" spans="1:12" ht="15.75" customHeight="1" x14ac:dyDescent="0.15">
      <c r="A20" s="49" t="s">
        <v>384</v>
      </c>
      <c r="B20" s="50" t="s">
        <v>399</v>
      </c>
      <c r="C20" s="51">
        <f>-1*('RC'!B15-'RC'!C15)</f>
        <v>0</v>
      </c>
      <c r="D20" s="51">
        <f>-1*('RC'!C15-'RC'!D15)</f>
        <v>0</v>
      </c>
      <c r="E20" s="51">
        <f>-1*('RC'!D15-'RC'!E15)</f>
        <v>0</v>
      </c>
      <c r="F20" s="51">
        <f>-1*('RC'!E15-'RC'!F15)</f>
        <v>8192</v>
      </c>
      <c r="G20" s="51">
        <f>-1*('RC'!F15-'RC'!G15)</f>
        <v>0</v>
      </c>
      <c r="H20" s="51">
        <f>-1*('RC'!G15-'RC'!H15)</f>
        <v>0</v>
      </c>
      <c r="I20" s="51">
        <f>-1*('RC'!H15-'RC'!I15)</f>
        <v>0</v>
      </c>
      <c r="J20" s="51">
        <f>-1*('RC'!I15-'RC'!J15)</f>
        <v>-8192</v>
      </c>
      <c r="K20" s="51">
        <f>-1*('RC'!J15-'RC'!K15)</f>
        <v>0</v>
      </c>
      <c r="L20" s="51">
        <f>-1*('RC'!K15-'RC'!L15)</f>
        <v>0</v>
      </c>
    </row>
    <row r="21" spans="1:12" ht="15.75" customHeight="1" x14ac:dyDescent="0.15">
      <c r="A21" s="58" t="s">
        <v>379</v>
      </c>
      <c r="B21" s="59" t="s">
        <v>400</v>
      </c>
      <c r="C21" s="51">
        <f>'RC'!B54-'RC'!C54</f>
        <v>0</v>
      </c>
      <c r="D21" s="51">
        <f>'RC'!C54-'RC'!D54</f>
        <v>0</v>
      </c>
      <c r="E21" s="51">
        <f>'RC'!D54-'RC'!E54</f>
        <v>0</v>
      </c>
      <c r="F21" s="51">
        <f>'RC'!E54-'RC'!F54</f>
        <v>0</v>
      </c>
      <c r="G21" s="51">
        <f>'RC'!F54-'RC'!G54</f>
        <v>0</v>
      </c>
      <c r="H21" s="51">
        <f>'RC'!G54-'RC'!H54</f>
        <v>0</v>
      </c>
      <c r="I21" s="51">
        <f>'RC'!H54-'RC'!I54</f>
        <v>0</v>
      </c>
      <c r="J21" s="51">
        <f>'RC'!I54-'RC'!J54</f>
        <v>0</v>
      </c>
      <c r="K21" s="51">
        <f>'RC'!J54-'RC'!K54</f>
        <v>0</v>
      </c>
      <c r="L21" s="51">
        <f>'RC'!K54-'RC'!L54</f>
        <v>0</v>
      </c>
    </row>
    <row r="22" spans="1:12" ht="15.75" customHeight="1" x14ac:dyDescent="0.15">
      <c r="A22" s="60" t="s">
        <v>386</v>
      </c>
      <c r="B22" s="61" t="s">
        <v>401</v>
      </c>
      <c r="C22" s="51">
        <f t="shared" ref="C22:L22" si="2">SUM(C18:C21)</f>
        <v>655149</v>
      </c>
      <c r="D22" s="51">
        <f t="shared" si="2"/>
        <v>-707213</v>
      </c>
      <c r="E22" s="51">
        <f t="shared" si="2"/>
        <v>-2011154</v>
      </c>
      <c r="F22" s="51">
        <f t="shared" si="2"/>
        <v>266052</v>
      </c>
      <c r="G22" s="51">
        <f t="shared" si="2"/>
        <v>-228951</v>
      </c>
      <c r="H22" s="51">
        <f t="shared" si="2"/>
        <v>-314869</v>
      </c>
      <c r="I22" s="51">
        <f t="shared" si="2"/>
        <v>-480717</v>
      </c>
      <c r="J22" s="51">
        <f t="shared" si="2"/>
        <v>-2356137</v>
      </c>
      <c r="K22" s="51">
        <f t="shared" si="2"/>
        <v>0</v>
      </c>
      <c r="L22" s="51">
        <f t="shared" si="2"/>
        <v>0</v>
      </c>
    </row>
    <row r="23" spans="1:12" s="57" customFormat="1" ht="15.75" customHeight="1" x14ac:dyDescent="0.15">
      <c r="A23" s="62" t="s">
        <v>386</v>
      </c>
      <c r="B23" s="63" t="s">
        <v>402</v>
      </c>
      <c r="C23" s="54">
        <f t="shared" ref="C23:L23" si="3">C8+C22</f>
        <v>3059832.0558903092</v>
      </c>
      <c r="D23" s="54">
        <f t="shared" si="3"/>
        <v>1307265.9335714323</v>
      </c>
      <c r="E23" s="54">
        <f t="shared" si="3"/>
        <v>-211666.04934772104</v>
      </c>
      <c r="F23" s="54">
        <f t="shared" si="3"/>
        <v>1946424.5132274297</v>
      </c>
      <c r="G23" s="54">
        <f t="shared" si="3"/>
        <v>1058745.0664125804</v>
      </c>
      <c r="H23" s="54">
        <f t="shared" si="3"/>
        <v>738470.68090331135</v>
      </c>
      <c r="I23" s="54">
        <f t="shared" si="3"/>
        <v>506535.04413468554</v>
      </c>
      <c r="J23" s="54">
        <f t="shared" si="3"/>
        <v>-1641280.8299168227</v>
      </c>
      <c r="K23" s="54" t="e">
        <f t="shared" si="3"/>
        <v>#DIV/0!</v>
      </c>
      <c r="L23" s="54" t="e">
        <f t="shared" si="3"/>
        <v>#DIV/0!</v>
      </c>
    </row>
    <row r="24" spans="1:12" ht="15.75" customHeight="1" x14ac:dyDescent="0.15">
      <c r="A24" s="49"/>
      <c r="B24" s="50" t="s">
        <v>403</v>
      </c>
    </row>
    <row r="25" spans="1:12" ht="15.75" customHeight="1" x14ac:dyDescent="0.15">
      <c r="A25" s="49" t="s">
        <v>384</v>
      </c>
      <c r="B25" s="50" t="s">
        <v>404</v>
      </c>
      <c r="C25" s="51">
        <f>-1*('RC'!B12-'RC'!C12)</f>
        <v>339902</v>
      </c>
      <c r="D25" s="51">
        <f>-1*('RC'!C12-'RC'!D12)</f>
        <v>432095</v>
      </c>
      <c r="E25" s="51">
        <f>-1*('RC'!D12-'RC'!E12)</f>
        <v>-49245</v>
      </c>
      <c r="F25" s="51">
        <f>-1*('RC'!E12-'RC'!F12)</f>
        <v>-2448523</v>
      </c>
      <c r="G25" s="51">
        <f>-1*('RC'!F12-'RC'!G12)</f>
        <v>-4456892</v>
      </c>
      <c r="H25" s="51">
        <f>-1*('RC'!G12-'RC'!H12)</f>
        <v>-1415166</v>
      </c>
      <c r="I25" s="51">
        <f>-1*('RC'!H12-'RC'!I12)</f>
        <v>-292624</v>
      </c>
      <c r="J25" s="51">
        <f>-1*('RC'!I12-'RC'!J12)</f>
        <v>-893795</v>
      </c>
      <c r="K25" s="51">
        <f>-1*('RC'!J12-'RC'!K12)</f>
        <v>0</v>
      </c>
      <c r="L25" s="51">
        <f>-1*('RC'!K12-'RC'!L12)</f>
        <v>0</v>
      </c>
    </row>
    <row r="26" spans="1:12" ht="15.75" customHeight="1" x14ac:dyDescent="0.15">
      <c r="A26" s="49" t="s">
        <v>384</v>
      </c>
      <c r="B26" s="50" t="s">
        <v>405</v>
      </c>
      <c r="C26" s="51">
        <f>-1*('RC'!B27-'RC'!C27)</f>
        <v>0</v>
      </c>
      <c r="D26" s="51">
        <f>-1*('RC'!C27-'RC'!D27)</f>
        <v>0</v>
      </c>
      <c r="E26" s="51">
        <f>-1*('RC'!D27-'RC'!E27)</f>
        <v>0</v>
      </c>
      <c r="F26" s="51">
        <f>-1*('RC'!E27-'RC'!F27)</f>
        <v>-52190</v>
      </c>
      <c r="G26" s="51">
        <f>-1*('RC'!F27-'RC'!G27)</f>
        <v>0</v>
      </c>
      <c r="H26" s="51">
        <f>-1*('RC'!G27-'RC'!H27)</f>
        <v>0</v>
      </c>
      <c r="I26" s="51">
        <f>-1*('RC'!H27-'RC'!I27)</f>
        <v>0</v>
      </c>
      <c r="J26" s="51">
        <f>-1*('RC'!I27-'RC'!J27)</f>
        <v>-6512</v>
      </c>
      <c r="K26" s="51">
        <f>-1*('RC'!J27-'RC'!K27)</f>
        <v>0</v>
      </c>
      <c r="L26" s="51">
        <f>-1*('RC'!K27-'RC'!L27)</f>
        <v>0</v>
      </c>
    </row>
    <row r="27" spans="1:12" ht="15.75" customHeight="1" x14ac:dyDescent="0.15">
      <c r="A27" s="49" t="s">
        <v>379</v>
      </c>
      <c r="B27" s="50" t="s">
        <v>406</v>
      </c>
      <c r="C27" s="51">
        <f>'RC'!B66-'RC'!C66</f>
        <v>0</v>
      </c>
      <c r="D27" s="51">
        <f>'RC'!C66-'RC'!D66</f>
        <v>0</v>
      </c>
      <c r="E27" s="51">
        <f>'RC'!D66-'RC'!E66</f>
        <v>0</v>
      </c>
      <c r="F27" s="51">
        <f>'RC'!E66-'RC'!F66</f>
        <v>0</v>
      </c>
      <c r="G27" s="51">
        <f>'RC'!F66-'RC'!G66</f>
        <v>0</v>
      </c>
      <c r="H27" s="51">
        <f>'RC'!G66-'RC'!H66</f>
        <v>0</v>
      </c>
      <c r="I27" s="51">
        <f>'RC'!H66-'RC'!I66</f>
        <v>0</v>
      </c>
      <c r="J27" s="51">
        <f>'RC'!I66-'RC'!J66</f>
        <v>0</v>
      </c>
      <c r="K27" s="51">
        <f>'RC'!J66-'RC'!K66</f>
        <v>0</v>
      </c>
      <c r="L27" s="51">
        <f>'RC'!K66-'RC'!L66</f>
        <v>0</v>
      </c>
    </row>
    <row r="28" spans="1:12" ht="15.75" customHeight="1" x14ac:dyDescent="0.15">
      <c r="A28" s="49" t="s">
        <v>384</v>
      </c>
      <c r="B28" s="50" t="s">
        <v>407</v>
      </c>
      <c r="C28" s="51">
        <f>'RC'!B124</f>
        <v>-916802</v>
      </c>
      <c r="D28" s="51">
        <f>'RC'!C124</f>
        <v>-899828</v>
      </c>
      <c r="E28" s="51">
        <f>'RC'!D124</f>
        <v>-856051</v>
      </c>
      <c r="F28" s="51">
        <f>'RC'!E124</f>
        <v>-470290</v>
      </c>
      <c r="G28" s="51">
        <f>'RC'!F124</f>
        <v>-171279</v>
      </c>
      <c r="H28" s="51">
        <f>'RC'!G124</f>
        <v>-180598</v>
      </c>
      <c r="I28" s="51">
        <f>'RC'!H124</f>
        <v>-184962</v>
      </c>
      <c r="J28" s="51">
        <f>'RC'!I124</f>
        <v>-215317</v>
      </c>
      <c r="K28" s="51">
        <f>'RC'!J124</f>
        <v>0</v>
      </c>
      <c r="L28" s="51">
        <f>'RC'!K124</f>
        <v>0</v>
      </c>
    </row>
    <row r="29" spans="1:12" ht="15.75" customHeight="1" x14ac:dyDescent="0.15">
      <c r="A29" s="49" t="s">
        <v>379</v>
      </c>
      <c r="B29" s="50" t="s">
        <v>408</v>
      </c>
      <c r="C29" s="51">
        <f>'RC'!B80-'RC'!C80</f>
        <v>0</v>
      </c>
      <c r="D29" s="51">
        <f>'RC'!C80-'RC'!D80</f>
        <v>0</v>
      </c>
      <c r="E29" s="51">
        <f>'RC'!D80-'RC'!E80</f>
        <v>0</v>
      </c>
      <c r="F29" s="51">
        <f>'RC'!E80-'RC'!F80</f>
        <v>0</v>
      </c>
      <c r="G29" s="51">
        <f>'RC'!F80-'RC'!G80</f>
        <v>0</v>
      </c>
      <c r="H29" s="51">
        <f>'RC'!G80-'RC'!H80</f>
        <v>0</v>
      </c>
      <c r="I29" s="51">
        <f>'RC'!H80-'RC'!I80</f>
        <v>0</v>
      </c>
      <c r="J29" s="51">
        <f>'RC'!I80-'RC'!J80</f>
        <v>0</v>
      </c>
      <c r="K29" s="51">
        <f>'RC'!J80-'RC'!K80</f>
        <v>0</v>
      </c>
      <c r="L29" s="51">
        <f>'RC'!K80-'RC'!L80</f>
        <v>0</v>
      </c>
    </row>
    <row r="30" spans="1:12" s="57" customFormat="1" ht="15.75" customHeight="1" x14ac:dyDescent="0.15">
      <c r="A30" s="55" t="s">
        <v>386</v>
      </c>
      <c r="B30" s="56" t="s">
        <v>409</v>
      </c>
      <c r="C30" s="54">
        <f t="shared" ref="C30:L30" si="4">SUM(C25:C29)</f>
        <v>-576900</v>
      </c>
      <c r="D30" s="54">
        <f t="shared" si="4"/>
        <v>-467733</v>
      </c>
      <c r="E30" s="54">
        <f t="shared" si="4"/>
        <v>-905296</v>
      </c>
      <c r="F30" s="54">
        <f t="shared" si="4"/>
        <v>-2971003</v>
      </c>
      <c r="G30" s="54">
        <f t="shared" si="4"/>
        <v>-4628171</v>
      </c>
      <c r="H30" s="54">
        <f t="shared" si="4"/>
        <v>-1595764</v>
      </c>
      <c r="I30" s="54">
        <f t="shared" si="4"/>
        <v>-477586</v>
      </c>
      <c r="J30" s="54">
        <f t="shared" si="4"/>
        <v>-1115624</v>
      </c>
      <c r="K30" s="54">
        <f t="shared" si="4"/>
        <v>0</v>
      </c>
      <c r="L30" s="54">
        <f t="shared" si="4"/>
        <v>0</v>
      </c>
    </row>
    <row r="31" spans="1:12" s="57" customFormat="1" ht="15.75" customHeight="1" x14ac:dyDescent="0.15">
      <c r="A31" s="62" t="s">
        <v>386</v>
      </c>
      <c r="B31" s="63" t="s">
        <v>410</v>
      </c>
      <c r="C31" s="54">
        <f t="shared" ref="C31:L31" si="5">C23+C30</f>
        <v>2482932.0558903092</v>
      </c>
      <c r="D31" s="54">
        <f t="shared" si="5"/>
        <v>839532.93357143225</v>
      </c>
      <c r="E31" s="54">
        <f t="shared" si="5"/>
        <v>-1116962.049347721</v>
      </c>
      <c r="F31" s="54">
        <f t="shared" si="5"/>
        <v>-1024578.4867725703</v>
      </c>
      <c r="G31" s="54">
        <f t="shared" si="5"/>
        <v>-3569425.9335874198</v>
      </c>
      <c r="H31" s="54">
        <f t="shared" si="5"/>
        <v>-857293.31909668865</v>
      </c>
      <c r="I31" s="54">
        <f t="shared" si="5"/>
        <v>28949.044134685537</v>
      </c>
      <c r="J31" s="54">
        <f t="shared" si="5"/>
        <v>-2756904.8299168227</v>
      </c>
      <c r="K31" s="54" t="e">
        <f t="shared" si="5"/>
        <v>#DIV/0!</v>
      </c>
      <c r="L31" s="54" t="e">
        <f t="shared" si="5"/>
        <v>#DIV/0!</v>
      </c>
    </row>
    <row r="32" spans="1:12" ht="15.75" customHeight="1" x14ac:dyDescent="0.15">
      <c r="A32" s="49"/>
      <c r="B32" s="50" t="s">
        <v>411</v>
      </c>
    </row>
    <row r="33" spans="1:12" ht="15.75" customHeight="1" x14ac:dyDescent="0.15">
      <c r="A33" s="49"/>
      <c r="B33" s="50" t="s">
        <v>412</v>
      </c>
    </row>
    <row r="34" spans="1:12" ht="15.75" customHeight="1" x14ac:dyDescent="0.15">
      <c r="A34" s="49" t="s">
        <v>384</v>
      </c>
      <c r="B34" s="50" t="s">
        <v>413</v>
      </c>
      <c r="C34" s="51">
        <f>'RC'!B140</f>
        <v>-501648</v>
      </c>
      <c r="D34" s="51">
        <f>'RC'!C140</f>
        <v>-526256</v>
      </c>
      <c r="E34" s="51">
        <f>'RC'!D140</f>
        <v>-253466</v>
      </c>
      <c r="F34" s="51">
        <f>'RC'!E140</f>
        <v>-207017</v>
      </c>
      <c r="G34" s="51">
        <f>'RC'!F140</f>
        <v>-158955</v>
      </c>
      <c r="H34" s="51">
        <f>'RC'!G140</f>
        <v>-98799</v>
      </c>
      <c r="I34" s="51">
        <f>'RC'!H140</f>
        <v>-101816</v>
      </c>
      <c r="J34" s="51">
        <f>'RC'!I140</f>
        <v>-102408</v>
      </c>
      <c r="K34" s="51">
        <f>'RC'!J140</f>
        <v>0</v>
      </c>
      <c r="L34" s="51">
        <f>'RC'!K140</f>
        <v>0</v>
      </c>
    </row>
    <row r="35" spans="1:12" ht="15.75" customHeight="1" x14ac:dyDescent="0.15">
      <c r="A35" s="49" t="s">
        <v>379</v>
      </c>
      <c r="B35" s="50" t="s">
        <v>414</v>
      </c>
      <c r="C35" s="51">
        <f>-'RC'!B157</f>
        <v>-86500.055890309159</v>
      </c>
      <c r="D35" s="51">
        <f>-'RC'!C157</f>
        <v>-21727.933571432197</v>
      </c>
      <c r="E35" s="51">
        <f>-'RC'!D157</f>
        <v>-11389.95065227886</v>
      </c>
      <c r="F35" s="51">
        <f>-'RC'!E157</f>
        <v>-41762.51322742975</v>
      </c>
      <c r="G35" s="51">
        <f>-'RC'!F157</f>
        <v>-36180.066412580454</v>
      </c>
      <c r="H35" s="51">
        <f>-'RC'!G157</f>
        <v>-22306.6809033114</v>
      </c>
      <c r="I35" s="51">
        <f>-'RC'!H157</f>
        <v>-30049.044134685544</v>
      </c>
      <c r="J35" s="51">
        <f>-'RC'!I157</f>
        <v>-32385.170083177272</v>
      </c>
      <c r="K35" s="51" t="e">
        <f>-'RC'!J157</f>
        <v>#DIV/0!</v>
      </c>
      <c r="L35" s="51" t="e">
        <f>-'RC'!K157</f>
        <v>#DIV/0!</v>
      </c>
    </row>
    <row r="36" spans="1:12" ht="15.75" customHeight="1" x14ac:dyDescent="0.15">
      <c r="A36" s="49" t="s">
        <v>379</v>
      </c>
      <c r="B36" s="50" t="s">
        <v>415</v>
      </c>
      <c r="C36" s="51">
        <f>-('RC'!B32-'RC'!C32)+('RC'!B72-'RC'!C72)</f>
        <v>0</v>
      </c>
      <c r="D36" s="51">
        <f>-('RC'!C32-'RC'!D32)+('RC'!C72-'RC'!D72)</f>
        <v>0</v>
      </c>
      <c r="E36" s="51">
        <f>-('RC'!D32-'RC'!E32)+('RC'!D72-'RC'!E72)</f>
        <v>0</v>
      </c>
      <c r="F36" s="51">
        <f>-('RC'!E32-'RC'!F32)+('RC'!E72-'RC'!F72)</f>
        <v>0</v>
      </c>
      <c r="G36" s="51">
        <f>-('RC'!F32-'RC'!G32)+('RC'!F72-'RC'!G72)</f>
        <v>0</v>
      </c>
      <c r="H36" s="51">
        <f>-('RC'!G32-'RC'!H32)+('RC'!G72-'RC'!H72)</f>
        <v>0</v>
      </c>
      <c r="I36" s="51">
        <f>-('RC'!H32-'RC'!I32)+('RC'!H72-'RC'!I72)</f>
        <v>0</v>
      </c>
      <c r="J36" s="51">
        <f>-('RC'!I32-'RC'!J32)+('RC'!I72-'RC'!J72)</f>
        <v>0</v>
      </c>
      <c r="K36" s="51">
        <f>-('RC'!J32-'RC'!K32)+('RC'!J72-'RC'!K72)</f>
        <v>0</v>
      </c>
      <c r="L36" s="51">
        <f>-('RC'!K32-'RC'!L32)+('RC'!K72-'RC'!L72)</f>
        <v>0</v>
      </c>
    </row>
    <row r="37" spans="1:12" ht="15.75" customHeight="1" x14ac:dyDescent="0.15">
      <c r="A37" s="49" t="s">
        <v>379</v>
      </c>
      <c r="B37" s="50" t="s">
        <v>416</v>
      </c>
      <c r="C37" s="51">
        <f>'RC'!B69-'RC'!C69</f>
        <v>-1581669</v>
      </c>
      <c r="D37" s="51">
        <f>'RC'!C69-'RC'!D69</f>
        <v>-25640</v>
      </c>
      <c r="E37" s="51">
        <f>'RC'!D69-'RC'!E69</f>
        <v>-654682</v>
      </c>
      <c r="F37" s="51">
        <f>'RC'!E69-'RC'!F69</f>
        <v>1068142</v>
      </c>
      <c r="G37" s="51">
        <f>'RC'!F69-'RC'!G69</f>
        <v>5715766</v>
      </c>
      <c r="H37" s="51">
        <f>'RC'!G69-'RC'!H69</f>
        <v>-220108</v>
      </c>
      <c r="I37" s="51">
        <f>'RC'!H69-'RC'!I69</f>
        <v>-143869</v>
      </c>
      <c r="J37" s="51">
        <f>'RC'!I69-'RC'!J69</f>
        <v>952264</v>
      </c>
      <c r="K37" s="51">
        <f>'RC'!J69-'RC'!K69</f>
        <v>0</v>
      </c>
      <c r="L37" s="51">
        <f>'RC'!K69-'RC'!L69</f>
        <v>0</v>
      </c>
    </row>
    <row r="38" spans="1:12" ht="15.75" customHeight="1" x14ac:dyDescent="0.15">
      <c r="A38" s="49" t="s">
        <v>379</v>
      </c>
      <c r="B38" s="50" t="s">
        <v>417</v>
      </c>
      <c r="C38" s="51">
        <f>'RC'!B70-'RC'!C70</f>
        <v>-592229</v>
      </c>
      <c r="D38" s="51">
        <f>'RC'!C70-'RC'!D70</f>
        <v>-531897</v>
      </c>
      <c r="E38" s="51">
        <f>'RC'!D70-'RC'!E70</f>
        <v>1024358</v>
      </c>
      <c r="F38" s="51">
        <f>'RC'!E70-'RC'!F70</f>
        <v>571257</v>
      </c>
      <c r="G38" s="51">
        <f>'RC'!F70-'RC'!G70</f>
        <v>-466504</v>
      </c>
      <c r="H38" s="51">
        <f>'RC'!G70-'RC'!H70</f>
        <v>1565357</v>
      </c>
      <c r="I38" s="51">
        <f>'RC'!H70-'RC'!I70</f>
        <v>-128923</v>
      </c>
      <c r="J38" s="51">
        <f>'RC'!I70-'RC'!J70</f>
        <v>1954310</v>
      </c>
      <c r="K38" s="51">
        <f>'RC'!J70-'RC'!K70</f>
        <v>0</v>
      </c>
      <c r="L38" s="51">
        <f>'RC'!K70-'RC'!L70</f>
        <v>0</v>
      </c>
    </row>
    <row r="39" spans="1:12" ht="15.75" customHeight="1" x14ac:dyDescent="0.15">
      <c r="A39" s="49" t="s">
        <v>384</v>
      </c>
      <c r="B39" s="50" t="s">
        <v>418</v>
      </c>
      <c r="C39" s="51">
        <f>-('RC'!B30-'RC'!C30)</f>
        <v>0</v>
      </c>
      <c r="D39" s="51">
        <f>-('RC'!C30-'RC'!D30)</f>
        <v>0</v>
      </c>
      <c r="E39" s="51">
        <f>-('RC'!D30-'RC'!E30)</f>
        <v>0</v>
      </c>
      <c r="F39" s="51">
        <f>-('RC'!E30-'RC'!F30)</f>
        <v>0</v>
      </c>
      <c r="G39" s="51">
        <f>-('RC'!F30-'RC'!G30)</f>
        <v>0</v>
      </c>
      <c r="H39" s="51">
        <f>-('RC'!G30-'RC'!H30)</f>
        <v>0</v>
      </c>
      <c r="I39" s="51">
        <f>-('RC'!H30-'RC'!I30)</f>
        <v>0</v>
      </c>
      <c r="J39" s="51">
        <f>-('RC'!I30-'RC'!J30)</f>
        <v>0</v>
      </c>
      <c r="K39" s="51">
        <f>-('RC'!J30-'RC'!K30)</f>
        <v>0</v>
      </c>
      <c r="L39" s="51">
        <f>-('RC'!K30-'RC'!L30)</f>
        <v>0</v>
      </c>
    </row>
    <row r="40" spans="1:12" s="57" customFormat="1" ht="15.75" customHeight="1" x14ac:dyDescent="0.15">
      <c r="A40" s="55" t="s">
        <v>386</v>
      </c>
      <c r="B40" s="56" t="s">
        <v>419</v>
      </c>
      <c r="C40" s="54">
        <f t="shared" ref="C40:L40" si="6">SUM(C34:C39)</f>
        <v>-2762046.0558903092</v>
      </c>
      <c r="D40" s="54">
        <f t="shared" si="6"/>
        <v>-1105520.9335714323</v>
      </c>
      <c r="E40" s="54">
        <f t="shared" si="6"/>
        <v>104820.04934772116</v>
      </c>
      <c r="F40" s="54">
        <f t="shared" si="6"/>
        <v>1390619.4867725703</v>
      </c>
      <c r="G40" s="54">
        <f t="shared" si="6"/>
        <v>5054126.9335874198</v>
      </c>
      <c r="H40" s="54">
        <f t="shared" si="6"/>
        <v>1224143.3190966886</v>
      </c>
      <c r="I40" s="54">
        <f t="shared" si="6"/>
        <v>-404657.04413468554</v>
      </c>
      <c r="J40" s="54">
        <f t="shared" si="6"/>
        <v>2771780.8299168227</v>
      </c>
      <c r="K40" s="54" t="e">
        <f t="shared" si="6"/>
        <v>#DIV/0!</v>
      </c>
      <c r="L40" s="54" t="e">
        <f t="shared" si="6"/>
        <v>#DIV/0!</v>
      </c>
    </row>
    <row r="41" spans="1:12" s="57" customFormat="1" ht="15.75" customHeight="1" x14ac:dyDescent="0.15">
      <c r="A41" s="62" t="s">
        <v>386</v>
      </c>
      <c r="B41" s="63" t="s">
        <v>420</v>
      </c>
      <c r="C41" s="54">
        <f t="shared" ref="C41:L41" si="7">C31+C40</f>
        <v>-279114</v>
      </c>
      <c r="D41" s="54">
        <f t="shared" si="7"/>
        <v>-265988</v>
      </c>
      <c r="E41" s="54">
        <f t="shared" si="7"/>
        <v>-1012141.9999999999</v>
      </c>
      <c r="F41" s="54">
        <f t="shared" si="7"/>
        <v>366041</v>
      </c>
      <c r="G41" s="54">
        <f t="shared" si="7"/>
        <v>1484701</v>
      </c>
      <c r="H41" s="54">
        <f t="shared" si="7"/>
        <v>366850</v>
      </c>
      <c r="I41" s="54">
        <f t="shared" si="7"/>
        <v>-375708</v>
      </c>
      <c r="J41" s="54">
        <f t="shared" si="7"/>
        <v>14876</v>
      </c>
      <c r="K41" s="54" t="e">
        <f t="shared" si="7"/>
        <v>#DIV/0!</v>
      </c>
      <c r="L41" s="54" t="e">
        <f t="shared" si="7"/>
        <v>#DIV/0!</v>
      </c>
    </row>
    <row r="42" spans="1:12" ht="15.75" customHeight="1" x14ac:dyDescent="0.15">
      <c r="A42" s="49"/>
      <c r="B42" s="50" t="s">
        <v>421</v>
      </c>
    </row>
    <row r="43" spans="1:12" ht="15.75" customHeight="1" x14ac:dyDescent="0.15">
      <c r="A43" s="49" t="s">
        <v>384</v>
      </c>
      <c r="B43" s="50" t="s">
        <v>422</v>
      </c>
      <c r="C43" s="51">
        <f>'RC'!B79</f>
        <v>4717554</v>
      </c>
      <c r="D43" s="51">
        <f>'RC'!C79</f>
        <v>4520885</v>
      </c>
      <c r="E43" s="51">
        <f>'RC'!D79</f>
        <v>3842306</v>
      </c>
      <c r="F43" s="51">
        <f>'RC'!E79</f>
        <v>2981000</v>
      </c>
      <c r="G43" s="51">
        <f>'RC'!F79</f>
        <v>2144719</v>
      </c>
      <c r="H43" s="51">
        <f>'RC'!G79</f>
        <v>1493082</v>
      </c>
      <c r="I43" s="51">
        <f>'RC'!H79</f>
        <v>922656</v>
      </c>
      <c r="J43" s="51">
        <f>'RC'!I79</f>
        <v>557912</v>
      </c>
      <c r="K43" s="51">
        <f>'RC'!J79</f>
        <v>0</v>
      </c>
      <c r="L43" s="51">
        <f>'RC'!K79</f>
        <v>0</v>
      </c>
    </row>
    <row r="44" spans="1:12" ht="15.75" customHeight="1" x14ac:dyDescent="0.15">
      <c r="A44" s="49" t="s">
        <v>384</v>
      </c>
      <c r="B44" s="50" t="s">
        <v>423</v>
      </c>
      <c r="C44" s="51">
        <f>-('RC'!B81-'RC'!C81)</f>
        <v>0</v>
      </c>
      <c r="D44" s="51">
        <f>-('RC'!C81-'RC'!D81)</f>
        <v>0</v>
      </c>
      <c r="E44" s="51">
        <f>-('RC'!D81-'RC'!E81)</f>
        <v>0</v>
      </c>
      <c r="F44" s="51">
        <f>-('RC'!E81-'RC'!F81)</f>
        <v>0</v>
      </c>
      <c r="G44" s="51">
        <f>-('RC'!F81-'RC'!G81)</f>
        <v>0</v>
      </c>
      <c r="H44" s="51">
        <f>-('RC'!G81-'RC'!H81)</f>
        <v>0</v>
      </c>
      <c r="I44" s="51">
        <f>-('RC'!H81-'RC'!I81)</f>
        <v>0</v>
      </c>
      <c r="J44" s="51">
        <f>-('RC'!I81-'RC'!J81)</f>
        <v>0</v>
      </c>
      <c r="K44" s="51">
        <f>-('RC'!J81-'RC'!K81)</f>
        <v>0</v>
      </c>
      <c r="L44" s="51">
        <f>-('RC'!K81-'RC'!L81)</f>
        <v>0</v>
      </c>
    </row>
    <row r="45" spans="1:12" ht="15.75" customHeight="1" x14ac:dyDescent="0.15">
      <c r="A45" s="49" t="s">
        <v>379</v>
      </c>
      <c r="B45" s="50" t="s">
        <v>424</v>
      </c>
      <c r="C45" s="51">
        <f>'RC'!B76-'RC'!C76</f>
        <v>0</v>
      </c>
      <c r="D45" s="51">
        <f>'RC'!C76-'RC'!D76</f>
        <v>0</v>
      </c>
      <c r="E45" s="51">
        <f>'RC'!D76-'RC'!E76</f>
        <v>0</v>
      </c>
      <c r="F45" s="51">
        <f>'RC'!E76-'RC'!F76</f>
        <v>0</v>
      </c>
      <c r="G45" s="51">
        <f>'RC'!F76-'RC'!G76</f>
        <v>0</v>
      </c>
      <c r="H45" s="51">
        <f>'RC'!G76-'RC'!H76</f>
        <v>0</v>
      </c>
      <c r="I45" s="51">
        <f>'RC'!H76-'RC'!I76</f>
        <v>0</v>
      </c>
      <c r="J45" s="51">
        <f>'RC'!I76-'RC'!J76</f>
        <v>0</v>
      </c>
      <c r="K45" s="51">
        <f>'RC'!J76-'RC'!K76</f>
        <v>0</v>
      </c>
      <c r="L45" s="51">
        <f>'RC'!K76-'RC'!L76</f>
        <v>0</v>
      </c>
    </row>
    <row r="46" spans="1:12" ht="15.75" customHeight="1" x14ac:dyDescent="0.15">
      <c r="A46" s="49" t="s">
        <v>379</v>
      </c>
      <c r="B46" s="50" t="s">
        <v>425</v>
      </c>
      <c r="C46" s="51">
        <f>'RC'!B78-'RC'!C78</f>
        <v>0</v>
      </c>
      <c r="D46" s="51">
        <f>'RC'!C78-'RC'!D78</f>
        <v>0</v>
      </c>
      <c r="E46" s="51">
        <f>'RC'!D78-'RC'!E78</f>
        <v>0</v>
      </c>
      <c r="F46" s="51">
        <f>'RC'!E78-'RC'!F78</f>
        <v>0</v>
      </c>
      <c r="G46" s="51">
        <f>'RC'!F78-'RC'!G78</f>
        <v>0</v>
      </c>
      <c r="H46" s="51">
        <f>'RC'!G78-'RC'!H78</f>
        <v>0</v>
      </c>
      <c r="I46" s="51">
        <f>'RC'!H78-'RC'!I78</f>
        <v>0</v>
      </c>
      <c r="J46" s="51">
        <f>'RC'!I78-'RC'!J78</f>
        <v>140000</v>
      </c>
      <c r="K46" s="51">
        <f>'RC'!J78-'RC'!K78</f>
        <v>0</v>
      </c>
      <c r="L46" s="51">
        <f>'RC'!K78-'RC'!L78</f>
        <v>0</v>
      </c>
    </row>
    <row r="47" spans="1:12" ht="15.75" customHeight="1" x14ac:dyDescent="0.15">
      <c r="A47" s="49" t="s">
        <v>379</v>
      </c>
      <c r="B47" s="50" t="s">
        <v>426</v>
      </c>
      <c r="C47" s="51">
        <f>'RC'!B83-'RC'!C83</f>
        <v>0</v>
      </c>
      <c r="D47" s="51">
        <f>'RC'!C83-'RC'!D83</f>
        <v>0</v>
      </c>
      <c r="E47" s="51">
        <f>'RC'!D83-'RC'!E83</f>
        <v>0</v>
      </c>
      <c r="F47" s="51">
        <f>'RC'!E83-'RC'!F83</f>
        <v>0</v>
      </c>
      <c r="G47" s="51">
        <f>'RC'!F83-'RC'!G83</f>
        <v>0</v>
      </c>
      <c r="H47" s="51">
        <f>'RC'!G83-'RC'!H83</f>
        <v>0</v>
      </c>
      <c r="I47" s="51">
        <f>'RC'!H83-'RC'!I83</f>
        <v>0</v>
      </c>
      <c r="J47" s="51">
        <f>'RC'!I83-'RC'!J83</f>
        <v>0</v>
      </c>
      <c r="K47" s="51">
        <f>'RC'!J83-'RC'!K83</f>
        <v>0</v>
      </c>
      <c r="L47" s="51">
        <f>'RC'!K83-'RC'!L83</f>
        <v>0</v>
      </c>
    </row>
    <row r="48" spans="1:12" s="57" customFormat="1" ht="15.75" customHeight="1" x14ac:dyDescent="0.15">
      <c r="A48" s="47" t="s">
        <v>386</v>
      </c>
      <c r="B48" s="48" t="s">
        <v>427</v>
      </c>
      <c r="C48" s="54">
        <f t="shared" ref="C48:L48" si="8">SUM(C43:C47)</f>
        <v>4717554</v>
      </c>
      <c r="D48" s="54">
        <f t="shared" si="8"/>
        <v>4520885</v>
      </c>
      <c r="E48" s="54">
        <f t="shared" si="8"/>
        <v>3842306</v>
      </c>
      <c r="F48" s="54">
        <f t="shared" si="8"/>
        <v>2981000</v>
      </c>
      <c r="G48" s="54">
        <f t="shared" si="8"/>
        <v>2144719</v>
      </c>
      <c r="H48" s="54">
        <f t="shared" si="8"/>
        <v>1493082</v>
      </c>
      <c r="I48" s="54">
        <f t="shared" si="8"/>
        <v>922656</v>
      </c>
      <c r="J48" s="54">
        <f t="shared" si="8"/>
        <v>697912</v>
      </c>
      <c r="K48" s="54">
        <f t="shared" si="8"/>
        <v>0</v>
      </c>
      <c r="L48" s="54">
        <f t="shared" si="8"/>
        <v>0</v>
      </c>
    </row>
    <row r="49" spans="1:12" s="57" customFormat="1" ht="15.75" customHeight="1" x14ac:dyDescent="0.15">
      <c r="A49" s="52" t="s">
        <v>386</v>
      </c>
      <c r="B49" s="53" t="s">
        <v>428</v>
      </c>
      <c r="C49" s="54">
        <f t="shared" ref="C49:L49" si="9">C41+C48</f>
        <v>4438440</v>
      </c>
      <c r="D49" s="54">
        <f t="shared" si="9"/>
        <v>4254897</v>
      </c>
      <c r="E49" s="54">
        <f t="shared" si="9"/>
        <v>2830164</v>
      </c>
      <c r="F49" s="54">
        <f t="shared" si="9"/>
        <v>3347041</v>
      </c>
      <c r="G49" s="54">
        <f t="shared" si="9"/>
        <v>3629420</v>
      </c>
      <c r="H49" s="54">
        <f t="shared" si="9"/>
        <v>1859932</v>
      </c>
      <c r="I49" s="54">
        <f t="shared" si="9"/>
        <v>546948</v>
      </c>
      <c r="J49" s="54">
        <f t="shared" si="9"/>
        <v>712788</v>
      </c>
      <c r="K49" s="54" t="e">
        <f t="shared" si="9"/>
        <v>#DIV/0!</v>
      </c>
      <c r="L49" s="54" t="e">
        <f t="shared" si="9"/>
        <v>#DIV/0!</v>
      </c>
    </row>
    <row r="51" spans="1:12" s="57" customFormat="1" ht="15.75" customHeight="1" x14ac:dyDescent="0.15">
      <c r="A51" s="64"/>
      <c r="B51" s="48" t="s">
        <v>429</v>
      </c>
    </row>
    <row r="52" spans="1:12" ht="15.75" customHeight="1" x14ac:dyDescent="0.15">
      <c r="A52" s="65" t="s">
        <v>379</v>
      </c>
      <c r="B52" s="66" t="s">
        <v>430</v>
      </c>
      <c r="C52" s="51">
        <f>'RC'!B31-'RC'!C31</f>
        <v>-649112</v>
      </c>
      <c r="D52" s="51">
        <f>'RC'!C31-'RC'!D31</f>
        <v>-265990</v>
      </c>
      <c r="E52" s="51">
        <f>'RC'!D31-'RC'!E31</f>
        <v>-1112139</v>
      </c>
      <c r="F52" s="51">
        <f>'RC'!E31-'RC'!F31</f>
        <v>281040</v>
      </c>
      <c r="G52" s="51">
        <f>'RC'!F31-'RC'!G31</f>
        <v>1384702</v>
      </c>
      <c r="H52" s="51">
        <f>'RC'!G31-'RC'!H31</f>
        <v>266851</v>
      </c>
      <c r="I52" s="51">
        <f>'RC'!H31-'RC'!I31</f>
        <v>-375710</v>
      </c>
      <c r="J52" s="51">
        <f>'RC'!I31-'RC'!J31</f>
        <v>712788</v>
      </c>
      <c r="K52" s="51">
        <f>'RC'!J31-'RC'!K31</f>
        <v>0</v>
      </c>
      <c r="L52" s="51">
        <f>'RC'!K31-'RC'!L31</f>
        <v>0</v>
      </c>
    </row>
    <row r="53" spans="1:12" ht="15.75" customHeight="1" x14ac:dyDescent="0.15">
      <c r="A53" s="65" t="s">
        <v>384</v>
      </c>
      <c r="B53" s="67" t="s">
        <v>431</v>
      </c>
      <c r="C53" s="51">
        <f>-('RC'!B71-'RC'!C71)</f>
        <v>0</v>
      </c>
      <c r="D53" s="51">
        <f>-('RC'!C71-'RC'!D71)</f>
        <v>0</v>
      </c>
      <c r="E53" s="51">
        <f>-('RC'!D71-'RC'!E71)</f>
        <v>0</v>
      </c>
      <c r="F53" s="51">
        <f>-('RC'!E71-'RC'!F71)</f>
        <v>0</v>
      </c>
      <c r="G53" s="51">
        <f>-('RC'!F71-'RC'!G71)</f>
        <v>0</v>
      </c>
      <c r="H53" s="51">
        <f>-('RC'!G71-'RC'!H71)</f>
        <v>0</v>
      </c>
      <c r="I53" s="51">
        <f>-('RC'!H71-'RC'!I71)</f>
        <v>0</v>
      </c>
      <c r="J53" s="51">
        <f>-('RC'!I71-'RC'!J71)</f>
        <v>0</v>
      </c>
      <c r="K53" s="51">
        <f>-('RC'!J71-'RC'!K71)</f>
        <v>0</v>
      </c>
      <c r="L53" s="51">
        <f>-('RC'!K71-'RC'!L71)</f>
        <v>0</v>
      </c>
    </row>
    <row r="54" spans="1:12" ht="15.75" customHeight="1" x14ac:dyDescent="0.15">
      <c r="A54" s="65" t="s">
        <v>386</v>
      </c>
      <c r="B54" s="67" t="s">
        <v>432</v>
      </c>
      <c r="C54" s="51">
        <f t="shared" ref="C54:L54" si="10">C52+C53</f>
        <v>-649112</v>
      </c>
      <c r="D54" s="51">
        <f t="shared" si="10"/>
        <v>-265990</v>
      </c>
      <c r="E54" s="51">
        <f t="shared" si="10"/>
        <v>-1112139</v>
      </c>
      <c r="F54" s="51">
        <f t="shared" si="10"/>
        <v>281040</v>
      </c>
      <c r="G54" s="51">
        <f t="shared" si="10"/>
        <v>1384702</v>
      </c>
      <c r="H54" s="51">
        <f t="shared" si="10"/>
        <v>266851</v>
      </c>
      <c r="I54" s="51">
        <f t="shared" si="10"/>
        <v>-375710</v>
      </c>
      <c r="J54" s="51">
        <f t="shared" si="10"/>
        <v>712788</v>
      </c>
      <c r="K54" s="51">
        <f t="shared" si="10"/>
        <v>0</v>
      </c>
      <c r="L54" s="51">
        <f t="shared" si="10"/>
        <v>0</v>
      </c>
    </row>
    <row r="55" spans="1:12" s="57" customFormat="1" ht="15.75" customHeight="1" x14ac:dyDescent="0.15">
      <c r="A55" s="64" t="s">
        <v>386</v>
      </c>
      <c r="B55" s="68" t="s">
        <v>433</v>
      </c>
      <c r="C55" s="54">
        <f t="shared" ref="C55:L55" si="11">C49</f>
        <v>4438440</v>
      </c>
      <c r="D55" s="54">
        <f t="shared" si="11"/>
        <v>4254897</v>
      </c>
      <c r="E55" s="54">
        <f t="shared" si="11"/>
        <v>2830164</v>
      </c>
      <c r="F55" s="54">
        <f t="shared" si="11"/>
        <v>3347041</v>
      </c>
      <c r="G55" s="54">
        <f t="shared" si="11"/>
        <v>3629420</v>
      </c>
      <c r="H55" s="54">
        <f t="shared" si="11"/>
        <v>1859932</v>
      </c>
      <c r="I55" s="54">
        <f t="shared" si="11"/>
        <v>546948</v>
      </c>
      <c r="J55" s="54">
        <f t="shared" si="11"/>
        <v>712788</v>
      </c>
      <c r="K55" s="54" t="e">
        <f t="shared" si="11"/>
        <v>#DIV/0!</v>
      </c>
      <c r="L55" s="54" t="e">
        <f t="shared" si="11"/>
        <v>#DIV/0!</v>
      </c>
    </row>
    <row r="56" spans="1:12" s="57" customFormat="1" ht="15.75" customHeight="1" x14ac:dyDescent="0.15">
      <c r="A56" s="64"/>
      <c r="B56" s="68" t="s">
        <v>434</v>
      </c>
      <c r="C56" s="54">
        <f t="shared" ref="C56:L56" si="12">C54-C55</f>
        <v>-5087552</v>
      </c>
      <c r="D56" s="54">
        <f t="shared" si="12"/>
        <v>-4520887</v>
      </c>
      <c r="E56" s="54">
        <f t="shared" si="12"/>
        <v>-3942303</v>
      </c>
      <c r="F56" s="54">
        <f t="shared" si="12"/>
        <v>-3066001</v>
      </c>
      <c r="G56" s="54">
        <f t="shared" si="12"/>
        <v>-2244718</v>
      </c>
      <c r="H56" s="54">
        <f t="shared" si="12"/>
        <v>-1593081</v>
      </c>
      <c r="I56" s="54">
        <f t="shared" si="12"/>
        <v>-922658</v>
      </c>
      <c r="J56" s="54">
        <f t="shared" si="12"/>
        <v>0</v>
      </c>
      <c r="K56" s="54" t="e">
        <f t="shared" si="12"/>
        <v>#DIV/0!</v>
      </c>
      <c r="L56" s="54" t="e">
        <f t="shared" si="12"/>
        <v>#DIV/0!</v>
      </c>
    </row>
    <row r="57" spans="1:12" ht="15.75" customHeight="1" x14ac:dyDescent="0.15">
      <c r="A57" s="64"/>
      <c r="B57" s="68" t="s">
        <v>435</v>
      </c>
    </row>
    <row r="58" spans="1:12" ht="15.75" customHeight="1" x14ac:dyDescent="0.15">
      <c r="A58" s="65" t="s">
        <v>379</v>
      </c>
      <c r="B58" s="67" t="s">
        <v>436</v>
      </c>
      <c r="C58" s="51">
        <f t="shared" ref="C58:L58" si="13">C8</f>
        <v>2404683.0558903092</v>
      </c>
      <c r="D58" s="51">
        <f t="shared" si="13"/>
        <v>2014478.9335714323</v>
      </c>
      <c r="E58" s="51">
        <f t="shared" si="13"/>
        <v>1799487.950652279</v>
      </c>
      <c r="F58" s="51">
        <f t="shared" si="13"/>
        <v>1680372.5132274297</v>
      </c>
      <c r="G58" s="51">
        <f t="shared" si="13"/>
        <v>1287696.0664125804</v>
      </c>
      <c r="H58" s="51">
        <f t="shared" si="13"/>
        <v>1053339.6809033114</v>
      </c>
      <c r="I58" s="51">
        <f t="shared" si="13"/>
        <v>987252.04413468554</v>
      </c>
      <c r="J58" s="51">
        <f t="shared" si="13"/>
        <v>714856.17008317728</v>
      </c>
      <c r="K58" s="51" t="e">
        <f t="shared" si="13"/>
        <v>#DIV/0!</v>
      </c>
      <c r="L58" s="51" t="e">
        <f t="shared" si="13"/>
        <v>#DIV/0!</v>
      </c>
    </row>
    <row r="59" spans="1:12" ht="15.75" customHeight="1" x14ac:dyDescent="0.15">
      <c r="A59" s="65" t="s">
        <v>384</v>
      </c>
      <c r="B59" s="67" t="s">
        <v>437</v>
      </c>
      <c r="C59" s="51">
        <f t="shared" ref="C59:L59" si="14">-C6</f>
        <v>-916802</v>
      </c>
      <c r="D59" s="51">
        <f t="shared" si="14"/>
        <v>-899828</v>
      </c>
      <c r="E59" s="51">
        <f t="shared" si="14"/>
        <v>-856051</v>
      </c>
      <c r="F59" s="51">
        <f t="shared" si="14"/>
        <v>-470290</v>
      </c>
      <c r="G59" s="51">
        <f t="shared" si="14"/>
        <v>-171279</v>
      </c>
      <c r="H59" s="51">
        <f t="shared" si="14"/>
        <v>-180598</v>
      </c>
      <c r="I59" s="51">
        <f t="shared" si="14"/>
        <v>-184962</v>
      </c>
      <c r="J59" s="51">
        <f t="shared" si="14"/>
        <v>-215317</v>
      </c>
      <c r="K59" s="51">
        <f t="shared" si="14"/>
        <v>0</v>
      </c>
      <c r="L59" s="51">
        <f t="shared" si="14"/>
        <v>0</v>
      </c>
    </row>
    <row r="60" spans="1:12" ht="15.75" customHeight="1" x14ac:dyDescent="0.15">
      <c r="A60" s="65" t="s">
        <v>384</v>
      </c>
      <c r="B60" s="67" t="s">
        <v>438</v>
      </c>
      <c r="C60" s="51">
        <f>('RC'!B162-'RC'!C162)*-1</f>
        <v>995051</v>
      </c>
      <c r="D60" s="51">
        <f>('RC'!C162-'RC'!D162)*-1</f>
        <v>-275118</v>
      </c>
      <c r="E60" s="51">
        <f>('RC'!D162-'RC'!E162)*-1</f>
        <v>-2060399</v>
      </c>
      <c r="F60" s="51">
        <f>('RC'!E162-'RC'!F162)*-1</f>
        <v>-2182471</v>
      </c>
      <c r="G60" s="51">
        <f>('RC'!F162-'RC'!G162)*-1</f>
        <v>-4685843</v>
      </c>
      <c r="H60" s="51">
        <f>('RC'!G162-'RC'!H162)*-1</f>
        <v>-1730035</v>
      </c>
      <c r="I60" s="51">
        <f>('RC'!H162-'RC'!I162)*-1</f>
        <v>-773341</v>
      </c>
      <c r="J60" s="51">
        <f>('RC'!I162-'RC'!J162)*-1</f>
        <v>-3249932</v>
      </c>
      <c r="K60" s="51">
        <f>('RC'!J162-'RC'!K162)*-1</f>
        <v>0</v>
      </c>
      <c r="L60" s="51">
        <f>('RC'!K162-'RC'!L162)*-1</f>
        <v>0</v>
      </c>
    </row>
    <row r="61" spans="1:12" ht="15.75" customHeight="1" x14ac:dyDescent="0.15">
      <c r="A61" s="65" t="s">
        <v>384</v>
      </c>
      <c r="B61" s="67" t="s">
        <v>439</v>
      </c>
      <c r="C61" s="51">
        <f>('RC'!B27-'RC'!C27)*-1</f>
        <v>0</v>
      </c>
      <c r="D61" s="51">
        <f>('RC'!C27-'RC'!D27)*-1</f>
        <v>0</v>
      </c>
      <c r="E61" s="51">
        <f>('RC'!D27-'RC'!E27)*-1</f>
        <v>0</v>
      </c>
      <c r="F61" s="51">
        <f>('RC'!E27-'RC'!F27)*-1</f>
        <v>-52190</v>
      </c>
      <c r="G61" s="51">
        <f>('RC'!F27-'RC'!G27)*-1</f>
        <v>0</v>
      </c>
      <c r="H61" s="51">
        <f>('RC'!G27-'RC'!H27)*-1</f>
        <v>0</v>
      </c>
      <c r="I61" s="51">
        <f>('RC'!H27-'RC'!I27)*-1</f>
        <v>0</v>
      </c>
      <c r="J61" s="51">
        <f>('RC'!I27-'RC'!J27)*-1</f>
        <v>-6512</v>
      </c>
      <c r="K61" s="51">
        <f>('RC'!J27-'RC'!K27)*-1</f>
        <v>0</v>
      </c>
      <c r="L61" s="51">
        <f>('RC'!K27-'RC'!L27)*-1</f>
        <v>0</v>
      </c>
    </row>
    <row r="62" spans="1:12" ht="15.75" customHeight="1" x14ac:dyDescent="0.15">
      <c r="A62" s="65" t="s">
        <v>379</v>
      </c>
      <c r="B62" s="67" t="s">
        <v>440</v>
      </c>
      <c r="C62" s="51">
        <f>'RC'!B66-'RC'!C66</f>
        <v>0</v>
      </c>
      <c r="D62" s="51">
        <f>'RC'!C66-'RC'!D66</f>
        <v>0</v>
      </c>
      <c r="E62" s="51">
        <f>'RC'!D66-'RC'!E66</f>
        <v>0</v>
      </c>
      <c r="F62" s="51">
        <f>'RC'!E66-'RC'!F66</f>
        <v>0</v>
      </c>
      <c r="G62" s="51">
        <f>'RC'!F66-'RC'!G66</f>
        <v>0</v>
      </c>
      <c r="H62" s="51">
        <f>'RC'!G66-'RC'!H66</f>
        <v>0</v>
      </c>
      <c r="I62" s="51">
        <f>'RC'!H66-'RC'!I66</f>
        <v>0</v>
      </c>
      <c r="J62" s="51">
        <f>'RC'!I66-'RC'!J66</f>
        <v>0</v>
      </c>
      <c r="K62" s="51">
        <f>'RC'!J66-'RC'!K66</f>
        <v>0</v>
      </c>
      <c r="L62" s="51">
        <f>'RC'!K66-'RC'!L66</f>
        <v>0</v>
      </c>
    </row>
    <row r="63" spans="1:12" ht="15.75" customHeight="1" x14ac:dyDescent="0.15">
      <c r="A63" s="65" t="s">
        <v>379</v>
      </c>
      <c r="B63" s="69" t="s">
        <v>441</v>
      </c>
      <c r="C63" s="51">
        <f>'RC'!B80-'RC'!C80</f>
        <v>0</v>
      </c>
      <c r="D63" s="51">
        <f>'RC'!C80-'RC'!D80</f>
        <v>0</v>
      </c>
      <c r="E63" s="51">
        <f>'RC'!D80-'RC'!E80</f>
        <v>0</v>
      </c>
      <c r="F63" s="51">
        <f>'RC'!E80-'RC'!F80</f>
        <v>0</v>
      </c>
      <c r="G63" s="51">
        <f>'RC'!F80-'RC'!G80</f>
        <v>0</v>
      </c>
      <c r="H63" s="51">
        <f>'RC'!G80-'RC'!H80</f>
        <v>0</v>
      </c>
      <c r="I63" s="51">
        <f>'RC'!H80-'RC'!I80</f>
        <v>0</v>
      </c>
      <c r="J63" s="51">
        <f>'RC'!I80-'RC'!J80</f>
        <v>0</v>
      </c>
      <c r="K63" s="51">
        <f>'RC'!J80-'RC'!K80</f>
        <v>0</v>
      </c>
      <c r="L63" s="51">
        <f>'RC'!K80-'RC'!L80</f>
        <v>0</v>
      </c>
    </row>
    <row r="64" spans="1:12" ht="15.75" customHeight="1" x14ac:dyDescent="0.15">
      <c r="A64" s="65" t="s">
        <v>386</v>
      </c>
      <c r="B64" s="67" t="s">
        <v>442</v>
      </c>
      <c r="C64" s="51">
        <f t="shared" ref="C64:L64" si="15">SUM(C58:C63)</f>
        <v>2482932.0558903092</v>
      </c>
      <c r="D64" s="51">
        <f t="shared" si="15"/>
        <v>839532.93357143225</v>
      </c>
      <c r="E64" s="51">
        <f t="shared" si="15"/>
        <v>-1116962.049347721</v>
      </c>
      <c r="F64" s="51">
        <f t="shared" si="15"/>
        <v>-1024578.4867725703</v>
      </c>
      <c r="G64" s="51">
        <f t="shared" si="15"/>
        <v>-3569425.9335874198</v>
      </c>
      <c r="H64" s="51">
        <f t="shared" si="15"/>
        <v>-857293.31909668865</v>
      </c>
      <c r="I64" s="51">
        <f t="shared" si="15"/>
        <v>28949.044134685537</v>
      </c>
      <c r="J64" s="51">
        <f t="shared" si="15"/>
        <v>-2756904.8299168227</v>
      </c>
      <c r="K64" s="51" t="e">
        <f t="shared" si="15"/>
        <v>#DIV/0!</v>
      </c>
      <c r="L64" s="51" t="e">
        <f t="shared" si="15"/>
        <v>#DIV/0!</v>
      </c>
    </row>
    <row r="65" spans="1:12" s="57" customFormat="1" ht="15.75" customHeight="1" x14ac:dyDescent="0.15">
      <c r="A65" s="64" t="s">
        <v>386</v>
      </c>
      <c r="B65" s="68" t="s">
        <v>443</v>
      </c>
      <c r="C65" s="54">
        <f t="shared" ref="C65:L65" si="16">C31</f>
        <v>2482932.0558903092</v>
      </c>
      <c r="D65" s="54">
        <f t="shared" si="16"/>
        <v>839532.93357143225</v>
      </c>
      <c r="E65" s="54">
        <f t="shared" si="16"/>
        <v>-1116962.049347721</v>
      </c>
      <c r="F65" s="54">
        <f t="shared" si="16"/>
        <v>-1024578.4867725703</v>
      </c>
      <c r="G65" s="54">
        <f t="shared" si="16"/>
        <v>-3569425.9335874198</v>
      </c>
      <c r="H65" s="54">
        <f t="shared" si="16"/>
        <v>-857293.31909668865</v>
      </c>
      <c r="I65" s="54">
        <f t="shared" si="16"/>
        <v>28949.044134685537</v>
      </c>
      <c r="J65" s="54">
        <f t="shared" si="16"/>
        <v>-2756904.8299168227</v>
      </c>
      <c r="K65" s="54" t="e">
        <f t="shared" si="16"/>
        <v>#DIV/0!</v>
      </c>
      <c r="L65" s="54" t="e">
        <f t="shared" si="16"/>
        <v>#DIV/0!</v>
      </c>
    </row>
    <row r="66" spans="1:12" s="57" customFormat="1" ht="15.75" customHeight="1" x14ac:dyDescent="0.15">
      <c r="A66" s="64"/>
      <c r="B66" s="68" t="s">
        <v>444</v>
      </c>
      <c r="C66" s="54">
        <f t="shared" ref="C66:L66" si="17">C64-C65</f>
        <v>0</v>
      </c>
      <c r="D66" s="54">
        <f t="shared" si="17"/>
        <v>0</v>
      </c>
      <c r="E66" s="54">
        <f t="shared" si="17"/>
        <v>0</v>
      </c>
      <c r="F66" s="54">
        <f t="shared" si="17"/>
        <v>0</v>
      </c>
      <c r="G66" s="54">
        <f t="shared" si="17"/>
        <v>0</v>
      </c>
      <c r="H66" s="54">
        <f t="shared" si="17"/>
        <v>0</v>
      </c>
      <c r="I66" s="54">
        <f t="shared" si="17"/>
        <v>0</v>
      </c>
      <c r="J66" s="54">
        <f t="shared" si="17"/>
        <v>0</v>
      </c>
      <c r="K66" s="54" t="e">
        <f t="shared" si="17"/>
        <v>#DIV/0!</v>
      </c>
      <c r="L66" s="54" t="e">
        <f t="shared" si="17"/>
        <v>#DIV/0!</v>
      </c>
    </row>
    <row r="67" spans="1:12" ht="15.75" customHeight="1" x14ac:dyDescent="0.15">
      <c r="A67" s="64"/>
      <c r="B67" s="68" t="s">
        <v>445</v>
      </c>
    </row>
    <row r="68" spans="1:12" ht="15.75" customHeight="1" x14ac:dyDescent="0.15">
      <c r="A68" s="65" t="s">
        <v>379</v>
      </c>
      <c r="B68" s="67" t="s">
        <v>446</v>
      </c>
      <c r="C68" s="51">
        <f>'RC'!B150</f>
        <v>899733</v>
      </c>
      <c r="D68" s="51">
        <f>'RC'!C150</f>
        <v>566667</v>
      </c>
      <c r="E68" s="51">
        <f>'RC'!D150</f>
        <v>678581</v>
      </c>
      <c r="F68" s="51">
        <f>'RC'!E150</f>
        <v>961303</v>
      </c>
      <c r="G68" s="51">
        <f>'RC'!F150</f>
        <v>921282</v>
      </c>
      <c r="H68" s="51">
        <f>'RC'!G150</f>
        <v>751636</v>
      </c>
      <c r="I68" s="51">
        <f>'RC'!H150</f>
        <v>670425</v>
      </c>
      <c r="J68" s="51">
        <f>'RC'!I150</f>
        <v>364746</v>
      </c>
      <c r="K68" s="51">
        <f>'RC'!J150</f>
        <v>0</v>
      </c>
      <c r="L68" s="51">
        <f>'RC'!K150</f>
        <v>0</v>
      </c>
    </row>
    <row r="69" spans="1:12" ht="15.75" customHeight="1" x14ac:dyDescent="0.15">
      <c r="A69" s="65" t="s">
        <v>384</v>
      </c>
      <c r="B69" s="67" t="s">
        <v>447</v>
      </c>
      <c r="C69" s="51">
        <f t="shared" ref="C69:L69" si="18">SUM(C60:C63)</f>
        <v>995051</v>
      </c>
      <c r="D69" s="51">
        <f t="shared" si="18"/>
        <v>-275118</v>
      </c>
      <c r="E69" s="51">
        <f t="shared" si="18"/>
        <v>-2060399</v>
      </c>
      <c r="F69" s="51">
        <f t="shared" si="18"/>
        <v>-2234661</v>
      </c>
      <c r="G69" s="51">
        <f t="shared" si="18"/>
        <v>-4685843</v>
      </c>
      <c r="H69" s="51">
        <f t="shared" si="18"/>
        <v>-1730035</v>
      </c>
      <c r="I69" s="51">
        <f t="shared" si="18"/>
        <v>-773341</v>
      </c>
      <c r="J69" s="51">
        <f t="shared" si="18"/>
        <v>-3256444</v>
      </c>
      <c r="K69" s="51">
        <f t="shared" si="18"/>
        <v>0</v>
      </c>
      <c r="L69" s="51">
        <f t="shared" si="18"/>
        <v>0</v>
      </c>
    </row>
    <row r="70" spans="1:12" ht="15.75" customHeight="1" x14ac:dyDescent="0.15">
      <c r="A70" s="65"/>
      <c r="B70" s="67" t="s">
        <v>448</v>
      </c>
      <c r="C70" s="51">
        <f t="shared" ref="C70:L70" si="19">SUM(C71:C74)</f>
        <v>-2173898</v>
      </c>
      <c r="D70" s="51">
        <f t="shared" si="19"/>
        <v>-557537</v>
      </c>
      <c r="E70" s="51">
        <f t="shared" si="19"/>
        <v>369676</v>
      </c>
      <c r="F70" s="51">
        <f t="shared" si="19"/>
        <v>1639399</v>
      </c>
      <c r="G70" s="51">
        <f t="shared" si="19"/>
        <v>5249262</v>
      </c>
      <c r="H70" s="51">
        <f t="shared" si="19"/>
        <v>1345249</v>
      </c>
      <c r="I70" s="51">
        <f t="shared" si="19"/>
        <v>-272792</v>
      </c>
      <c r="J70" s="51">
        <f t="shared" si="19"/>
        <v>2906574</v>
      </c>
      <c r="K70" s="51">
        <f t="shared" si="19"/>
        <v>0</v>
      </c>
      <c r="L70" s="51">
        <f t="shared" si="19"/>
        <v>0</v>
      </c>
    </row>
    <row r="71" spans="1:12" ht="15.75" customHeight="1" x14ac:dyDescent="0.15">
      <c r="A71" s="65"/>
      <c r="B71" s="67" t="s">
        <v>449</v>
      </c>
      <c r="C71" s="51">
        <f>'RC'!B69+'RC'!B70-'RC'!C69-'RC'!C70</f>
        <v>-2173898</v>
      </c>
      <c r="D71" s="51">
        <f>'RC'!C69+'RC'!C70-'RC'!D69-'RC'!D70</f>
        <v>-557537</v>
      </c>
      <c r="E71" s="51">
        <f>'RC'!D69+'RC'!D70-'RC'!E69-'RC'!E70</f>
        <v>369676</v>
      </c>
      <c r="F71" s="51">
        <f>'RC'!E69+'RC'!E70-'RC'!F69-'RC'!F70</f>
        <v>1639399</v>
      </c>
      <c r="G71" s="51">
        <f>'RC'!F69+'RC'!F70-'RC'!G69-'RC'!G70</f>
        <v>5249262</v>
      </c>
      <c r="H71" s="51">
        <f>'RC'!G69+'RC'!G70-'RC'!H69-'RC'!H70</f>
        <v>1345249</v>
      </c>
      <c r="I71" s="51">
        <f>'RC'!H69+'RC'!H70-'RC'!I69-'RC'!I70</f>
        <v>-272792</v>
      </c>
      <c r="J71" s="51">
        <f>'RC'!I69+'RC'!I70-'RC'!J69-'RC'!J70</f>
        <v>2906574</v>
      </c>
      <c r="K71" s="51">
        <f>'RC'!J69+'RC'!J70-'RC'!K69-'RC'!K70</f>
        <v>0</v>
      </c>
      <c r="L71" s="51">
        <f>'RC'!K69+'RC'!K70-'RC'!L69-'RC'!L70</f>
        <v>0</v>
      </c>
    </row>
    <row r="72" spans="1:12" ht="15.75" customHeight="1" x14ac:dyDescent="0.15">
      <c r="A72" s="65"/>
      <c r="B72" s="67" t="s">
        <v>450</v>
      </c>
      <c r="C72" s="51">
        <f>'RC'!B72-'RC'!C72</f>
        <v>0</v>
      </c>
      <c r="D72" s="51">
        <f>'RC'!C72-'RC'!D72</f>
        <v>0</v>
      </c>
      <c r="E72" s="51">
        <f>'RC'!D72-'RC'!E72</f>
        <v>0</v>
      </c>
      <c r="F72" s="51">
        <f>'RC'!E72-'RC'!F72</f>
        <v>0</v>
      </c>
      <c r="G72" s="51">
        <f>'RC'!F72-'RC'!G72</f>
        <v>0</v>
      </c>
      <c r="H72" s="51">
        <f>'RC'!G72-'RC'!H72</f>
        <v>0</v>
      </c>
      <c r="I72" s="51">
        <f>'RC'!H72-'RC'!I72</f>
        <v>0</v>
      </c>
      <c r="J72" s="51">
        <f>'RC'!I72-'RC'!J72</f>
        <v>0</v>
      </c>
      <c r="K72" s="51">
        <f>'RC'!J72-'RC'!K72</f>
        <v>0</v>
      </c>
      <c r="L72" s="51">
        <f>'RC'!K72-'RC'!L72</f>
        <v>0</v>
      </c>
    </row>
    <row r="73" spans="1:12" ht="15.75" customHeight="1" x14ac:dyDescent="0.15">
      <c r="A73" s="65"/>
      <c r="B73" s="67" t="s">
        <v>451</v>
      </c>
      <c r="C73" s="51">
        <f>-('RC'!B32-'RC'!C32)</f>
        <v>0</v>
      </c>
      <c r="D73" s="51">
        <f>-('RC'!C32-'RC'!D32)</f>
        <v>0</v>
      </c>
      <c r="E73" s="51">
        <f>-('RC'!D32-'RC'!E32)</f>
        <v>0</v>
      </c>
      <c r="F73" s="51">
        <f>-('RC'!E32-'RC'!F32)</f>
        <v>0</v>
      </c>
      <c r="G73" s="51">
        <f>-('RC'!F32-'RC'!G32)</f>
        <v>0</v>
      </c>
      <c r="H73" s="51">
        <f>-('RC'!G32-'RC'!H32)</f>
        <v>0</v>
      </c>
      <c r="I73" s="51">
        <f>-('RC'!H32-'RC'!I32)</f>
        <v>0</v>
      </c>
      <c r="J73" s="51">
        <f>-('RC'!I32-'RC'!J32)</f>
        <v>0</v>
      </c>
      <c r="K73" s="51">
        <f>-('RC'!J32-'RC'!K32)</f>
        <v>0</v>
      </c>
      <c r="L73" s="51">
        <f>-('RC'!K32-'RC'!L32)</f>
        <v>0</v>
      </c>
    </row>
    <row r="74" spans="1:12" ht="15.75" customHeight="1" x14ac:dyDescent="0.15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spans="1:12" ht="15.75" customHeight="1" x14ac:dyDescent="0.15">
      <c r="A75" s="65"/>
      <c r="B75" s="67" t="s">
        <v>442</v>
      </c>
      <c r="C75" s="51">
        <f t="shared" ref="C75:L75" si="20">SUM(C68:C70)</f>
        <v>-279114</v>
      </c>
      <c r="D75" s="51">
        <f t="shared" si="20"/>
        <v>-265988</v>
      </c>
      <c r="E75" s="51">
        <f t="shared" si="20"/>
        <v>-1012142</v>
      </c>
      <c r="F75" s="51">
        <f t="shared" si="20"/>
        <v>366041</v>
      </c>
      <c r="G75" s="51">
        <f t="shared" si="20"/>
        <v>1484701</v>
      </c>
      <c r="H75" s="51">
        <f t="shared" si="20"/>
        <v>366850</v>
      </c>
      <c r="I75" s="51">
        <f t="shared" si="20"/>
        <v>-375708</v>
      </c>
      <c r="J75" s="51">
        <f t="shared" si="20"/>
        <v>14876</v>
      </c>
      <c r="K75" s="51">
        <f t="shared" si="20"/>
        <v>0</v>
      </c>
      <c r="L75" s="51">
        <f t="shared" si="20"/>
        <v>0</v>
      </c>
    </row>
    <row r="76" spans="1:12" s="57" customFormat="1" ht="15.75" customHeight="1" x14ac:dyDescent="0.15">
      <c r="A76" s="64" t="s">
        <v>386</v>
      </c>
      <c r="B76" s="68" t="s">
        <v>452</v>
      </c>
      <c r="C76" s="54">
        <f t="shared" ref="C76:L76" si="21">C41</f>
        <v>-279114</v>
      </c>
      <c r="D76" s="54">
        <f t="shared" si="21"/>
        <v>-265988</v>
      </c>
      <c r="E76" s="54">
        <f t="shared" si="21"/>
        <v>-1012141.9999999999</v>
      </c>
      <c r="F76" s="54">
        <f t="shared" si="21"/>
        <v>366041</v>
      </c>
      <c r="G76" s="54">
        <f t="shared" si="21"/>
        <v>1484701</v>
      </c>
      <c r="H76" s="54">
        <f t="shared" si="21"/>
        <v>366850</v>
      </c>
      <c r="I76" s="54">
        <f t="shared" si="21"/>
        <v>-375708</v>
      </c>
      <c r="J76" s="54">
        <f t="shared" si="21"/>
        <v>14876</v>
      </c>
      <c r="K76" s="54" t="e">
        <f t="shared" si="21"/>
        <v>#DIV/0!</v>
      </c>
      <c r="L76" s="54" t="e">
        <f t="shared" si="21"/>
        <v>#DIV/0!</v>
      </c>
    </row>
    <row r="77" spans="1:12" s="57" customFormat="1" ht="15.75" customHeight="1" x14ac:dyDescent="0.15">
      <c r="A77" s="64"/>
      <c r="B77" s="68" t="s">
        <v>453</v>
      </c>
      <c r="C77" s="54">
        <f t="shared" ref="C77:L77" si="22">C75-C76</f>
        <v>0</v>
      </c>
      <c r="D77" s="54">
        <f t="shared" si="22"/>
        <v>0</v>
      </c>
      <c r="E77" s="54">
        <f t="shared" si="22"/>
        <v>0</v>
      </c>
      <c r="F77" s="54">
        <f t="shared" si="22"/>
        <v>0</v>
      </c>
      <c r="G77" s="54">
        <f t="shared" si="22"/>
        <v>0</v>
      </c>
      <c r="H77" s="54">
        <f t="shared" si="22"/>
        <v>0</v>
      </c>
      <c r="I77" s="54">
        <f t="shared" si="22"/>
        <v>0</v>
      </c>
      <c r="J77" s="54">
        <f t="shared" si="22"/>
        <v>0</v>
      </c>
      <c r="K77" s="54" t="e">
        <f t="shared" si="22"/>
        <v>#DIV/0!</v>
      </c>
      <c r="L77" s="54" t="e">
        <f t="shared" si="22"/>
        <v>#DIV/0!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K223"/>
  <sheetViews>
    <sheetView zoomScale="109" zoomScaleNormal="109" workbookViewId="0">
      <selection activeCell="A216" sqref="A216"/>
    </sheetView>
  </sheetViews>
  <sheetFormatPr baseColWidth="10" defaultColWidth="12.6640625" defaultRowHeight="15.75" customHeight="1" x14ac:dyDescent="0.15"/>
  <cols>
    <col min="1" max="1" width="46.33203125" style="44" customWidth="1"/>
    <col min="2" max="2" width="13.5" style="44" customWidth="1"/>
    <col min="3" max="16384" width="12.6640625" style="44"/>
  </cols>
  <sheetData>
    <row r="1" spans="1:11" s="70" customFormat="1" ht="18" customHeight="1" x14ac:dyDescent="0.2">
      <c r="A1" s="70" t="s">
        <v>454</v>
      </c>
      <c r="B1" s="70">
        <f>RF!C1</f>
        <v>2024</v>
      </c>
      <c r="C1" s="70">
        <f>RF!D1</f>
        <v>2023</v>
      </c>
      <c r="D1" s="70">
        <f>RF!E1</f>
        <v>2022</v>
      </c>
      <c r="E1" s="70">
        <f>RF!F1</f>
        <v>2021</v>
      </c>
      <c r="F1" s="70">
        <f>RF!G1</f>
        <v>2020</v>
      </c>
      <c r="G1" s="70">
        <f>RF!H1</f>
        <v>2019</v>
      </c>
      <c r="H1" s="70">
        <f>RF!I1</f>
        <v>2018</v>
      </c>
      <c r="I1" s="70">
        <f>RF!J1</f>
        <v>2017</v>
      </c>
      <c r="J1" s="70">
        <f>RF!K1</f>
        <v>0</v>
      </c>
      <c r="K1" s="70">
        <f>RF!L1</f>
        <v>0</v>
      </c>
    </row>
    <row r="2" spans="1:11" ht="15.75" customHeight="1" x14ac:dyDescent="0.15">
      <c r="A2" s="44" t="s">
        <v>455</v>
      </c>
    </row>
    <row r="3" spans="1:11" ht="15.75" customHeight="1" x14ac:dyDescent="0.15">
      <c r="A3" s="44" t="s">
        <v>456</v>
      </c>
      <c r="B3" s="71">
        <f>'RC'!B131+'RC'!B140+'RC'!B144</f>
        <v>1087201</v>
      </c>
      <c r="C3" s="71">
        <f>'RC'!C131+'RC'!C140+'RC'!C144</f>
        <v>591071</v>
      </c>
      <c r="D3" s="71">
        <f>'RC'!D131+'RC'!D140+'RC'!D144</f>
        <v>710509</v>
      </c>
      <c r="E3" s="71">
        <f>'RC'!E131+'RC'!E140+'RC'!E144</f>
        <v>1204240</v>
      </c>
      <c r="F3" s="71">
        <f>'RC'!F131+'RC'!F140+'RC'!F144</f>
        <v>1192771</v>
      </c>
      <c r="G3" s="71">
        <f>'RC'!G131+'RC'!G140+'RC'!G144</f>
        <v>970828</v>
      </c>
      <c r="H3" s="71">
        <f>'RC'!H131+'RC'!H140+'RC'!H144</f>
        <v>951134</v>
      </c>
      <c r="I3" s="71">
        <f>'RC'!I131+'RC'!I140+'RC'!I144</f>
        <v>533439</v>
      </c>
      <c r="J3" s="71">
        <f>'RC'!J131+'RC'!J140+'RC'!J144</f>
        <v>0</v>
      </c>
      <c r="K3" s="71">
        <f>'RC'!K131+'RC'!K140+'RC'!K144</f>
        <v>0</v>
      </c>
    </row>
    <row r="4" spans="1:11" ht="15.75" customHeight="1" x14ac:dyDescent="0.15">
      <c r="A4" s="44" t="s">
        <v>457</v>
      </c>
      <c r="B4" s="71">
        <f>'RC'!B131</f>
        <v>1588849</v>
      </c>
      <c r="C4" s="71">
        <f>'RC'!C131</f>
        <v>1117327</v>
      </c>
      <c r="D4" s="71">
        <f>'RC'!D131</f>
        <v>963975</v>
      </c>
      <c r="E4" s="71">
        <f>'RC'!E131</f>
        <v>1411257</v>
      </c>
      <c r="F4" s="71">
        <f>'RC'!F131</f>
        <v>1351726</v>
      </c>
      <c r="G4" s="71">
        <f>'RC'!G131</f>
        <v>1069627</v>
      </c>
      <c r="H4" s="71">
        <f>'RC'!H131</f>
        <v>1052950</v>
      </c>
      <c r="I4" s="71">
        <f>'RC'!I131</f>
        <v>635847</v>
      </c>
      <c r="J4" s="71">
        <f>'RC'!J131</f>
        <v>0</v>
      </c>
      <c r="K4" s="71">
        <f>'RC'!K131</f>
        <v>0</v>
      </c>
    </row>
    <row r="5" spans="1:11" ht="15.75" customHeight="1" x14ac:dyDescent="0.15">
      <c r="A5" s="44" t="s">
        <v>458</v>
      </c>
      <c r="B5" s="71">
        <f>'RC'!B123</f>
        <v>2481804</v>
      </c>
      <c r="C5" s="71">
        <f>'RC'!C123</f>
        <v>1835259</v>
      </c>
      <c r="D5" s="71">
        <f>'RC'!D123</f>
        <v>1706003</v>
      </c>
      <c r="E5" s="71">
        <f>'RC'!E123</f>
        <v>1926582</v>
      </c>
      <c r="F5" s="71">
        <f>'RC'!F123</f>
        <v>1540277</v>
      </c>
      <c r="G5" s="71">
        <f>'RC'!G123</f>
        <v>1357618</v>
      </c>
      <c r="H5" s="71">
        <f>'RC'!H123</f>
        <v>1405132</v>
      </c>
      <c r="I5" s="71">
        <f>'RC'!I123</f>
        <v>1124651</v>
      </c>
      <c r="J5" s="71">
        <f>'RC'!J123</f>
        <v>0</v>
      </c>
      <c r="K5" s="71">
        <f>'RC'!K123</f>
        <v>0</v>
      </c>
    </row>
    <row r="6" spans="1:11" ht="15.75" customHeight="1" x14ac:dyDescent="0.15">
      <c r="A6" s="44" t="s">
        <v>459</v>
      </c>
      <c r="B6" s="71">
        <f>'RC'!B150</f>
        <v>899733</v>
      </c>
      <c r="C6" s="71">
        <f>'RC'!C150</f>
        <v>566667</v>
      </c>
      <c r="D6" s="71">
        <f>'RC'!D150</f>
        <v>678581</v>
      </c>
      <c r="E6" s="71">
        <f>'RC'!E150</f>
        <v>961303</v>
      </c>
      <c r="F6" s="71">
        <f>'RC'!F150</f>
        <v>921282</v>
      </c>
      <c r="G6" s="71">
        <f>'RC'!G150</f>
        <v>751636</v>
      </c>
      <c r="H6" s="71">
        <f>'RC'!H150</f>
        <v>670425</v>
      </c>
      <c r="I6" s="71">
        <f>'RC'!I150</f>
        <v>364746</v>
      </c>
      <c r="J6" s="71">
        <f>'RC'!J150</f>
        <v>0</v>
      </c>
      <c r="K6" s="71">
        <f>'RC'!K150</f>
        <v>0</v>
      </c>
    </row>
    <row r="7" spans="1:11" ht="15.75" customHeight="1" x14ac:dyDescent="0.15">
      <c r="A7" s="44" t="s">
        <v>460</v>
      </c>
      <c r="B7" s="71">
        <f>'RC'!B111</f>
        <v>21650995</v>
      </c>
      <c r="C7" s="71">
        <f>'RC'!C111</f>
        <v>21142391</v>
      </c>
      <c r="D7" s="71">
        <f>'RC'!D111</f>
        <v>17821289</v>
      </c>
      <c r="E7" s="71">
        <f>'RC'!E111</f>
        <v>15638358</v>
      </c>
      <c r="F7" s="71">
        <f>'RC'!F111</f>
        <v>14336879</v>
      </c>
      <c r="G7" s="71">
        <f>'RC'!G111</f>
        <v>13550152</v>
      </c>
      <c r="H7" s="71">
        <f>'RC'!H111</f>
        <v>11519434</v>
      </c>
      <c r="I7" s="71">
        <f>'RC'!I111</f>
        <v>9917341</v>
      </c>
      <c r="J7" s="71">
        <f>'RC'!J111</f>
        <v>0</v>
      </c>
      <c r="K7" s="71">
        <f>'RC'!K111</f>
        <v>0</v>
      </c>
    </row>
    <row r="8" spans="1:11" ht="15.75" customHeight="1" x14ac:dyDescent="0.15">
      <c r="A8" s="44" t="s">
        <v>461</v>
      </c>
      <c r="B8" s="71">
        <f>'RC'!C111</f>
        <v>21142391</v>
      </c>
      <c r="C8" s="71">
        <f>'RC'!D111</f>
        <v>17821289</v>
      </c>
      <c r="D8" s="71">
        <f>'RC'!E111</f>
        <v>15638358</v>
      </c>
      <c r="E8" s="71">
        <f>'RC'!F111</f>
        <v>14336879</v>
      </c>
      <c r="F8" s="71">
        <f>'RC'!G111</f>
        <v>13550152</v>
      </c>
      <c r="G8" s="71">
        <f>'RC'!H111</f>
        <v>11519434</v>
      </c>
      <c r="H8" s="71">
        <f>'RC'!I111</f>
        <v>9917341</v>
      </c>
      <c r="I8" s="71">
        <f>'RC'!J111</f>
        <v>0</v>
      </c>
      <c r="J8" s="71">
        <f>'RC'!K111</f>
        <v>0</v>
      </c>
      <c r="K8" s="71">
        <f>'RC'!L111</f>
        <v>0</v>
      </c>
    </row>
    <row r="9" spans="1:11" ht="15.75" customHeight="1" x14ac:dyDescent="0.15">
      <c r="A9" s="44" t="s">
        <v>462</v>
      </c>
      <c r="B9" s="71">
        <f t="shared" ref="B9:K9" si="0">B7*1.22/365</f>
        <v>72367.709315068496</v>
      </c>
      <c r="C9" s="71">
        <f t="shared" si="0"/>
        <v>70667.717863013691</v>
      </c>
      <c r="D9" s="71">
        <f t="shared" si="0"/>
        <v>59567.048164383559</v>
      </c>
      <c r="E9" s="71">
        <f t="shared" si="0"/>
        <v>52270.676054794516</v>
      </c>
      <c r="F9" s="71">
        <f t="shared" si="0"/>
        <v>47920.527068493146</v>
      </c>
      <c r="G9" s="71">
        <f t="shared" si="0"/>
        <v>45290.919013698629</v>
      </c>
      <c r="H9" s="71">
        <f t="shared" si="0"/>
        <v>38503.313643835616</v>
      </c>
      <c r="I9" s="71">
        <f t="shared" si="0"/>
        <v>33148.372657534244</v>
      </c>
      <c r="J9" s="71">
        <f t="shared" si="0"/>
        <v>0</v>
      </c>
      <c r="K9" s="71">
        <f t="shared" si="0"/>
        <v>0</v>
      </c>
    </row>
    <row r="10" spans="1:11" ht="15.75" customHeight="1" x14ac:dyDescent="0.15">
      <c r="A10" s="44" t="s">
        <v>463</v>
      </c>
      <c r="B10" s="71">
        <f>'RC'!B116</f>
        <v>-17239201</v>
      </c>
      <c r="C10" s="71">
        <f>'RC'!C116</f>
        <v>-17541147</v>
      </c>
      <c r="D10" s="71">
        <f>'RC'!D116</f>
        <v>-16838729</v>
      </c>
      <c r="E10" s="71">
        <f>'RC'!E116</f>
        <v>-12600246</v>
      </c>
      <c r="F10" s="71">
        <f>'RC'!F116</f>
        <v>-11051119</v>
      </c>
      <c r="G10" s="71">
        <f>'RC'!G116</f>
        <v>-11504899</v>
      </c>
      <c r="H10" s="71">
        <f>'RC'!H116</f>
        <v>-9369872</v>
      </c>
      <c r="I10" s="71">
        <f>'RC'!I116</f>
        <v>-7915457</v>
      </c>
      <c r="J10" s="71">
        <f>'RC'!J116</f>
        <v>0</v>
      </c>
      <c r="K10" s="71">
        <f>'RC'!K116</f>
        <v>0</v>
      </c>
    </row>
    <row r="11" spans="1:11" ht="15.75" customHeight="1" x14ac:dyDescent="0.15">
      <c r="A11" s="44" t="s">
        <v>464</v>
      </c>
      <c r="B11" s="71">
        <f>'RC'!B116*1.22/365</f>
        <v>-57621.438958904109</v>
      </c>
      <c r="C11" s="71">
        <f>'RC'!C116*1.22/365</f>
        <v>-58630.683123287672</v>
      </c>
      <c r="D11" s="71">
        <f>'RC'!D116*1.22/365</f>
        <v>-56282.875013698627</v>
      </c>
      <c r="E11" s="71">
        <f>'RC'!E116*1.22/365</f>
        <v>-42115.890739726026</v>
      </c>
      <c r="F11" s="71">
        <f>'RC'!F116*1.22/365</f>
        <v>-36937.986794520548</v>
      </c>
      <c r="G11" s="71">
        <f>'RC'!G116*1.22/365</f>
        <v>-38454.730904109587</v>
      </c>
      <c r="H11" s="71">
        <f>'RC'!H116*1.22/365</f>
        <v>-31318.476273972603</v>
      </c>
      <c r="I11" s="71">
        <f>'RC'!I116*1.22/365</f>
        <v>-26457.143945205476</v>
      </c>
      <c r="J11" s="71">
        <f>'RC'!J116*1.22/365</f>
        <v>0</v>
      </c>
      <c r="K11" s="71">
        <f>'RC'!K116*1.22/365</f>
        <v>0</v>
      </c>
    </row>
    <row r="12" spans="1:11" ht="15.75" customHeight="1" x14ac:dyDescent="0.15">
      <c r="A12" s="44" t="s">
        <v>465</v>
      </c>
      <c r="B12" s="71">
        <f>AVERAGE('RC'!B120:C120)/365</f>
        <v>-48523.010958904109</v>
      </c>
      <c r="C12" s="71">
        <f>AVERAGE('RC'!C120:D120)/365</f>
        <v>-44197.124657534245</v>
      </c>
      <c r="D12" s="71">
        <f>AVERAGE('RC'!D120:E120)/365</f>
        <v>-36637.517808219178</v>
      </c>
      <c r="E12" s="71">
        <f>AVERAGE('RC'!E120:F120)/365</f>
        <v>-32517.417808219179</v>
      </c>
      <c r="F12" s="71">
        <f>AVERAGE('RC'!F120:G120)/365</f>
        <v>-30714.494520547945</v>
      </c>
      <c r="G12" s="71">
        <f>AVERAGE('RC'!G120:H120)/365</f>
        <v>-27307.786301369862</v>
      </c>
      <c r="H12" s="71">
        <f>AVERAGE('RC'!H120:I120)/365</f>
        <v>-23215.594520547944</v>
      </c>
      <c r="I12" s="71">
        <f>AVERAGE('RC'!I120:J120)/365</f>
        <v>-10861.805479452054</v>
      </c>
      <c r="J12" s="71">
        <f>AVERAGE('RC'!J120:K120)/365</f>
        <v>0</v>
      </c>
      <c r="K12" s="71">
        <f>AVERAGE('RC'!K120:L120)/365</f>
        <v>0</v>
      </c>
    </row>
    <row r="13" spans="1:11" ht="15.75" customHeight="1" x14ac:dyDescent="0.15">
      <c r="A13" s="44" t="s">
        <v>466</v>
      </c>
      <c r="B13" s="71">
        <f>AVERAGE('RC'!B122:C122)/365</f>
        <v>-4184.2808219178078</v>
      </c>
      <c r="C13" s="71">
        <f>AVERAGE('RC'!C122:D122)/365</f>
        <v>-4326.7356164383564</v>
      </c>
      <c r="D13" s="71">
        <f>AVERAGE('RC'!D122:E122)/365</f>
        <v>-4221.4712328767127</v>
      </c>
      <c r="E13" s="71">
        <f>AVERAGE('RC'!E122:F122)/365</f>
        <v>-3795.4287671232878</v>
      </c>
      <c r="F13" s="71">
        <f>AVERAGE('RC'!F122:G122)/365</f>
        <v>-3517.1986301369861</v>
      </c>
      <c r="G13" s="71">
        <f>AVERAGE('RC'!G122:H122)/365</f>
        <v>-3249.523287671233</v>
      </c>
      <c r="H13" s="71">
        <f>AVERAGE('RC'!H122:I122)/365</f>
        <v>-2684.3945205479454</v>
      </c>
      <c r="I13" s="71">
        <f>AVERAGE('RC'!I122:J122)/365</f>
        <v>-1182.9753424657533</v>
      </c>
      <c r="J13" s="71">
        <f>AVERAGE('RC'!J122:K122)/365</f>
        <v>0</v>
      </c>
      <c r="K13" s="71">
        <f>AVERAGE('RC'!K122:L122)/365</f>
        <v>0</v>
      </c>
    </row>
    <row r="14" spans="1:11" ht="15.75" customHeight="1" x14ac:dyDescent="0.15">
      <c r="A14" s="44" t="s">
        <v>467</v>
      </c>
      <c r="B14" s="71">
        <f>AVERAGE('RC'!B93,'RC'!C93)</f>
        <v>14459613.5</v>
      </c>
      <c r="C14" s="71">
        <f>AVERAGE('RC'!C93,'RC'!D93)</f>
        <v>14819580</v>
      </c>
      <c r="D14" s="71">
        <f>AVERAGE('RC'!D93,'RC'!E93)</f>
        <v>13651821.5</v>
      </c>
      <c r="E14" s="71">
        <f>AVERAGE('RC'!E93,'RC'!F93)</f>
        <v>11530386.5</v>
      </c>
      <c r="F14" s="71">
        <f>AVERAGE('RC'!F93,'RC'!G93)</f>
        <v>8096229.5</v>
      </c>
      <c r="G14" s="71">
        <f>AVERAGE('RC'!G93,'RC'!H93)</f>
        <v>4888290.5</v>
      </c>
      <c r="H14" s="71">
        <f>AVERAGE('RC'!H93,'RC'!I93)</f>
        <v>3636602.5</v>
      </c>
      <c r="I14" s="71">
        <f>AVERAGE('RC'!I93,'RC'!J93)</f>
        <v>1624966</v>
      </c>
      <c r="J14" s="71">
        <f>AVERAGE('RC'!J93,'RC'!K93)</f>
        <v>0</v>
      </c>
      <c r="K14" s="71">
        <f>AVERAGE('RC'!K93,'RC'!L93)</f>
        <v>0</v>
      </c>
    </row>
    <row r="15" spans="1:11" ht="15.75" customHeight="1" x14ac:dyDescent="0.15">
      <c r="A15" s="44" t="s">
        <v>468</v>
      </c>
      <c r="B15" s="71">
        <f>'RC'!C93</f>
        <v>14957139</v>
      </c>
      <c r="C15" s="71">
        <f>'RC'!D93</f>
        <v>14682021</v>
      </c>
      <c r="D15" s="71">
        <f>'RC'!E93</f>
        <v>12621622</v>
      </c>
      <c r="E15" s="71">
        <f>'RC'!F93</f>
        <v>10439151</v>
      </c>
      <c r="F15" s="71">
        <f>'RC'!G93</f>
        <v>5753308</v>
      </c>
      <c r="G15" s="71">
        <f>'RC'!H93</f>
        <v>4023273</v>
      </c>
      <c r="H15" s="71">
        <f>'RC'!I93</f>
        <v>3249932</v>
      </c>
      <c r="I15" s="71">
        <f>'RC'!J93</f>
        <v>0</v>
      </c>
      <c r="J15" s="71">
        <f>'RC'!K93</f>
        <v>0</v>
      </c>
      <c r="K15" s="71">
        <f>'RC'!L93</f>
        <v>0</v>
      </c>
    </row>
    <row r="16" spans="1:11" ht="15.75" customHeight="1" x14ac:dyDescent="0.15">
      <c r="A16" s="44" t="s">
        <v>469</v>
      </c>
      <c r="B16" s="71">
        <f>'RC'!B93</f>
        <v>13962088</v>
      </c>
      <c r="C16" s="71">
        <f>'RC'!C93</f>
        <v>14957139</v>
      </c>
      <c r="D16" s="71">
        <f>'RC'!D93</f>
        <v>14682021</v>
      </c>
      <c r="E16" s="71">
        <f>'RC'!E93</f>
        <v>12621622</v>
      </c>
      <c r="F16" s="71">
        <f>'RC'!F93</f>
        <v>10439151</v>
      </c>
      <c r="G16" s="71">
        <f>'RC'!G93</f>
        <v>5753308</v>
      </c>
      <c r="H16" s="71">
        <f>'RC'!H93</f>
        <v>4023273</v>
      </c>
      <c r="I16" s="71">
        <f>'RC'!I93</f>
        <v>3249932</v>
      </c>
      <c r="J16" s="71">
        <f>'RC'!J93</f>
        <v>0</v>
      </c>
      <c r="K16" s="71">
        <f>'RC'!K93</f>
        <v>0</v>
      </c>
    </row>
    <row r="17" spans="1:11" ht="15.75" customHeight="1" x14ac:dyDescent="0.15">
      <c r="A17" s="44" t="s">
        <v>470</v>
      </c>
      <c r="B17" s="71">
        <f>'RC'!B144</f>
        <v>0</v>
      </c>
      <c r="C17" s="71">
        <f>'RC'!C144</f>
        <v>0</v>
      </c>
      <c r="D17" s="71">
        <f>'RC'!D144</f>
        <v>0</v>
      </c>
      <c r="E17" s="71">
        <f>'RC'!E144</f>
        <v>0</v>
      </c>
      <c r="F17" s="71">
        <f>'RC'!F144</f>
        <v>0</v>
      </c>
      <c r="G17" s="71">
        <f>'RC'!G144</f>
        <v>0</v>
      </c>
      <c r="H17" s="71">
        <f>'RC'!H144</f>
        <v>0</v>
      </c>
      <c r="I17" s="71">
        <f>'RC'!I144</f>
        <v>0</v>
      </c>
      <c r="J17" s="71">
        <f>'RC'!J144</f>
        <v>0</v>
      </c>
      <c r="K17" s="71">
        <f>'RC'!K144</f>
        <v>0</v>
      </c>
    </row>
    <row r="18" spans="1:11" ht="15.75" customHeight="1" x14ac:dyDescent="0.15">
      <c r="A18" s="44" t="s">
        <v>471</v>
      </c>
      <c r="B18" s="71">
        <f>AVERAGE('RC'!B94,'RC'!C94)</f>
        <v>58702</v>
      </c>
      <c r="C18" s="71">
        <f>AVERAGE('RC'!C94,'RC'!D94)</f>
        <v>58702</v>
      </c>
      <c r="D18" s="71">
        <f>AVERAGE('RC'!D94,'RC'!E94)</f>
        <v>58702</v>
      </c>
      <c r="E18" s="71">
        <f>AVERAGE('RC'!E94,'RC'!F94)</f>
        <v>32607</v>
      </c>
      <c r="F18" s="71">
        <f>AVERAGE('RC'!F94,'RC'!G94)</f>
        <v>6512</v>
      </c>
      <c r="G18" s="71">
        <f>AVERAGE('RC'!G94,'RC'!H94)</f>
        <v>6512</v>
      </c>
      <c r="H18" s="71">
        <f>AVERAGE('RC'!H94,'RC'!I94)</f>
        <v>6512</v>
      </c>
      <c r="I18" s="71">
        <f>AVERAGE('RC'!I94,'RC'!J94)</f>
        <v>3256</v>
      </c>
      <c r="J18" s="71">
        <f>AVERAGE('RC'!J94,'RC'!K94)</f>
        <v>0</v>
      </c>
      <c r="K18" s="71">
        <f>AVERAGE('RC'!K94,'RC'!L94)</f>
        <v>0</v>
      </c>
    </row>
    <row r="19" spans="1:11" ht="15.75" customHeight="1" x14ac:dyDescent="0.15">
      <c r="A19" s="44" t="s">
        <v>472</v>
      </c>
      <c r="B19" s="71">
        <f>AVERAGE('RC'!B27,'RC'!C27)</f>
        <v>58702</v>
      </c>
      <c r="C19" s="71">
        <f>AVERAGE('RC'!C27,'RC'!D27)</f>
        <v>58702</v>
      </c>
      <c r="D19" s="71">
        <f>AVERAGE('RC'!D27,'RC'!E27)</f>
        <v>58702</v>
      </c>
      <c r="E19" s="71">
        <f>AVERAGE('RC'!E27,'RC'!F27)</f>
        <v>32607</v>
      </c>
      <c r="F19" s="71">
        <f>AVERAGE('RC'!F27,'RC'!G27)</f>
        <v>6512</v>
      </c>
      <c r="G19" s="71">
        <f>AVERAGE('RC'!G27,'RC'!H27)</f>
        <v>6512</v>
      </c>
      <c r="H19" s="71">
        <f>AVERAGE('RC'!H27,'RC'!I27)</f>
        <v>6512</v>
      </c>
      <c r="I19" s="71">
        <f>AVERAGE('RC'!I27,'RC'!J27)</f>
        <v>3256</v>
      </c>
      <c r="J19" s="71">
        <f>AVERAGE('RC'!J27,'RC'!K27)</f>
        <v>0</v>
      </c>
      <c r="K19" s="71">
        <f>AVERAGE('RC'!K27,'RC'!L27)</f>
        <v>0</v>
      </c>
    </row>
    <row r="20" spans="1:11" ht="15.75" customHeight="1" x14ac:dyDescent="0.15">
      <c r="A20" s="44" t="s">
        <v>473</v>
      </c>
      <c r="B20" s="71">
        <f>'RC'!B27</f>
        <v>58702</v>
      </c>
      <c r="C20" s="71">
        <f>'RC'!C27</f>
        <v>58702</v>
      </c>
      <c r="D20" s="71">
        <f>'RC'!D27</f>
        <v>58702</v>
      </c>
      <c r="E20" s="71">
        <f>'RC'!E27</f>
        <v>58702</v>
      </c>
      <c r="F20" s="71">
        <f>'RC'!F27</f>
        <v>6512</v>
      </c>
      <c r="G20" s="71">
        <f>'RC'!G27</f>
        <v>6512</v>
      </c>
      <c r="H20" s="71">
        <f>'RC'!H27</f>
        <v>6512</v>
      </c>
      <c r="I20" s="71">
        <f>'RC'!I27</f>
        <v>6512</v>
      </c>
      <c r="J20" s="71">
        <f>'RC'!J27</f>
        <v>0</v>
      </c>
      <c r="K20" s="71">
        <f>'RC'!K27</f>
        <v>0</v>
      </c>
    </row>
    <row r="21" spans="1:11" ht="15.75" customHeight="1" x14ac:dyDescent="0.15">
      <c r="A21" s="44" t="s">
        <v>474</v>
      </c>
      <c r="B21" s="71">
        <f>AVERAGE('RC'!B66,'RC'!C66)</f>
        <v>0</v>
      </c>
      <c r="C21" s="71">
        <f>AVERAGE('RC'!C66,'RC'!D66)</f>
        <v>0</v>
      </c>
      <c r="D21" s="71">
        <f>AVERAGE('RC'!D66,'RC'!E66)</f>
        <v>0</v>
      </c>
      <c r="E21" s="71">
        <f>AVERAGE('RC'!E66,'RC'!F66)</f>
        <v>0</v>
      </c>
      <c r="F21" s="71">
        <f>AVERAGE('RC'!F66,'RC'!G66)</f>
        <v>0</v>
      </c>
      <c r="G21" s="71">
        <f>AVERAGE('RC'!G66,'RC'!H66)</f>
        <v>0</v>
      </c>
      <c r="H21" s="71">
        <f>AVERAGE('RC'!H66,'RC'!I66)</f>
        <v>0</v>
      </c>
      <c r="I21" s="71">
        <f>AVERAGE('RC'!I66,'RC'!J66)</f>
        <v>0</v>
      </c>
      <c r="J21" s="71">
        <f>AVERAGE('RC'!J66,'RC'!K66)</f>
        <v>0</v>
      </c>
      <c r="K21" s="71">
        <f>AVERAGE('RC'!K66,'RC'!L66)</f>
        <v>0</v>
      </c>
    </row>
    <row r="22" spans="1:11" ht="15.75" customHeight="1" x14ac:dyDescent="0.15">
      <c r="A22" s="44" t="s">
        <v>475</v>
      </c>
      <c r="B22" s="71">
        <f>'RC'!B66</f>
        <v>0</v>
      </c>
      <c r="C22" s="71">
        <f>'RC'!C66</f>
        <v>0</v>
      </c>
      <c r="D22" s="71">
        <f>'RC'!D66</f>
        <v>0</v>
      </c>
      <c r="E22" s="71">
        <f>'RC'!E66</f>
        <v>0</v>
      </c>
      <c r="F22" s="71">
        <f>'RC'!F66</f>
        <v>0</v>
      </c>
      <c r="G22" s="71">
        <f>'RC'!G66</f>
        <v>0</v>
      </c>
      <c r="H22" s="71">
        <f>'RC'!H66</f>
        <v>0</v>
      </c>
      <c r="I22" s="71">
        <f>'RC'!I66</f>
        <v>0</v>
      </c>
      <c r="J22" s="71">
        <f>'RC'!J66</f>
        <v>0</v>
      </c>
      <c r="K22" s="71">
        <f>'RC'!K66</f>
        <v>0</v>
      </c>
    </row>
    <row r="23" spans="1:11" ht="15.75" customHeight="1" x14ac:dyDescent="0.15">
      <c r="A23" s="44" t="s">
        <v>476</v>
      </c>
      <c r="B23" s="71">
        <f>'RC'!B145</f>
        <v>0</v>
      </c>
      <c r="C23" s="71">
        <f>'RC'!C145</f>
        <v>0</v>
      </c>
      <c r="D23" s="71">
        <f>'RC'!D145</f>
        <v>0</v>
      </c>
      <c r="E23" s="71">
        <f>'RC'!E145</f>
        <v>0</v>
      </c>
      <c r="F23" s="71">
        <f>'RC'!F145</f>
        <v>0</v>
      </c>
      <c r="G23" s="71">
        <f>'RC'!G145</f>
        <v>0</v>
      </c>
      <c r="H23" s="71">
        <f>'RC'!H145</f>
        <v>0</v>
      </c>
      <c r="I23" s="71">
        <f>'RC'!I145</f>
        <v>0</v>
      </c>
      <c r="J23" s="71">
        <f>'RC'!J145</f>
        <v>0</v>
      </c>
      <c r="K23" s="71">
        <f>'RC'!K145</f>
        <v>0</v>
      </c>
    </row>
    <row r="24" spans="1:11" ht="15.75" customHeight="1" x14ac:dyDescent="0.15">
      <c r="A24" s="44" t="s">
        <v>477</v>
      </c>
      <c r="B24" s="71">
        <f t="shared" ref="B24:K24" si="1">B30-B31</f>
        <v>9025896</v>
      </c>
      <c r="C24" s="71">
        <f t="shared" si="1"/>
        <v>9934062.5</v>
      </c>
      <c r="D24" s="71">
        <f t="shared" si="1"/>
        <v>9338928.5</v>
      </c>
      <c r="E24" s="71">
        <f t="shared" si="1"/>
        <v>7918841.5</v>
      </c>
      <c r="F24" s="71">
        <f t="shared" si="1"/>
        <v>5307382</v>
      </c>
      <c r="G24" s="71">
        <f t="shared" si="1"/>
        <v>2835903</v>
      </c>
      <c r="H24" s="71">
        <f t="shared" si="1"/>
        <v>2245245</v>
      </c>
      <c r="I24" s="71">
        <f t="shared" si="1"/>
        <v>1096893</v>
      </c>
      <c r="J24" s="71">
        <f t="shared" si="1"/>
        <v>0</v>
      </c>
      <c r="K24" s="71">
        <f t="shared" si="1"/>
        <v>0</v>
      </c>
    </row>
    <row r="25" spans="1:11" ht="15.75" customHeight="1" x14ac:dyDescent="0.15">
      <c r="A25" s="44" t="s">
        <v>478</v>
      </c>
      <c r="B25" s="71">
        <f t="shared" ref="B25:K25" si="2">IF(B24&gt;0, B24, 0)</f>
        <v>9025896</v>
      </c>
      <c r="C25" s="71">
        <f t="shared" si="2"/>
        <v>9934062.5</v>
      </c>
      <c r="D25" s="71">
        <f t="shared" si="2"/>
        <v>9338928.5</v>
      </c>
      <c r="E25" s="71">
        <f t="shared" si="2"/>
        <v>7918841.5</v>
      </c>
      <c r="F25" s="71">
        <f t="shared" si="2"/>
        <v>5307382</v>
      </c>
      <c r="G25" s="71">
        <f t="shared" si="2"/>
        <v>2835903</v>
      </c>
      <c r="H25" s="71">
        <f t="shared" si="2"/>
        <v>2245245</v>
      </c>
      <c r="I25" s="71">
        <f t="shared" si="2"/>
        <v>1096893</v>
      </c>
      <c r="J25" s="71">
        <f t="shared" si="2"/>
        <v>0</v>
      </c>
      <c r="K25" s="71">
        <f t="shared" si="2"/>
        <v>0</v>
      </c>
    </row>
    <row r="26" spans="1:11" ht="15.75" customHeight="1" x14ac:dyDescent="0.15">
      <c r="A26" s="44" t="s">
        <v>479</v>
      </c>
      <c r="B26" s="71">
        <f>IF(B24&lt;0, -B24, 0)</f>
        <v>0</v>
      </c>
      <c r="C26" s="71">
        <f t="shared" ref="C26:K26" si="3">IF(C24&lt;0, C24, 0)</f>
        <v>0</v>
      </c>
      <c r="D26" s="71">
        <f t="shared" si="3"/>
        <v>0</v>
      </c>
      <c r="E26" s="71">
        <f t="shared" si="3"/>
        <v>0</v>
      </c>
      <c r="F26" s="71">
        <f t="shared" si="3"/>
        <v>0</v>
      </c>
      <c r="G26" s="71">
        <f t="shared" si="3"/>
        <v>0</v>
      </c>
      <c r="H26" s="71">
        <f t="shared" si="3"/>
        <v>0</v>
      </c>
      <c r="I26" s="71">
        <f t="shared" si="3"/>
        <v>0</v>
      </c>
      <c r="J26" s="71">
        <f t="shared" si="3"/>
        <v>0</v>
      </c>
      <c r="K26" s="71">
        <f t="shared" si="3"/>
        <v>0</v>
      </c>
    </row>
    <row r="27" spans="1:11" ht="15.75" customHeight="1" x14ac:dyDescent="0.15">
      <c r="A27" s="44" t="s">
        <v>480</v>
      </c>
      <c r="B27" s="71">
        <f>'RC'!B138</f>
        <v>-503404</v>
      </c>
      <c r="C27" s="71">
        <f>'RC'!C138</f>
        <v>-528343</v>
      </c>
      <c r="D27" s="71">
        <f>'RC'!D138</f>
        <v>-253674</v>
      </c>
      <c r="E27" s="71">
        <f>'RC'!E138</f>
        <v>-207408</v>
      </c>
      <c r="F27" s="71">
        <f>'RC'!F138</f>
        <v>-159160</v>
      </c>
      <c r="G27" s="71">
        <f>'RC'!G138</f>
        <v>-102930</v>
      </c>
      <c r="H27" s="71">
        <f>'RC'!H138</f>
        <v>-102001</v>
      </c>
      <c r="I27" s="71">
        <f>'RC'!I138</f>
        <v>-102507</v>
      </c>
      <c r="J27" s="71">
        <f>'RC'!J138</f>
        <v>0</v>
      </c>
      <c r="K27" s="71">
        <f>'RC'!K138</f>
        <v>0</v>
      </c>
    </row>
    <row r="28" spans="1:11" ht="15.75" customHeight="1" x14ac:dyDescent="0.15">
      <c r="A28" s="44" t="s">
        <v>481</v>
      </c>
      <c r="B28" s="71">
        <f>'RC'!B137</f>
        <v>1756</v>
      </c>
      <c r="C28" s="71">
        <f>'RC'!C137</f>
        <v>2087</v>
      </c>
      <c r="D28" s="71">
        <f>'RC'!D137</f>
        <v>208</v>
      </c>
      <c r="E28" s="71">
        <f>'RC'!E137</f>
        <v>391</v>
      </c>
      <c r="F28" s="71">
        <f>'RC'!F137</f>
        <v>205</v>
      </c>
      <c r="G28" s="71">
        <f>'RC'!G137</f>
        <v>4131</v>
      </c>
      <c r="H28" s="71">
        <f>'RC'!H137</f>
        <v>185</v>
      </c>
      <c r="I28" s="71">
        <f>'RC'!I137</f>
        <v>99</v>
      </c>
      <c r="J28" s="71">
        <f>'RC'!J137</f>
        <v>0</v>
      </c>
      <c r="K28" s="71">
        <f>'RC'!K137</f>
        <v>0</v>
      </c>
    </row>
    <row r="29" spans="1:11" ht="15.75" customHeight="1" x14ac:dyDescent="0.15">
      <c r="A29" s="44" t="s">
        <v>482</v>
      </c>
      <c r="B29" s="71">
        <f>'RC'!B149</f>
        <v>-187468</v>
      </c>
      <c r="C29" s="71">
        <f>'RC'!C149</f>
        <v>-24404</v>
      </c>
      <c r="D29" s="71">
        <f>'RC'!D149</f>
        <v>-31928</v>
      </c>
      <c r="E29" s="71">
        <f>'RC'!E149</f>
        <v>-242937</v>
      </c>
      <c r="F29" s="71">
        <f>'RC'!F149</f>
        <v>-271489</v>
      </c>
      <c r="G29" s="71">
        <f>'RC'!G149</f>
        <v>-219192</v>
      </c>
      <c r="H29" s="71">
        <f>'RC'!H149</f>
        <v>-280709</v>
      </c>
      <c r="I29" s="71">
        <f>'RC'!I149</f>
        <v>-168693</v>
      </c>
      <c r="J29" s="71">
        <f>'RC'!J149</f>
        <v>0</v>
      </c>
      <c r="K29" s="71">
        <f>'RC'!K149</f>
        <v>0</v>
      </c>
    </row>
    <row r="30" spans="1:11" ht="15.75" customHeight="1" x14ac:dyDescent="0.15">
      <c r="A30" s="44" t="s">
        <v>483</v>
      </c>
      <c r="B30" s="71">
        <f>AVERAGE('RC'!B73,'RC'!C73)</f>
        <v>9592882</v>
      </c>
      <c r="C30" s="71">
        <f>AVERAGE('RC'!C73,'RC'!D73)</f>
        <v>10958599.5</v>
      </c>
      <c r="D30" s="71">
        <f>AVERAGE('RC'!D73,'RC'!E73)</f>
        <v>11052530</v>
      </c>
      <c r="E30" s="71">
        <f>AVERAGE('RC'!E73,'RC'!F73)</f>
        <v>10047992.5</v>
      </c>
      <c r="F30" s="71">
        <f>AVERAGE('RC'!F73,'RC'!G73)</f>
        <v>6603662</v>
      </c>
      <c r="G30" s="71">
        <f>AVERAGE('RC'!G73,'RC'!H73)</f>
        <v>3306406.5</v>
      </c>
      <c r="H30" s="71">
        <f>AVERAGE('RC'!H73,'RC'!I73)</f>
        <v>2770178</v>
      </c>
      <c r="I30" s="71">
        <f>AVERAGE('RC'!I73,'RC'!J73)</f>
        <v>1453287</v>
      </c>
      <c r="J30" s="71">
        <f>AVERAGE('RC'!J73,'RC'!K73)</f>
        <v>0</v>
      </c>
      <c r="K30" s="71">
        <f>AVERAGE('RC'!K73,'RC'!L73)</f>
        <v>0</v>
      </c>
    </row>
    <row r="31" spans="1:11" ht="15.75" customHeight="1" x14ac:dyDescent="0.15">
      <c r="A31" s="44" t="s">
        <v>484</v>
      </c>
      <c r="B31" s="71">
        <f>AVERAGE('RC'!B33,'RC'!C33)</f>
        <v>566986</v>
      </c>
      <c r="C31" s="71">
        <f>AVERAGE('RC'!C33,'RC'!D33)</f>
        <v>1024537</v>
      </c>
      <c r="D31" s="71">
        <f>AVERAGE('RC'!D33,'RC'!E33)</f>
        <v>1713601.5</v>
      </c>
      <c r="E31" s="71">
        <f>AVERAGE('RC'!E33,'RC'!F33)</f>
        <v>2129151</v>
      </c>
      <c r="F31" s="71">
        <f>AVERAGE('RC'!F33,'RC'!G33)</f>
        <v>1296280</v>
      </c>
      <c r="G31" s="71">
        <f>AVERAGE('RC'!G33,'RC'!H33)</f>
        <v>470503.5</v>
      </c>
      <c r="H31" s="71">
        <f>AVERAGE('RC'!H33,'RC'!I33)</f>
        <v>524933</v>
      </c>
      <c r="I31" s="71">
        <f>AVERAGE('RC'!I33,'RC'!J33)</f>
        <v>356394</v>
      </c>
      <c r="J31" s="71">
        <f>AVERAGE('RC'!J33,'RC'!K33)</f>
        <v>0</v>
      </c>
      <c r="K31" s="71">
        <f>AVERAGE('RC'!K33,'RC'!L33)</f>
        <v>0</v>
      </c>
    </row>
    <row r="32" spans="1:11" ht="15.75" customHeight="1" x14ac:dyDescent="0.15">
      <c r="A32" s="44" t="s">
        <v>485</v>
      </c>
      <c r="B32" s="71">
        <f>AVERAGE('RC'!B5:C5)</f>
        <v>4076587.5</v>
      </c>
      <c r="C32" s="71">
        <f>AVERAGE('RC'!C5:D5)</f>
        <v>3431489.5</v>
      </c>
      <c r="D32" s="71">
        <f>AVERAGE('RC'!D5:E5)</f>
        <v>3073409.5</v>
      </c>
      <c r="E32" s="71">
        <f>AVERAGE('RC'!E5:F5)</f>
        <v>2983914</v>
      </c>
      <c r="F32" s="71">
        <f>AVERAGE('RC'!F5:G5)</f>
        <v>2715056.5</v>
      </c>
      <c r="G32" s="71">
        <f>AVERAGE('RC'!G5:H5)</f>
        <v>2498211</v>
      </c>
      <c r="H32" s="71">
        <f>AVERAGE('RC'!H5:I5)</f>
        <v>2367411.5</v>
      </c>
      <c r="I32" s="71">
        <f>AVERAGE('RC'!I5:J5)</f>
        <v>1190651</v>
      </c>
      <c r="J32" s="71">
        <f>AVERAGE('RC'!J5:K5)</f>
        <v>0</v>
      </c>
      <c r="K32" s="71">
        <f>AVERAGE('RC'!K5:L5)</f>
        <v>0</v>
      </c>
    </row>
    <row r="33" spans="1:11" ht="15.75" customHeight="1" x14ac:dyDescent="0.15">
      <c r="A33" s="44" t="s">
        <v>486</v>
      </c>
      <c r="B33" s="71">
        <f>AVERAGE('RC'!B48,'RC'!C48)</f>
        <v>2308640.5</v>
      </c>
      <c r="C33" s="71">
        <f>AVERAGE('RC'!C48,'RC'!D48)</f>
        <v>2430353.5</v>
      </c>
      <c r="D33" s="71">
        <f>AVERAGE('RC'!D48,'RC'!E48)</f>
        <v>2329921</v>
      </c>
      <c r="E33" s="71">
        <f>AVERAGE('RC'!E48,'RC'!F48)</f>
        <v>1763975.5</v>
      </c>
      <c r="F33" s="71">
        <f>AVERAGE('RC'!F48,'RC'!G48)</f>
        <v>1734486</v>
      </c>
      <c r="G33" s="71">
        <f>AVERAGE('RC'!G48,'RC'!H48)</f>
        <v>1639495</v>
      </c>
      <c r="H33" s="71">
        <f>AVERAGE('RC'!H48,'RC'!I48)</f>
        <v>1229982</v>
      </c>
      <c r="I33" s="71">
        <f>AVERAGE('RC'!I48,'RC'!J48)</f>
        <v>632109</v>
      </c>
      <c r="J33" s="71">
        <f>AVERAGE('RC'!J48,'RC'!K48)</f>
        <v>0</v>
      </c>
      <c r="K33" s="71">
        <f>AVERAGE('RC'!K48,'RC'!L48)</f>
        <v>0</v>
      </c>
    </row>
    <row r="34" spans="1:11" ht="15.75" customHeight="1" x14ac:dyDescent="0.15">
      <c r="A34" s="44" t="s">
        <v>487</v>
      </c>
      <c r="B34" s="71">
        <f>AVERAGE('RC'!B6,'RC'!C6)</f>
        <v>4824580</v>
      </c>
      <c r="C34" s="71">
        <f>AVERAGE('RC'!C6,'RC'!D6)</f>
        <v>5145305</v>
      </c>
      <c r="D34" s="71">
        <f>AVERAGE('RC'!D6,'RC'!E6)</f>
        <v>4087317.5</v>
      </c>
      <c r="E34" s="71">
        <f>AVERAGE('RC'!E6,'RC'!F6)</f>
        <v>2740524.5</v>
      </c>
      <c r="F34" s="71">
        <f>AVERAGE('RC'!F6,'RC'!G6)</f>
        <v>2783699.5</v>
      </c>
      <c r="G34" s="71">
        <f>AVERAGE('RC'!G6,'RC'!H6)</f>
        <v>2716481</v>
      </c>
      <c r="H34" s="71">
        <f>AVERAGE('RC'!H6,'RC'!I6)</f>
        <v>2246438</v>
      </c>
      <c r="I34" s="71">
        <f>AVERAGE('RC'!I6,'RC'!J6)</f>
        <v>1035317.5</v>
      </c>
      <c r="J34" s="71">
        <f>AVERAGE('RC'!J6,'RC'!K6)</f>
        <v>0</v>
      </c>
      <c r="K34" s="71">
        <f>AVERAGE('RC'!K6,'RC'!L6)</f>
        <v>0</v>
      </c>
    </row>
    <row r="35" spans="1:11" ht="15.75" customHeight="1" x14ac:dyDescent="0.15">
      <c r="A35" s="44" t="s">
        <v>488</v>
      </c>
      <c r="B35" s="71">
        <f>'RC'!B6</f>
        <v>4608814</v>
      </c>
      <c r="C35" s="71">
        <f>'RC'!C6</f>
        <v>5040346</v>
      </c>
      <c r="D35" s="71">
        <f>'RC'!D6</f>
        <v>5250264</v>
      </c>
      <c r="E35" s="71">
        <f>'RC'!E6</f>
        <v>2924371</v>
      </c>
      <c r="F35" s="71">
        <f>'RC'!F6</f>
        <v>2556678</v>
      </c>
      <c r="G35" s="71">
        <f>'RC'!G6</f>
        <v>3010721</v>
      </c>
      <c r="H35" s="71">
        <f>'RC'!H6</f>
        <v>2422241</v>
      </c>
      <c r="I35" s="71">
        <f>'RC'!I6</f>
        <v>2070635</v>
      </c>
      <c r="J35" s="71">
        <f>'RC'!J6</f>
        <v>0</v>
      </c>
      <c r="K35" s="71">
        <f>'RC'!K6</f>
        <v>0</v>
      </c>
    </row>
    <row r="36" spans="1:11" ht="15.75" customHeight="1" x14ac:dyDescent="0.15">
      <c r="A36" s="44" t="s">
        <v>489</v>
      </c>
      <c r="B36" s="71">
        <f>AVERAGE('RC'!B8:C8)+AVERAGE('RC'!B19:C19)+AVERAGE('RC'!B30:C30)</f>
        <v>10092731</v>
      </c>
      <c r="C36" s="71">
        <f>AVERAGE('RC'!C8:D8)+AVERAGE('RC'!C19:D19)+AVERAGE('RC'!C30:D30)</f>
        <v>10215282</v>
      </c>
      <c r="D36" s="71">
        <f>AVERAGE('RC'!D8:E8)+AVERAGE('RC'!D19:E19)+AVERAGE('RC'!D30:E30)</f>
        <v>8159909.5</v>
      </c>
      <c r="E36" s="71">
        <f>AVERAGE('RC'!E8:F8)+AVERAGE('RC'!E19:F19)+AVERAGE('RC'!E30:F30)</f>
        <v>6051218.5</v>
      </c>
      <c r="F36" s="71">
        <f>AVERAGE('RC'!F8:G8)+AVERAGE('RC'!F19:G19)+AVERAGE('RC'!F30:G30)</f>
        <v>5912189.5</v>
      </c>
      <c r="G36" s="71">
        <f>AVERAGE('RC'!G8:H8)+AVERAGE('RC'!G19:H19)+AVERAGE('RC'!G30:H30)</f>
        <v>5504005</v>
      </c>
      <c r="H36" s="71">
        <f>AVERAGE('RC'!H8:I8)+AVERAGE('RC'!H19:I19)+AVERAGE('RC'!H30:I30)</f>
        <v>4723640</v>
      </c>
      <c r="I36" s="71">
        <f>AVERAGE('RC'!I8:J8)+AVERAGE('RC'!I19:J19)+AVERAGE('RC'!I30:J30)</f>
        <v>2265225</v>
      </c>
      <c r="J36" s="71">
        <f>AVERAGE('RC'!J8:K8)+AVERAGE('RC'!J19:K19)+AVERAGE('RC'!J30:K30)</f>
        <v>0</v>
      </c>
      <c r="K36" s="71">
        <f>AVERAGE('RC'!K8:L8)+AVERAGE('RC'!K19:L19)+AVERAGE('RC'!K30:L30)</f>
        <v>0</v>
      </c>
    </row>
    <row r="37" spans="1:11" ht="15.75" customHeight="1" x14ac:dyDescent="0.15">
      <c r="A37" s="44" t="s">
        <v>490</v>
      </c>
      <c r="B37" s="71">
        <f>'RC'!B8+'RC'!B19+'RC'!B30</f>
        <v>9705479</v>
      </c>
      <c r="C37" s="71">
        <f>'RC'!C8+'RC'!C19+'RC'!C30</f>
        <v>10479983</v>
      </c>
      <c r="D37" s="71">
        <f>'RC'!D8+'RC'!D19+'RC'!D30</f>
        <v>9950581</v>
      </c>
      <c r="E37" s="71">
        <f>'RC'!E8+'RC'!E19+'RC'!E30</f>
        <v>6369238</v>
      </c>
      <c r="F37" s="71">
        <f>'RC'!F8+'RC'!F19+'RC'!F30</f>
        <v>5733199</v>
      </c>
      <c r="G37" s="71">
        <f>'RC'!G8+'RC'!G19+'RC'!G30</f>
        <v>6091180</v>
      </c>
      <c r="H37" s="71">
        <f>'RC'!H8+'RC'!H19+'RC'!H30</f>
        <v>4916830</v>
      </c>
      <c r="I37" s="71">
        <f>'RC'!I8+'RC'!I19+'RC'!I30</f>
        <v>4530450</v>
      </c>
      <c r="J37" s="71">
        <f>'RC'!J8+'RC'!J19+'RC'!J30</f>
        <v>0</v>
      </c>
      <c r="K37" s="71">
        <f>'RC'!K8+'RC'!K19+'RC'!K30</f>
        <v>0</v>
      </c>
    </row>
    <row r="38" spans="1:11" ht="15.75" customHeight="1" x14ac:dyDescent="0.15">
      <c r="A38" s="44" t="s">
        <v>491</v>
      </c>
      <c r="B38" s="71">
        <f>AVERAGE('RC'!B51:C51)+AVERAGE('RC'!B59:C59)+AVERAGE('RC'!B70:C70)</f>
        <v>8093679.5</v>
      </c>
      <c r="C38" s="71">
        <f>AVERAGE('RC'!C51:D51)+AVERAGE('RC'!C59:D59)+AVERAGE('RC'!C70:D70)</f>
        <v>8805614</v>
      </c>
      <c r="D38" s="71">
        <f>AVERAGE('RC'!D51:E51)+AVERAGE('RC'!D59:E59)+AVERAGE('RC'!D70:E70)</f>
        <v>7854147.5</v>
      </c>
      <c r="E38" s="71">
        <f>AVERAGE('RC'!E51:F51)+AVERAGE('RC'!E59:F59)+AVERAGE('RC'!E70:F70)</f>
        <v>5831649</v>
      </c>
      <c r="F38" s="71">
        <f>AVERAGE('RC'!F51:G51)+AVERAGE('RC'!F59:G59)+AVERAGE('RC'!F70:G70)</f>
        <v>5621201</v>
      </c>
      <c r="G38" s="71">
        <f>AVERAGE('RC'!G51:H51)+AVERAGE('RC'!G59:H59)+AVERAGE('RC'!G70:H70)</f>
        <v>4908556</v>
      </c>
      <c r="H38" s="71">
        <f>AVERAGE('RC'!H51:I51)+AVERAGE('RC'!H59:I59)+AVERAGE('RC'!H70:I70)</f>
        <v>3803690.5</v>
      </c>
      <c r="I38" s="71">
        <f>AVERAGE('RC'!I51:J51)+AVERAGE('RC'!I59:J59)+AVERAGE('RC'!I70:J70)</f>
        <v>1961053</v>
      </c>
      <c r="J38" s="71">
        <f>AVERAGE('RC'!J51:K51)+AVERAGE('RC'!J59:K59)+AVERAGE('RC'!J70:K70)</f>
        <v>0</v>
      </c>
      <c r="K38" s="71">
        <f>AVERAGE('RC'!K51:L51)+AVERAGE('RC'!K59:L59)+AVERAGE('RC'!K70:L70)</f>
        <v>0</v>
      </c>
    </row>
    <row r="39" spans="1:11" ht="15.75" customHeight="1" x14ac:dyDescent="0.15">
      <c r="A39" s="44" t="s">
        <v>492</v>
      </c>
      <c r="B39" s="71">
        <f>'RC'!B51+'RC'!B59+'RC'!B70</f>
        <v>7731693</v>
      </c>
      <c r="C39" s="71">
        <f>'RC'!C51+'RC'!C59+'RC'!C70</f>
        <v>8455666</v>
      </c>
      <c r="D39" s="71">
        <f>'RC'!D51+'RC'!D59+'RC'!D70</f>
        <v>9155562</v>
      </c>
      <c r="E39" s="71">
        <f>'RC'!E51+'RC'!E59+'RC'!E70</f>
        <v>6552733</v>
      </c>
      <c r="F39" s="71">
        <f>'RC'!F51+'RC'!F59+'RC'!F70</f>
        <v>5110565</v>
      </c>
      <c r="G39" s="71">
        <f>'RC'!G51+'RC'!G59+'RC'!G70</f>
        <v>6131837</v>
      </c>
      <c r="H39" s="71">
        <f>'RC'!H51+'RC'!H59+'RC'!H70</f>
        <v>3685275</v>
      </c>
      <c r="I39" s="71">
        <f>'RC'!I51+'RC'!I59+'RC'!I70</f>
        <v>3922106</v>
      </c>
      <c r="J39" s="71">
        <f>'RC'!J51+'RC'!J59+'RC'!J70</f>
        <v>0</v>
      </c>
      <c r="K39" s="71">
        <f>'RC'!K51+'RC'!K59+'RC'!K70</f>
        <v>0</v>
      </c>
    </row>
    <row r="40" spans="1:11" ht="15.75" customHeight="1" x14ac:dyDescent="0.15">
      <c r="A40" s="44" t="s">
        <v>493</v>
      </c>
      <c r="B40" s="71">
        <f>AVERAGE('RC'!B52,'RC'!C52)</f>
        <v>0</v>
      </c>
      <c r="C40" s="71">
        <f>AVERAGE('RC'!C52,'RC'!D52)</f>
        <v>0</v>
      </c>
      <c r="D40" s="71">
        <f>AVERAGE('RC'!D52,'RC'!E52)</f>
        <v>0</v>
      </c>
      <c r="E40" s="71">
        <f>AVERAGE('RC'!E52,'RC'!F52)</f>
        <v>0</v>
      </c>
      <c r="F40" s="71">
        <f>AVERAGE('RC'!F52,'RC'!G52)</f>
        <v>0</v>
      </c>
      <c r="G40" s="71">
        <f>AVERAGE('RC'!G52,'RC'!H52)</f>
        <v>0</v>
      </c>
      <c r="H40" s="71">
        <f>AVERAGE('RC'!H52,'RC'!I52)</f>
        <v>0</v>
      </c>
      <c r="I40" s="71">
        <f>AVERAGE('RC'!I52,'RC'!J52)</f>
        <v>0</v>
      </c>
      <c r="J40" s="71">
        <f>AVERAGE('RC'!J52,'RC'!K52)</f>
        <v>0</v>
      </c>
      <c r="K40" s="71">
        <f>AVERAGE('RC'!K52,'RC'!L52)</f>
        <v>0</v>
      </c>
    </row>
    <row r="41" spans="1:11" ht="15.75" customHeight="1" x14ac:dyDescent="0.15">
      <c r="A41" s="44" t="s">
        <v>494</v>
      </c>
      <c r="B41" s="71">
        <f>'RC'!B52</f>
        <v>0</v>
      </c>
      <c r="C41" s="71">
        <f>'RC'!C52</f>
        <v>0</v>
      </c>
      <c r="D41" s="71">
        <f>'RC'!D52</f>
        <v>0</v>
      </c>
      <c r="E41" s="71">
        <f>'RC'!E52</f>
        <v>0</v>
      </c>
      <c r="F41" s="71">
        <f>'RC'!F52</f>
        <v>0</v>
      </c>
      <c r="G41" s="71">
        <f>'RC'!G52</f>
        <v>0</v>
      </c>
      <c r="H41" s="71">
        <f>'RC'!H52</f>
        <v>0</v>
      </c>
      <c r="I41" s="71">
        <f>'RC'!I52</f>
        <v>0</v>
      </c>
      <c r="J41" s="71">
        <f>'RC'!J52</f>
        <v>0</v>
      </c>
      <c r="K41" s="71">
        <f>'RC'!K52</f>
        <v>0</v>
      </c>
    </row>
    <row r="42" spans="1:11" ht="15.75" customHeight="1" x14ac:dyDescent="0.15">
      <c r="A42" s="44" t="s">
        <v>495</v>
      </c>
      <c r="B42" s="71">
        <f>AVERAGE('RC'!B69,'RC'!C69)</f>
        <v>5901038.5</v>
      </c>
      <c r="C42" s="71">
        <f>AVERAGE('RC'!C69,'RC'!D69)</f>
        <v>6704693</v>
      </c>
      <c r="D42" s="71">
        <f>AVERAGE('RC'!D69,'RC'!E69)</f>
        <v>7044854</v>
      </c>
      <c r="E42" s="71">
        <f>AVERAGE('RC'!E69,'RC'!F69)</f>
        <v>6838124</v>
      </c>
      <c r="F42" s="71">
        <f>AVERAGE('RC'!F69,'RC'!G69)</f>
        <v>3446170</v>
      </c>
      <c r="G42" s="71">
        <f>AVERAGE('RC'!G69,'RC'!H69)</f>
        <v>698341</v>
      </c>
      <c r="H42" s="71">
        <f>AVERAGE('RC'!H69,'RC'!I69)</f>
        <v>880329.5</v>
      </c>
      <c r="I42" s="71">
        <f>AVERAGE('RC'!I69,'RC'!J69)</f>
        <v>476132</v>
      </c>
      <c r="J42" s="71">
        <f>AVERAGE('RC'!J69,'RC'!K69)</f>
        <v>0</v>
      </c>
      <c r="K42" s="71">
        <f>AVERAGE('RC'!K69,'RC'!L69)</f>
        <v>0</v>
      </c>
    </row>
    <row r="43" spans="1:11" ht="15.75" customHeight="1" x14ac:dyDescent="0.15">
      <c r="A43" s="44" t="s">
        <v>496</v>
      </c>
      <c r="B43" s="71">
        <f>'RC'!B69</f>
        <v>5110204</v>
      </c>
      <c r="C43" s="71">
        <f>'RC'!C69</f>
        <v>6691873</v>
      </c>
      <c r="D43" s="71">
        <f>'RC'!D69</f>
        <v>6717513</v>
      </c>
      <c r="E43" s="71">
        <f>'RC'!E69</f>
        <v>7372195</v>
      </c>
      <c r="F43" s="71">
        <f>'RC'!F69</f>
        <v>6304053</v>
      </c>
      <c r="G43" s="71">
        <f>'RC'!G69</f>
        <v>588287</v>
      </c>
      <c r="H43" s="71">
        <f>'RC'!H69</f>
        <v>808395</v>
      </c>
      <c r="I43" s="71">
        <f>'RC'!I69</f>
        <v>952264</v>
      </c>
      <c r="J43" s="71">
        <f>'RC'!J69</f>
        <v>0</v>
      </c>
      <c r="K43" s="71">
        <f>'RC'!K69</f>
        <v>0</v>
      </c>
    </row>
    <row r="44" spans="1:11" ht="15.75" customHeight="1" x14ac:dyDescent="0.15">
      <c r="A44" s="44" t="s">
        <v>497</v>
      </c>
      <c r="B44" s="71">
        <f>(('RC'!B12+'RC'!B15)+'RC'!C12+'RC'!C15)/2</f>
        <v>8954199</v>
      </c>
      <c r="C44" s="71">
        <f>(('RC'!C12+'RC'!C15)+'RC'!D12+'RC'!D15)/2</f>
        <v>9340197.5</v>
      </c>
      <c r="D44" s="71">
        <f>(('RC'!D12+'RC'!D15)+'RC'!E12+'RC'!E15)/2</f>
        <v>9531622.5</v>
      </c>
      <c r="E44" s="71">
        <f>(('RC'!E12+'RC'!E15)+'RC'!F12+'RC'!F15)/2</f>
        <v>8286834.5</v>
      </c>
      <c r="F44" s="71">
        <f>(('RC'!F12+'RC'!F15)+'RC'!G12+'RC'!G15)/2</f>
        <v>4838223</v>
      </c>
      <c r="G44" s="71">
        <f>(('RC'!G12+'RC'!G15)+'RC'!H12+'RC'!H15)/2</f>
        <v>1902194</v>
      </c>
      <c r="H44" s="71">
        <f>(('RC'!H12+'RC'!H15)+'RC'!I12+'RC'!I15)/2</f>
        <v>1048299</v>
      </c>
      <c r="I44" s="71">
        <f>(('RC'!I12+'RC'!I15)+'RC'!J12+'RC'!J15)/2</f>
        <v>450993.5</v>
      </c>
      <c r="J44" s="71">
        <f>(('RC'!J12+'RC'!J15)+'RC'!K12+'RC'!K15)/2</f>
        <v>0</v>
      </c>
      <c r="K44" s="71">
        <f>(('RC'!K12+'RC'!K15)+'RC'!L12+'RC'!L15)/2</f>
        <v>0</v>
      </c>
    </row>
    <row r="45" spans="1:11" ht="15.75" customHeight="1" x14ac:dyDescent="0.15">
      <c r="A45" s="44" t="s">
        <v>498</v>
      </c>
      <c r="B45" s="71">
        <f>'RC'!B12</f>
        <v>8784248</v>
      </c>
      <c r="C45" s="71">
        <f>'RC'!C12</f>
        <v>9124150</v>
      </c>
      <c r="D45" s="71">
        <f>'RC'!D12</f>
        <v>9556245</v>
      </c>
      <c r="E45" s="71">
        <f>'RC'!E12</f>
        <v>9507000</v>
      </c>
      <c r="F45" s="71">
        <f>'RC'!F12</f>
        <v>7058477</v>
      </c>
      <c r="G45" s="71">
        <f>'RC'!G12</f>
        <v>2601585</v>
      </c>
      <c r="H45" s="71">
        <f>'RC'!H12</f>
        <v>1186419</v>
      </c>
      <c r="I45" s="71">
        <f>'RC'!I12</f>
        <v>893795</v>
      </c>
      <c r="J45" s="71">
        <f>'RC'!J12</f>
        <v>0</v>
      </c>
      <c r="K45" s="71">
        <f>'RC'!K12</f>
        <v>0</v>
      </c>
    </row>
    <row r="46" spans="1:11" ht="15.75" customHeight="1" x14ac:dyDescent="0.15">
      <c r="A46" s="44" t="s">
        <v>499</v>
      </c>
      <c r="B46" s="71">
        <f>AVERAGE('RC'!B84,'RC'!C84)</f>
        <v>5492419.5</v>
      </c>
      <c r="C46" s="71">
        <f>AVERAGE('RC'!C84,'RC'!D84)</f>
        <v>4944219.5</v>
      </c>
      <c r="D46" s="71">
        <f>AVERAGE('RC'!D84,'RC'!E84)</f>
        <v>4371595</v>
      </c>
      <c r="E46" s="71">
        <f>AVERAGE('RC'!E84,'RC'!F84)</f>
        <v>3644152</v>
      </c>
      <c r="F46" s="71">
        <f>AVERAGE('RC'!F84,'RC'!G84)</f>
        <v>2795359.5</v>
      </c>
      <c r="G46" s="71">
        <f>AVERAGE('RC'!G84,'RC'!H84)</f>
        <v>2058899.5</v>
      </c>
      <c r="H46" s="71">
        <f>AVERAGE('RC'!H84,'RC'!I84)</f>
        <v>1397869.5</v>
      </c>
      <c r="I46" s="71">
        <f>AVERAGE('RC'!I84,'RC'!J84)</f>
        <v>531329</v>
      </c>
      <c r="J46" s="71">
        <f>AVERAGE('RC'!J84,'RC'!K84)</f>
        <v>0</v>
      </c>
      <c r="K46" s="71">
        <f>AVERAGE('RC'!K84,'RC'!L84)</f>
        <v>0</v>
      </c>
    </row>
    <row r="47" spans="1:11" ht="15.75" customHeight="1" x14ac:dyDescent="0.15">
      <c r="A47" s="44" t="s">
        <v>500</v>
      </c>
      <c r="B47" s="71">
        <f>'RC'!C84</f>
        <v>5227552</v>
      </c>
      <c r="C47" s="71">
        <f>'RC'!D84</f>
        <v>4660887</v>
      </c>
      <c r="D47" s="71">
        <f>'RC'!E84</f>
        <v>4082303</v>
      </c>
      <c r="E47" s="71">
        <f>'RC'!F84</f>
        <v>3206001</v>
      </c>
      <c r="F47" s="71">
        <f>'RC'!G84</f>
        <v>2384718</v>
      </c>
      <c r="G47" s="71">
        <f>'RC'!H84</f>
        <v>1733081</v>
      </c>
      <c r="H47" s="71">
        <f>'RC'!I84</f>
        <v>1062658</v>
      </c>
      <c r="I47" s="71">
        <f>'RC'!J84</f>
        <v>0</v>
      </c>
      <c r="J47" s="71">
        <f>'RC'!K84</f>
        <v>0</v>
      </c>
      <c r="K47" s="71">
        <f>'RC'!L84</f>
        <v>0</v>
      </c>
    </row>
    <row r="48" spans="1:11" ht="15.75" customHeight="1" x14ac:dyDescent="0.15">
      <c r="A48" s="44" t="s">
        <v>501</v>
      </c>
      <c r="B48" s="71">
        <f>'RC'!B84</f>
        <v>5757287</v>
      </c>
      <c r="C48" s="71">
        <f>'RC'!C84</f>
        <v>5227552</v>
      </c>
      <c r="D48" s="71">
        <f>'RC'!D84</f>
        <v>4660887</v>
      </c>
      <c r="E48" s="71">
        <f>'RC'!E84</f>
        <v>4082303</v>
      </c>
      <c r="F48" s="71">
        <f>'RC'!F84</f>
        <v>3206001</v>
      </c>
      <c r="G48" s="71">
        <f>'RC'!G84</f>
        <v>2384718</v>
      </c>
      <c r="H48" s="71">
        <f>'RC'!H84</f>
        <v>1733081</v>
      </c>
      <c r="I48" s="71">
        <f>'RC'!I84</f>
        <v>1062658</v>
      </c>
      <c r="J48" s="71">
        <f>'RC'!J84</f>
        <v>0</v>
      </c>
      <c r="K48" s="71">
        <f>'RC'!K84</f>
        <v>0</v>
      </c>
    </row>
    <row r="49" spans="1:11" ht="15.75" customHeight="1" x14ac:dyDescent="0.15">
      <c r="A49" s="44" t="s">
        <v>502</v>
      </c>
      <c r="B49" s="71">
        <f>'RC'!C82+'RC'!C79-'RC'!B79</f>
        <v>369998</v>
      </c>
      <c r="C49" s="71">
        <f>'RC'!D82+'RC'!D79-'RC'!C79</f>
        <v>2</v>
      </c>
      <c r="D49" s="71">
        <f>'RC'!E82+'RC'!E79-'RC'!D79</f>
        <v>99997</v>
      </c>
      <c r="E49" s="71">
        <f>'RC'!F82+'RC'!F79-'RC'!E79</f>
        <v>85001</v>
      </c>
      <c r="F49" s="71">
        <f>'RC'!G82+'RC'!G79-'RC'!F79</f>
        <v>99999</v>
      </c>
      <c r="G49" s="71">
        <f>'RC'!H82+'RC'!H79-'RC'!G79</f>
        <v>99999</v>
      </c>
      <c r="H49" s="71">
        <f>'RC'!I82+'RC'!I79-'RC'!H79</f>
        <v>2</v>
      </c>
      <c r="I49" s="71">
        <f>'RC'!J82+'RC'!J79-'RC'!I79</f>
        <v>-557912</v>
      </c>
      <c r="J49" s="71">
        <f>'RC'!K82+'RC'!K79-'RC'!J79</f>
        <v>0</v>
      </c>
      <c r="K49" s="71">
        <f>'RC'!L82+'RC'!L79-'RC'!K79</f>
        <v>0</v>
      </c>
    </row>
    <row r="50" spans="1:11" ht="15.75" customHeight="1" x14ac:dyDescent="0.15">
      <c r="A50" s="44" t="s">
        <v>503</v>
      </c>
      <c r="B50" s="71">
        <f>'RC'!B76-'RC'!C76</f>
        <v>0</v>
      </c>
      <c r="C50" s="71">
        <f>'RC'!C76-'RC'!D76</f>
        <v>0</v>
      </c>
      <c r="D50" s="71">
        <f>'RC'!D76-'RC'!E76</f>
        <v>0</v>
      </c>
      <c r="E50" s="71">
        <f>'RC'!E76-'RC'!F76</f>
        <v>0</v>
      </c>
      <c r="F50" s="71">
        <f>'RC'!F76-'RC'!G76</f>
        <v>0</v>
      </c>
      <c r="G50" s="71">
        <f>'RC'!G76-'RC'!H76</f>
        <v>0</v>
      </c>
      <c r="H50" s="71">
        <f>'RC'!H76-'RC'!I76</f>
        <v>0</v>
      </c>
      <c r="I50" s="71">
        <f>'RC'!I76-'RC'!J76</f>
        <v>0</v>
      </c>
      <c r="J50" s="71">
        <f>'RC'!J76-'RC'!K76</f>
        <v>0</v>
      </c>
      <c r="K50" s="71">
        <f>'RC'!K76-'RC'!L76</f>
        <v>0</v>
      </c>
    </row>
    <row r="51" spans="1:11" ht="15.75" customHeight="1" x14ac:dyDescent="0.15">
      <c r="A51" s="44" t="s">
        <v>504</v>
      </c>
      <c r="B51" s="71">
        <f>RF!C43-RF!D43</f>
        <v>196669</v>
      </c>
      <c r="C51" s="71">
        <f>RF!D43-RF!E43</f>
        <v>678579</v>
      </c>
      <c r="D51" s="71">
        <f>RF!E43-RF!F43</f>
        <v>861306</v>
      </c>
      <c r="E51" s="71">
        <f>RF!F43-RF!G43</f>
        <v>836281</v>
      </c>
      <c r="F51" s="71">
        <f>RF!G43-RF!H43</f>
        <v>651637</v>
      </c>
      <c r="G51" s="71">
        <f>RF!H43-RF!I43</f>
        <v>570426</v>
      </c>
      <c r="H51" s="71">
        <f>RF!I43-RF!J43</f>
        <v>364744</v>
      </c>
      <c r="I51" s="71">
        <f>RF!J43-RF!K43</f>
        <v>557912</v>
      </c>
      <c r="J51" s="71">
        <f>RF!K43-RF!L43</f>
        <v>0</v>
      </c>
      <c r="K51" s="71">
        <f>RF!L43-RF!M43</f>
        <v>0</v>
      </c>
    </row>
    <row r="52" spans="1:11" ht="15.75" customHeight="1" x14ac:dyDescent="0.15">
      <c r="A52" s="44" t="s">
        <v>505</v>
      </c>
      <c r="B52" s="71">
        <f>'RC'!B82-'RC'!C82</f>
        <v>333066</v>
      </c>
      <c r="C52" s="71">
        <f>'RC'!C82-'RC'!D82</f>
        <v>-111914</v>
      </c>
      <c r="D52" s="71">
        <f>'RC'!D82-'RC'!E82</f>
        <v>-282722</v>
      </c>
      <c r="E52" s="71">
        <f>'RC'!E82-'RC'!F82</f>
        <v>40021</v>
      </c>
      <c r="F52" s="71">
        <f>'RC'!F82-'RC'!G82</f>
        <v>169646</v>
      </c>
      <c r="G52" s="71">
        <f>'RC'!G82-'RC'!H82</f>
        <v>81211</v>
      </c>
      <c r="H52" s="71">
        <f>'RC'!H82-'RC'!I82</f>
        <v>305679</v>
      </c>
      <c r="I52" s="71">
        <f>'RC'!I82-'RC'!J82</f>
        <v>364746</v>
      </c>
      <c r="J52" s="71">
        <f>'RC'!J82-'RC'!K82</f>
        <v>0</v>
      </c>
      <c r="K52" s="71">
        <f>'RC'!K82-'RC'!L82</f>
        <v>0</v>
      </c>
    </row>
    <row r="53" spans="1:11" ht="15.75" customHeight="1" x14ac:dyDescent="0.15">
      <c r="A53" s="44" t="s">
        <v>506</v>
      </c>
      <c r="B53" s="71">
        <f>'RC'!B77-'RC'!C77</f>
        <v>529735</v>
      </c>
      <c r="C53" s="71">
        <f>'RC'!C77-'RC'!D77</f>
        <v>566665</v>
      </c>
      <c r="D53" s="71">
        <f>'RC'!D77-'RC'!E77</f>
        <v>578584</v>
      </c>
      <c r="E53" s="71">
        <f>'RC'!E77-'RC'!F77</f>
        <v>876302</v>
      </c>
      <c r="F53" s="71">
        <f>'RC'!F77-'RC'!G77</f>
        <v>821283</v>
      </c>
      <c r="G53" s="71">
        <f>'RC'!G77-'RC'!H77</f>
        <v>651637</v>
      </c>
      <c r="H53" s="71">
        <f>'RC'!H77-'RC'!I77</f>
        <v>670423</v>
      </c>
      <c r="I53" s="71">
        <f>'RC'!I77-'RC'!J77</f>
        <v>1062658</v>
      </c>
      <c r="J53" s="71">
        <f>'RC'!J77-'RC'!K77</f>
        <v>0</v>
      </c>
      <c r="K53" s="71">
        <f>'RC'!K77-'RC'!L77</f>
        <v>0</v>
      </c>
    </row>
    <row r="54" spans="1:11" ht="15.75" customHeight="1" x14ac:dyDescent="0.15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spans="1:11" ht="12.75" customHeight="1" x14ac:dyDescent="0.15"/>
    <row r="56" spans="1:11" s="70" customFormat="1" ht="18" customHeight="1" x14ac:dyDescent="0.2">
      <c r="A56" s="70" t="s">
        <v>454</v>
      </c>
      <c r="B56" s="70">
        <f t="shared" ref="B56:K56" si="4">B1</f>
        <v>2024</v>
      </c>
      <c r="C56" s="70">
        <f t="shared" si="4"/>
        <v>2023</v>
      </c>
      <c r="D56" s="70">
        <f t="shared" si="4"/>
        <v>2022</v>
      </c>
      <c r="E56" s="70">
        <f t="shared" si="4"/>
        <v>2021</v>
      </c>
      <c r="F56" s="70">
        <f t="shared" si="4"/>
        <v>2020</v>
      </c>
      <c r="G56" s="70">
        <f t="shared" si="4"/>
        <v>2019</v>
      </c>
      <c r="H56" s="70">
        <f t="shared" si="4"/>
        <v>2018</v>
      </c>
      <c r="I56" s="70">
        <f t="shared" si="4"/>
        <v>2017</v>
      </c>
      <c r="J56" s="70">
        <f t="shared" si="4"/>
        <v>0</v>
      </c>
      <c r="K56" s="70">
        <f t="shared" si="4"/>
        <v>0</v>
      </c>
    </row>
    <row r="57" spans="1:11" s="57" customFormat="1" ht="15.75" customHeight="1" x14ac:dyDescent="0.15">
      <c r="A57" s="73" t="s">
        <v>507</v>
      </c>
    </row>
    <row r="58" spans="1:11" ht="15.75" customHeight="1" x14ac:dyDescent="0.15">
      <c r="A58" s="44" t="s">
        <v>457</v>
      </c>
      <c r="B58" s="74">
        <f t="shared" ref="B58:K58" si="5">B4</f>
        <v>1588849</v>
      </c>
      <c r="C58" s="74">
        <f t="shared" si="5"/>
        <v>1117327</v>
      </c>
      <c r="D58" s="74">
        <f t="shared" si="5"/>
        <v>963975</v>
      </c>
      <c r="E58" s="74">
        <f t="shared" si="5"/>
        <v>1411257</v>
      </c>
      <c r="F58" s="74">
        <f t="shared" si="5"/>
        <v>1351726</v>
      </c>
      <c r="G58" s="74">
        <f t="shared" si="5"/>
        <v>1069627</v>
      </c>
      <c r="H58" s="74">
        <f t="shared" si="5"/>
        <v>1052950</v>
      </c>
      <c r="I58" s="74">
        <f t="shared" si="5"/>
        <v>635847</v>
      </c>
      <c r="J58" s="74">
        <f t="shared" si="5"/>
        <v>0</v>
      </c>
      <c r="K58" s="74">
        <f t="shared" si="5"/>
        <v>0</v>
      </c>
    </row>
    <row r="59" spans="1:11" ht="15.75" customHeight="1" x14ac:dyDescent="0.15">
      <c r="A59" s="44" t="s">
        <v>508</v>
      </c>
      <c r="B59" s="74">
        <f t="shared" ref="B59:K59" si="6">B7</f>
        <v>21650995</v>
      </c>
      <c r="C59" s="74">
        <f t="shared" si="6"/>
        <v>21142391</v>
      </c>
      <c r="D59" s="74">
        <f t="shared" si="6"/>
        <v>17821289</v>
      </c>
      <c r="E59" s="74">
        <f t="shared" si="6"/>
        <v>15638358</v>
      </c>
      <c r="F59" s="74">
        <f t="shared" si="6"/>
        <v>14336879</v>
      </c>
      <c r="G59" s="74">
        <f t="shared" si="6"/>
        <v>13550152</v>
      </c>
      <c r="H59" s="74">
        <f t="shared" si="6"/>
        <v>11519434</v>
      </c>
      <c r="I59" s="74">
        <f t="shared" si="6"/>
        <v>9917341</v>
      </c>
      <c r="J59" s="74">
        <f t="shared" si="6"/>
        <v>0</v>
      </c>
      <c r="K59" s="74">
        <f t="shared" si="6"/>
        <v>0</v>
      </c>
    </row>
    <row r="60" spans="1:11" s="57" customFormat="1" ht="15.75" customHeight="1" x14ac:dyDescent="0.15">
      <c r="A60" s="57" t="s">
        <v>509</v>
      </c>
      <c r="B60" s="75">
        <f t="shared" ref="B60:K60" si="7">B58/B59</f>
        <v>7.3384571933068202E-2</v>
      </c>
      <c r="C60" s="75">
        <f t="shared" si="7"/>
        <v>5.2847712446525086E-2</v>
      </c>
      <c r="D60" s="75">
        <f t="shared" si="7"/>
        <v>5.4091205187234211E-2</v>
      </c>
      <c r="E60" s="75">
        <f t="shared" si="7"/>
        <v>9.0243297921687171E-2</v>
      </c>
      <c r="F60" s="75">
        <f t="shared" si="7"/>
        <v>9.428314209808146E-2</v>
      </c>
      <c r="G60" s="75">
        <f t="shared" si="7"/>
        <v>7.8938376484632797E-2</v>
      </c>
      <c r="H60" s="75">
        <f t="shared" si="7"/>
        <v>9.1406400696423112E-2</v>
      </c>
      <c r="I60" s="75">
        <f t="shared" si="7"/>
        <v>6.4114665412835961E-2</v>
      </c>
      <c r="J60" s="75" t="e">
        <f t="shared" si="7"/>
        <v>#DIV/0!</v>
      </c>
      <c r="K60" s="75" t="e">
        <f t="shared" si="7"/>
        <v>#DIV/0!</v>
      </c>
    </row>
    <row r="61" spans="1:11" ht="15.75" customHeight="1" x14ac:dyDescent="0.15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spans="1:11" ht="15.75" customHeight="1" x14ac:dyDescent="0.15">
      <c r="A62" s="44" t="s">
        <v>457</v>
      </c>
      <c r="B62" s="74">
        <f t="shared" ref="B62:K62" si="8">B4</f>
        <v>1588849</v>
      </c>
      <c r="C62" s="74">
        <f t="shared" si="8"/>
        <v>1117327</v>
      </c>
      <c r="D62" s="74">
        <f t="shared" si="8"/>
        <v>963975</v>
      </c>
      <c r="E62" s="74">
        <f t="shared" si="8"/>
        <v>1411257</v>
      </c>
      <c r="F62" s="74">
        <f t="shared" si="8"/>
        <v>1351726</v>
      </c>
      <c r="G62" s="74">
        <f t="shared" si="8"/>
        <v>1069627</v>
      </c>
      <c r="H62" s="74">
        <f t="shared" si="8"/>
        <v>1052950</v>
      </c>
      <c r="I62" s="74">
        <f t="shared" si="8"/>
        <v>635847</v>
      </c>
      <c r="J62" s="74">
        <f t="shared" si="8"/>
        <v>0</v>
      </c>
      <c r="K62" s="74">
        <f t="shared" si="8"/>
        <v>0</v>
      </c>
    </row>
    <row r="63" spans="1:11" ht="15.75" customHeight="1" x14ac:dyDescent="0.15">
      <c r="A63" s="44" t="s">
        <v>510</v>
      </c>
      <c r="B63" s="74">
        <f t="shared" ref="B63:K63" si="9">B14</f>
        <v>14459613.5</v>
      </c>
      <c r="C63" s="74">
        <f t="shared" si="9"/>
        <v>14819580</v>
      </c>
      <c r="D63" s="74">
        <f t="shared" si="9"/>
        <v>13651821.5</v>
      </c>
      <c r="E63" s="74">
        <f t="shared" si="9"/>
        <v>11530386.5</v>
      </c>
      <c r="F63" s="74">
        <f t="shared" si="9"/>
        <v>8096229.5</v>
      </c>
      <c r="G63" s="74">
        <f t="shared" si="9"/>
        <v>4888290.5</v>
      </c>
      <c r="H63" s="74">
        <f t="shared" si="9"/>
        <v>3636602.5</v>
      </c>
      <c r="I63" s="74">
        <f t="shared" si="9"/>
        <v>1624966</v>
      </c>
      <c r="J63" s="74">
        <f t="shared" si="9"/>
        <v>0</v>
      </c>
      <c r="K63" s="74">
        <f t="shared" si="9"/>
        <v>0</v>
      </c>
    </row>
    <row r="64" spans="1:11" s="57" customFormat="1" ht="15.75" customHeight="1" x14ac:dyDescent="0.15">
      <c r="A64" s="57" t="s">
        <v>511</v>
      </c>
      <c r="B64" s="75">
        <f t="shared" ref="B64:K64" si="10">B62/B63</f>
        <v>0.10988184435220208</v>
      </c>
      <c r="C64" s="75">
        <f t="shared" si="10"/>
        <v>7.5395321594809037E-2</v>
      </c>
      <c r="D64" s="75">
        <f t="shared" si="10"/>
        <v>7.0611456500511677E-2</v>
      </c>
      <c r="E64" s="75">
        <f t="shared" si="10"/>
        <v>0.12239459622624098</v>
      </c>
      <c r="F64" s="75">
        <f t="shared" si="10"/>
        <v>0.16695747075845616</v>
      </c>
      <c r="G64" s="75">
        <f t="shared" si="10"/>
        <v>0.21881412326047317</v>
      </c>
      <c r="H64" s="75">
        <f t="shared" si="10"/>
        <v>0.28954223069472124</v>
      </c>
      <c r="I64" s="75">
        <f t="shared" si="10"/>
        <v>0.39129864871018838</v>
      </c>
      <c r="J64" s="75" t="e">
        <f t="shared" si="10"/>
        <v>#DIV/0!</v>
      </c>
      <c r="K64" s="75" t="e">
        <f t="shared" si="10"/>
        <v>#DIV/0!</v>
      </c>
    </row>
    <row r="65" spans="1:11" ht="15.75" customHeight="1" x14ac:dyDescent="0.15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spans="1:11" ht="15.75" customHeight="1" x14ac:dyDescent="0.15">
      <c r="A66" s="44" t="s">
        <v>512</v>
      </c>
      <c r="B66" s="74">
        <f t="shared" ref="B66:K66" si="11">-B27</f>
        <v>503404</v>
      </c>
      <c r="C66" s="74">
        <f t="shared" si="11"/>
        <v>528343</v>
      </c>
      <c r="D66" s="74">
        <f t="shared" si="11"/>
        <v>253674</v>
      </c>
      <c r="E66" s="74">
        <f t="shared" si="11"/>
        <v>207408</v>
      </c>
      <c r="F66" s="74">
        <f t="shared" si="11"/>
        <v>159160</v>
      </c>
      <c r="G66" s="74">
        <f t="shared" si="11"/>
        <v>102930</v>
      </c>
      <c r="H66" s="74">
        <f t="shared" si="11"/>
        <v>102001</v>
      </c>
      <c r="I66" s="74">
        <f t="shared" si="11"/>
        <v>102507</v>
      </c>
      <c r="J66" s="74">
        <f t="shared" si="11"/>
        <v>0</v>
      </c>
      <c r="K66" s="74">
        <f t="shared" si="11"/>
        <v>0</v>
      </c>
    </row>
    <row r="67" spans="1:11" ht="15.75" customHeight="1" x14ac:dyDescent="0.15">
      <c r="A67" s="44" t="s">
        <v>513</v>
      </c>
      <c r="B67" s="74">
        <f t="shared" ref="B67:K67" si="12">B30</f>
        <v>9592882</v>
      </c>
      <c r="C67" s="74">
        <f t="shared" si="12"/>
        <v>10958599.5</v>
      </c>
      <c r="D67" s="74">
        <f t="shared" si="12"/>
        <v>11052530</v>
      </c>
      <c r="E67" s="74">
        <f t="shared" si="12"/>
        <v>10047992.5</v>
      </c>
      <c r="F67" s="74">
        <f t="shared" si="12"/>
        <v>6603662</v>
      </c>
      <c r="G67" s="74">
        <f t="shared" si="12"/>
        <v>3306406.5</v>
      </c>
      <c r="H67" s="74">
        <f t="shared" si="12"/>
        <v>2770178</v>
      </c>
      <c r="I67" s="74">
        <f t="shared" si="12"/>
        <v>1453287</v>
      </c>
      <c r="J67" s="74">
        <f t="shared" si="12"/>
        <v>0</v>
      </c>
      <c r="K67" s="74">
        <f t="shared" si="12"/>
        <v>0</v>
      </c>
    </row>
    <row r="68" spans="1:11" s="57" customFormat="1" ht="15.75" customHeight="1" x14ac:dyDescent="0.15">
      <c r="A68" s="57" t="s">
        <v>514</v>
      </c>
      <c r="B68" s="75">
        <f t="shared" ref="B68:K68" si="13">B66/B67</f>
        <v>5.2476826046645837E-2</v>
      </c>
      <c r="C68" s="75">
        <f t="shared" si="13"/>
        <v>4.821263885042975E-2</v>
      </c>
      <c r="D68" s="75">
        <f t="shared" si="13"/>
        <v>2.2951668079616159E-2</v>
      </c>
      <c r="E68" s="75">
        <f t="shared" si="13"/>
        <v>2.0641735152569032E-2</v>
      </c>
      <c r="F68" s="75">
        <f t="shared" si="13"/>
        <v>2.4101778679768891E-2</v>
      </c>
      <c r="G68" s="75">
        <f t="shared" si="13"/>
        <v>3.1130473521631414E-2</v>
      </c>
      <c r="H68" s="75">
        <f t="shared" si="13"/>
        <v>3.6821099582770495E-2</v>
      </c>
      <c r="I68" s="75">
        <f t="shared" si="13"/>
        <v>7.0534588143979823E-2</v>
      </c>
      <c r="J68" s="75" t="e">
        <f t="shared" si="13"/>
        <v>#DIV/0!</v>
      </c>
      <c r="K68" s="75" t="e">
        <f t="shared" si="13"/>
        <v>#DIV/0!</v>
      </c>
    </row>
    <row r="69" spans="1:11" ht="15.75" customHeight="1" x14ac:dyDescent="0.15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spans="1:11" ht="15.75" customHeight="1" x14ac:dyDescent="0.15">
      <c r="A70" s="44" t="s">
        <v>515</v>
      </c>
      <c r="B70" s="74">
        <f t="shared" ref="B70:K70" si="14">B28</f>
        <v>1756</v>
      </c>
      <c r="C70" s="74">
        <f t="shared" si="14"/>
        <v>2087</v>
      </c>
      <c r="D70" s="74">
        <f t="shared" si="14"/>
        <v>208</v>
      </c>
      <c r="E70" s="74">
        <f t="shared" si="14"/>
        <v>391</v>
      </c>
      <c r="F70" s="74">
        <f t="shared" si="14"/>
        <v>205</v>
      </c>
      <c r="G70" s="74">
        <f t="shared" si="14"/>
        <v>4131</v>
      </c>
      <c r="H70" s="74">
        <f t="shared" si="14"/>
        <v>185</v>
      </c>
      <c r="I70" s="74">
        <f t="shared" si="14"/>
        <v>99</v>
      </c>
      <c r="J70" s="74">
        <f t="shared" si="14"/>
        <v>0</v>
      </c>
      <c r="K70" s="74">
        <f t="shared" si="14"/>
        <v>0</v>
      </c>
    </row>
    <row r="71" spans="1:11" ht="15.75" customHeight="1" x14ac:dyDescent="0.15">
      <c r="A71" s="44" t="s">
        <v>516</v>
      </c>
      <c r="B71" s="74">
        <f t="shared" ref="B71:K71" si="15">B31</f>
        <v>566986</v>
      </c>
      <c r="C71" s="74">
        <f t="shared" si="15"/>
        <v>1024537</v>
      </c>
      <c r="D71" s="74">
        <f t="shared" si="15"/>
        <v>1713601.5</v>
      </c>
      <c r="E71" s="74">
        <f t="shared" si="15"/>
        <v>2129151</v>
      </c>
      <c r="F71" s="74">
        <f t="shared" si="15"/>
        <v>1296280</v>
      </c>
      <c r="G71" s="74">
        <f t="shared" si="15"/>
        <v>470503.5</v>
      </c>
      <c r="H71" s="74">
        <f t="shared" si="15"/>
        <v>524933</v>
      </c>
      <c r="I71" s="74">
        <f t="shared" si="15"/>
        <v>356394</v>
      </c>
      <c r="J71" s="74">
        <f t="shared" si="15"/>
        <v>0</v>
      </c>
      <c r="K71" s="74">
        <f t="shared" si="15"/>
        <v>0</v>
      </c>
    </row>
    <row r="72" spans="1:11" s="57" customFormat="1" ht="15.75" customHeight="1" x14ac:dyDescent="0.15">
      <c r="A72" s="57" t="s">
        <v>517</v>
      </c>
      <c r="B72" s="75">
        <f t="shared" ref="B72:K72" si="16">B70/B71</f>
        <v>3.0970782347359547E-3</v>
      </c>
      <c r="C72" s="75">
        <f t="shared" si="16"/>
        <v>2.0370176967742502E-3</v>
      </c>
      <c r="D72" s="75">
        <f t="shared" si="16"/>
        <v>1.2138177983621045E-4</v>
      </c>
      <c r="E72" s="75">
        <f t="shared" si="16"/>
        <v>1.836412729768814E-4</v>
      </c>
      <c r="F72" s="75">
        <f t="shared" si="16"/>
        <v>1.5814484524948313E-4</v>
      </c>
      <c r="G72" s="75">
        <f t="shared" si="16"/>
        <v>8.7799559408165938E-3</v>
      </c>
      <c r="H72" s="75">
        <f t="shared" si="16"/>
        <v>3.5242592864232196E-4</v>
      </c>
      <c r="I72" s="75">
        <f t="shared" si="16"/>
        <v>2.7778245425007155E-4</v>
      </c>
      <c r="J72" s="75" t="e">
        <f t="shared" si="16"/>
        <v>#DIV/0!</v>
      </c>
      <c r="K72" s="75" t="e">
        <f t="shared" si="16"/>
        <v>#DIV/0!</v>
      </c>
    </row>
    <row r="73" spans="1:11" ht="15.75" customHeight="1" x14ac:dyDescent="0.15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spans="1:11" ht="15.75" customHeight="1" x14ac:dyDescent="0.15">
      <c r="A74" s="44" t="s">
        <v>518</v>
      </c>
      <c r="B74" s="74">
        <f t="shared" ref="B74:K74" si="17">B17</f>
        <v>0</v>
      </c>
      <c r="C74" s="74">
        <f t="shared" si="17"/>
        <v>0</v>
      </c>
      <c r="D74" s="74">
        <f t="shared" si="17"/>
        <v>0</v>
      </c>
      <c r="E74" s="74">
        <f t="shared" si="17"/>
        <v>0</v>
      </c>
      <c r="F74" s="74">
        <f t="shared" si="17"/>
        <v>0</v>
      </c>
      <c r="G74" s="74">
        <f t="shared" si="17"/>
        <v>0</v>
      </c>
      <c r="H74" s="74">
        <f t="shared" si="17"/>
        <v>0</v>
      </c>
      <c r="I74" s="74">
        <f t="shared" si="17"/>
        <v>0</v>
      </c>
      <c r="J74" s="74">
        <f t="shared" si="17"/>
        <v>0</v>
      </c>
      <c r="K74" s="74">
        <f t="shared" si="17"/>
        <v>0</v>
      </c>
    </row>
    <row r="75" spans="1:11" ht="15.75" customHeight="1" x14ac:dyDescent="0.15">
      <c r="A75" s="44" t="s">
        <v>519</v>
      </c>
      <c r="B75" s="74">
        <f t="shared" ref="B75:K75" si="18">B18</f>
        <v>58702</v>
      </c>
      <c r="C75" s="74">
        <f t="shared" si="18"/>
        <v>58702</v>
      </c>
      <c r="D75" s="74">
        <f t="shared" si="18"/>
        <v>58702</v>
      </c>
      <c r="E75" s="74">
        <f t="shared" si="18"/>
        <v>32607</v>
      </c>
      <c r="F75" s="74">
        <f t="shared" si="18"/>
        <v>6512</v>
      </c>
      <c r="G75" s="74">
        <f t="shared" si="18"/>
        <v>6512</v>
      </c>
      <c r="H75" s="74">
        <f t="shared" si="18"/>
        <v>6512</v>
      </c>
      <c r="I75" s="74">
        <f t="shared" si="18"/>
        <v>3256</v>
      </c>
      <c r="J75" s="74">
        <f t="shared" si="18"/>
        <v>0</v>
      </c>
      <c r="K75" s="74">
        <f t="shared" si="18"/>
        <v>0</v>
      </c>
    </row>
    <row r="76" spans="1:11" s="57" customFormat="1" ht="15.75" customHeight="1" x14ac:dyDescent="0.15">
      <c r="A76" s="57" t="s">
        <v>520</v>
      </c>
      <c r="B76" s="75">
        <f t="shared" ref="B76:K76" si="19">B74/B75</f>
        <v>0</v>
      </c>
      <c r="C76" s="75">
        <f t="shared" si="19"/>
        <v>0</v>
      </c>
      <c r="D76" s="75">
        <f t="shared" si="19"/>
        <v>0</v>
      </c>
      <c r="E76" s="75">
        <f t="shared" si="19"/>
        <v>0</v>
      </c>
      <c r="F76" s="75">
        <f t="shared" si="19"/>
        <v>0</v>
      </c>
      <c r="G76" s="75">
        <f t="shared" si="19"/>
        <v>0</v>
      </c>
      <c r="H76" s="75">
        <f t="shared" si="19"/>
        <v>0</v>
      </c>
      <c r="I76" s="75">
        <f t="shared" si="19"/>
        <v>0</v>
      </c>
      <c r="J76" s="75" t="e">
        <f t="shared" si="19"/>
        <v>#DIV/0!</v>
      </c>
      <c r="K76" s="75" t="e">
        <f t="shared" si="19"/>
        <v>#DIV/0!</v>
      </c>
    </row>
    <row r="77" spans="1:11" ht="15.75" customHeight="1" x14ac:dyDescent="0.15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spans="1:11" ht="15.75" customHeight="1" x14ac:dyDescent="0.15">
      <c r="A78" s="44" t="s">
        <v>459</v>
      </c>
      <c r="B78" s="74">
        <f t="shared" ref="B78:K78" si="20">B6</f>
        <v>899733</v>
      </c>
      <c r="C78" s="74">
        <f t="shared" si="20"/>
        <v>566667</v>
      </c>
      <c r="D78" s="74">
        <f t="shared" si="20"/>
        <v>678581</v>
      </c>
      <c r="E78" s="74">
        <f t="shared" si="20"/>
        <v>961303</v>
      </c>
      <c r="F78" s="74">
        <f t="shared" si="20"/>
        <v>921282</v>
      </c>
      <c r="G78" s="74">
        <f t="shared" si="20"/>
        <v>751636</v>
      </c>
      <c r="H78" s="74">
        <f t="shared" si="20"/>
        <v>670425</v>
      </c>
      <c r="I78" s="74">
        <f t="shared" si="20"/>
        <v>364746</v>
      </c>
      <c r="J78" s="74">
        <f t="shared" si="20"/>
        <v>0</v>
      </c>
      <c r="K78" s="74">
        <f t="shared" si="20"/>
        <v>0</v>
      </c>
    </row>
    <row r="79" spans="1:11" ht="15.75" customHeight="1" x14ac:dyDescent="0.15">
      <c r="A79" s="44" t="s">
        <v>521</v>
      </c>
      <c r="B79" s="74">
        <f t="shared" ref="B79:K79" si="21">B46</f>
        <v>5492419.5</v>
      </c>
      <c r="C79" s="74">
        <f t="shared" si="21"/>
        <v>4944219.5</v>
      </c>
      <c r="D79" s="74">
        <f t="shared" si="21"/>
        <v>4371595</v>
      </c>
      <c r="E79" s="74">
        <f t="shared" si="21"/>
        <v>3644152</v>
      </c>
      <c r="F79" s="74">
        <f t="shared" si="21"/>
        <v>2795359.5</v>
      </c>
      <c r="G79" s="74">
        <f t="shared" si="21"/>
        <v>2058899.5</v>
      </c>
      <c r="H79" s="74">
        <f t="shared" si="21"/>
        <v>1397869.5</v>
      </c>
      <c r="I79" s="74">
        <f t="shared" si="21"/>
        <v>531329</v>
      </c>
      <c r="J79" s="74">
        <f t="shared" si="21"/>
        <v>0</v>
      </c>
      <c r="K79" s="74">
        <f t="shared" si="21"/>
        <v>0</v>
      </c>
    </row>
    <row r="80" spans="1:11" s="57" customFormat="1" ht="15.75" customHeight="1" x14ac:dyDescent="0.15">
      <c r="A80" s="57" t="s">
        <v>522</v>
      </c>
      <c r="B80" s="75">
        <f t="shared" ref="B80:K80" si="22">B78/B79</f>
        <v>0.16381359799629289</v>
      </c>
      <c r="C80" s="75">
        <f t="shared" si="22"/>
        <v>0.11461202319193151</v>
      </c>
      <c r="D80" s="75">
        <f t="shared" si="22"/>
        <v>0.15522503800100421</v>
      </c>
      <c r="E80" s="75">
        <f t="shared" si="22"/>
        <v>0.26379333244057879</v>
      </c>
      <c r="F80" s="75">
        <f t="shared" si="22"/>
        <v>0.32957549824986732</v>
      </c>
      <c r="G80" s="75">
        <f t="shared" si="22"/>
        <v>0.36506687188957015</v>
      </c>
      <c r="H80" s="75">
        <f t="shared" si="22"/>
        <v>0.47960485581808604</v>
      </c>
      <c r="I80" s="75">
        <f t="shared" si="22"/>
        <v>0.68647862247308167</v>
      </c>
      <c r="J80" s="75" t="e">
        <f t="shared" si="22"/>
        <v>#DIV/0!</v>
      </c>
      <c r="K80" s="75" t="e">
        <f t="shared" si="22"/>
        <v>#DIV/0!</v>
      </c>
    </row>
    <row r="81" spans="1:11" ht="15.75" customHeight="1" x14ac:dyDescent="0.15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spans="1:11" ht="15.75" customHeight="1" x14ac:dyDescent="0.15">
      <c r="A82" s="44" t="s">
        <v>523</v>
      </c>
      <c r="B82" s="74">
        <f t="shared" ref="B82:K82" si="23">B3</f>
        <v>1087201</v>
      </c>
      <c r="C82" s="74">
        <f t="shared" si="23"/>
        <v>591071</v>
      </c>
      <c r="D82" s="74">
        <f t="shared" si="23"/>
        <v>710509</v>
      </c>
      <c r="E82" s="74">
        <f t="shared" si="23"/>
        <v>1204240</v>
      </c>
      <c r="F82" s="74">
        <f t="shared" si="23"/>
        <v>1192771</v>
      </c>
      <c r="G82" s="74">
        <f t="shared" si="23"/>
        <v>970828</v>
      </c>
      <c r="H82" s="74">
        <f t="shared" si="23"/>
        <v>951134</v>
      </c>
      <c r="I82" s="74">
        <f t="shared" si="23"/>
        <v>533439</v>
      </c>
      <c r="J82" s="74">
        <f t="shared" si="23"/>
        <v>0</v>
      </c>
      <c r="K82" s="74">
        <f t="shared" si="23"/>
        <v>0</v>
      </c>
    </row>
    <row r="83" spans="1:11" ht="15.75" customHeight="1" x14ac:dyDescent="0.15">
      <c r="A83" s="44" t="s">
        <v>521</v>
      </c>
      <c r="B83" s="74">
        <f t="shared" ref="B83:K83" si="24">B46</f>
        <v>5492419.5</v>
      </c>
      <c r="C83" s="74">
        <f t="shared" si="24"/>
        <v>4944219.5</v>
      </c>
      <c r="D83" s="74">
        <f t="shared" si="24"/>
        <v>4371595</v>
      </c>
      <c r="E83" s="74">
        <f t="shared" si="24"/>
        <v>3644152</v>
      </c>
      <c r="F83" s="74">
        <f t="shared" si="24"/>
        <v>2795359.5</v>
      </c>
      <c r="G83" s="74">
        <f t="shared" si="24"/>
        <v>2058899.5</v>
      </c>
      <c r="H83" s="74">
        <f t="shared" si="24"/>
        <v>1397869.5</v>
      </c>
      <c r="I83" s="74">
        <f t="shared" si="24"/>
        <v>531329</v>
      </c>
      <c r="J83" s="74">
        <f t="shared" si="24"/>
        <v>0</v>
      </c>
      <c r="K83" s="74">
        <f t="shared" si="24"/>
        <v>0</v>
      </c>
    </row>
    <row r="84" spans="1:11" s="57" customFormat="1" ht="15.75" customHeight="1" x14ac:dyDescent="0.15">
      <c r="A84" s="57" t="s">
        <v>524</v>
      </c>
      <c r="B84" s="75">
        <f t="shared" ref="B84:K84" si="25">B82/B83</f>
        <v>0.19794573229521162</v>
      </c>
      <c r="C84" s="75">
        <f t="shared" si="25"/>
        <v>0.11954788819549779</v>
      </c>
      <c r="D84" s="75">
        <f t="shared" si="25"/>
        <v>0.16252855079210218</v>
      </c>
      <c r="E84" s="75">
        <f t="shared" si="25"/>
        <v>0.33045822457460611</v>
      </c>
      <c r="F84" s="75">
        <f t="shared" si="25"/>
        <v>0.42669681663485504</v>
      </c>
      <c r="G84" s="75">
        <f t="shared" si="25"/>
        <v>0.47152762920191105</v>
      </c>
      <c r="H84" s="75">
        <f t="shared" si="25"/>
        <v>0.68041687725499411</v>
      </c>
      <c r="I84" s="75">
        <f t="shared" si="25"/>
        <v>1.0039711741689237</v>
      </c>
      <c r="J84" s="75" t="e">
        <f t="shared" si="25"/>
        <v>#DIV/0!</v>
      </c>
      <c r="K84" s="75" t="e">
        <f t="shared" si="25"/>
        <v>#DIV/0!</v>
      </c>
    </row>
    <row r="85" spans="1:11" ht="15.75" customHeight="1" x14ac:dyDescent="0.15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spans="1:11" ht="15.75" customHeight="1" x14ac:dyDescent="0.15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spans="1:11" ht="15.75" customHeight="1" x14ac:dyDescent="0.15">
      <c r="A87" s="44" t="s">
        <v>511</v>
      </c>
      <c r="B87" s="74">
        <f t="shared" ref="B87:K87" si="26">B64</f>
        <v>0.10988184435220208</v>
      </c>
      <c r="C87" s="74">
        <f t="shared" si="26"/>
        <v>7.5395321594809037E-2</v>
      </c>
      <c r="D87" s="74">
        <f t="shared" si="26"/>
        <v>7.0611456500511677E-2</v>
      </c>
      <c r="E87" s="74">
        <f t="shared" si="26"/>
        <v>0.12239459622624098</v>
      </c>
      <c r="F87" s="74">
        <f t="shared" si="26"/>
        <v>0.16695747075845616</v>
      </c>
      <c r="G87" s="74">
        <f t="shared" si="26"/>
        <v>0.21881412326047317</v>
      </c>
      <c r="H87" s="74">
        <f t="shared" si="26"/>
        <v>0.28954223069472124</v>
      </c>
      <c r="I87" s="74">
        <f t="shared" si="26"/>
        <v>0.39129864871018838</v>
      </c>
      <c r="J87" s="74" t="e">
        <f t="shared" si="26"/>
        <v>#DIV/0!</v>
      </c>
      <c r="K87" s="74" t="e">
        <f t="shared" si="26"/>
        <v>#DIV/0!</v>
      </c>
    </row>
    <row r="88" spans="1:11" ht="15.75" customHeight="1" x14ac:dyDescent="0.15">
      <c r="A88" s="44" t="s">
        <v>526</v>
      </c>
      <c r="B88" s="74">
        <f t="shared" ref="B88:K88" si="27">(B87-B68)*(B30/B46)</f>
        <v>0.10026174563196438</v>
      </c>
      <c r="C88" s="74">
        <f t="shared" si="27"/>
        <v>6.0248970243172557E-2</v>
      </c>
      <c r="D88" s="74">
        <f t="shared" si="27"/>
        <v>0.12049635003141883</v>
      </c>
      <c r="E88" s="74">
        <f t="shared" si="27"/>
        <v>0.28056238733230598</v>
      </c>
      <c r="F88" s="74">
        <f t="shared" si="27"/>
        <v>0.33747741757857191</v>
      </c>
      <c r="G88" s="74">
        <f t="shared" si="27"/>
        <v>0.30140297738681737</v>
      </c>
      <c r="H88" s="74">
        <f t="shared" si="27"/>
        <v>0.50082108347126919</v>
      </c>
      <c r="I88" s="74">
        <f t="shared" si="27"/>
        <v>0.87735139487602509</v>
      </c>
      <c r="J88" s="74" t="e">
        <f t="shared" si="27"/>
        <v>#DIV/0!</v>
      </c>
      <c r="K88" s="74" t="e">
        <f t="shared" si="27"/>
        <v>#DIV/0!</v>
      </c>
    </row>
    <row r="89" spans="1:11" ht="15.75" customHeight="1" x14ac:dyDescent="0.15">
      <c r="A89" s="44" t="s">
        <v>527</v>
      </c>
      <c r="B89" s="74">
        <f t="shared" ref="B89:K89" si="28">(B72-B87)*(B31/B46)</f>
        <v>-1.1023460134805371E-2</v>
      </c>
      <c r="C89" s="74">
        <f t="shared" si="28"/>
        <v>-1.5201245939987265E-2</v>
      </c>
      <c r="D89" s="74">
        <f t="shared" si="28"/>
        <v>-2.7631081510629773E-2</v>
      </c>
      <c r="E89" s="74">
        <f t="shared" si="28"/>
        <v>-7.140360142762904E-2</v>
      </c>
      <c r="F89" s="74">
        <f t="shared" si="28"/>
        <v>-7.7349131728771045E-2</v>
      </c>
      <c r="G89" s="74">
        <f t="shared" si="28"/>
        <v>-4.7997394162990488E-2</v>
      </c>
      <c r="H89" s="74">
        <f t="shared" si="28"/>
        <v>-0.10859759926464674</v>
      </c>
      <c r="I89" s="74">
        <f t="shared" si="28"/>
        <v>-0.26228097959723423</v>
      </c>
      <c r="J89" s="74" t="e">
        <f t="shared" si="28"/>
        <v>#DIV/0!</v>
      </c>
      <c r="K89" s="74" t="e">
        <f t="shared" si="28"/>
        <v>#DIV/0!</v>
      </c>
    </row>
    <row r="90" spans="1:11" ht="15.75" customHeight="1" x14ac:dyDescent="0.15">
      <c r="A90" s="44" t="s">
        <v>528</v>
      </c>
      <c r="B90" s="74">
        <f t="shared" ref="B90:K90" si="29">(B76-B87)*(B75/B46)</f>
        <v>-1.1743975541494904E-3</v>
      </c>
      <c r="C90" s="74">
        <f t="shared" si="29"/>
        <v>-8.9515770249651739E-4</v>
      </c>
      <c r="D90" s="74">
        <f t="shared" si="29"/>
        <v>-9.4817422919850456E-4</v>
      </c>
      <c r="E90" s="74">
        <f t="shared" si="29"/>
        <v>-1.0951575563118772E-3</v>
      </c>
      <c r="F90" s="74">
        <f t="shared" si="29"/>
        <v>-3.8893997340201376E-4</v>
      </c>
      <c r="G90" s="74">
        <f t="shared" si="29"/>
        <v>-6.9207728238906334E-4</v>
      </c>
      <c r="H90" s="74">
        <f t="shared" si="29"/>
        <v>-1.348837646349695E-3</v>
      </c>
      <c r="I90" s="74">
        <f t="shared" si="29"/>
        <v>-2.3978898200556968E-3</v>
      </c>
      <c r="J90" s="74" t="e">
        <f t="shared" si="29"/>
        <v>#DIV/0!</v>
      </c>
      <c r="K90" s="74" t="e">
        <f t="shared" si="29"/>
        <v>#DIV/0!</v>
      </c>
    </row>
    <row r="91" spans="1:11" s="57" customFormat="1" ht="15.75" customHeight="1" x14ac:dyDescent="0.15">
      <c r="A91" s="57" t="s">
        <v>524</v>
      </c>
      <c r="B91" s="75">
        <f t="shared" ref="B91:K91" si="30">SUM(B87:B90)</f>
        <v>0.19794573229521159</v>
      </c>
      <c r="C91" s="75">
        <f t="shared" si="30"/>
        <v>0.11954788819549782</v>
      </c>
      <c r="D91" s="75">
        <f t="shared" si="30"/>
        <v>0.16252855079210221</v>
      </c>
      <c r="E91" s="75">
        <f t="shared" si="30"/>
        <v>0.33045822457460605</v>
      </c>
      <c r="F91" s="75">
        <f t="shared" si="30"/>
        <v>0.42669681663485504</v>
      </c>
      <c r="G91" s="75">
        <f t="shared" si="30"/>
        <v>0.47152762920191099</v>
      </c>
      <c r="H91" s="75">
        <f t="shared" si="30"/>
        <v>0.680416877254994</v>
      </c>
      <c r="I91" s="75">
        <f t="shared" si="30"/>
        <v>1.0039711741689235</v>
      </c>
      <c r="J91" s="75" t="e">
        <f t="shared" si="30"/>
        <v>#DIV/0!</v>
      </c>
      <c r="K91" s="75" t="e">
        <f t="shared" si="30"/>
        <v>#DIV/0!</v>
      </c>
    </row>
    <row r="92" spans="1:11" ht="15.75" customHeight="1" x14ac:dyDescent="0.15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spans="1:11" ht="15.75" customHeight="1" x14ac:dyDescent="0.15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spans="1:11" ht="15.75" customHeight="1" x14ac:dyDescent="0.15">
      <c r="A94" s="44" t="s">
        <v>530</v>
      </c>
      <c r="B94" s="74">
        <f t="shared" ref="B94:K94" si="31">B64*(B14/B46)</f>
        <v>0.28928034357171734</v>
      </c>
      <c r="C94" s="74">
        <f t="shared" si="31"/>
        <v>0.22598652830846205</v>
      </c>
      <c r="D94" s="74">
        <f t="shared" si="31"/>
        <v>0.22050876167623032</v>
      </c>
      <c r="E94" s="74">
        <f t="shared" si="31"/>
        <v>0.38726622819245737</v>
      </c>
      <c r="F94" s="74">
        <f t="shared" si="31"/>
        <v>0.48356070122644335</v>
      </c>
      <c r="G94" s="74">
        <f t="shared" si="31"/>
        <v>0.51951394422117259</v>
      </c>
      <c r="H94" s="74">
        <f t="shared" si="31"/>
        <v>0.75325343317097904</v>
      </c>
      <c r="I94" s="74">
        <f t="shared" si="31"/>
        <v>1.1967105126955238</v>
      </c>
      <c r="J94" s="74" t="e">
        <f t="shared" si="31"/>
        <v>#DIV/0!</v>
      </c>
      <c r="K94" s="74" t="e">
        <f t="shared" si="31"/>
        <v>#DIV/0!</v>
      </c>
    </row>
    <row r="95" spans="1:11" ht="15.75" customHeight="1" x14ac:dyDescent="0.15">
      <c r="A95" s="44" t="s">
        <v>531</v>
      </c>
      <c r="B95" s="74">
        <f t="shared" ref="B95:K95" si="32">-B68*(B30/B46)</f>
        <v>-9.1654324656009978E-2</v>
      </c>
      <c r="C95" s="74">
        <f t="shared" si="32"/>
        <v>-0.10686074920419694</v>
      </c>
      <c r="D95" s="74">
        <f t="shared" si="32"/>
        <v>-5.8027790772017994E-2</v>
      </c>
      <c r="E95" s="74">
        <f t="shared" si="32"/>
        <v>-5.6915298813002307E-2</v>
      </c>
      <c r="F95" s="74">
        <f t="shared" si="32"/>
        <v>-5.6937220418339748E-2</v>
      </c>
      <c r="G95" s="74">
        <f t="shared" si="32"/>
        <v>-4.9992726696956306E-2</v>
      </c>
      <c r="H95" s="74">
        <f t="shared" si="32"/>
        <v>-7.2968900172727141E-2</v>
      </c>
      <c r="I95" s="74">
        <f t="shared" si="32"/>
        <v>-0.19292566376011852</v>
      </c>
      <c r="J95" s="74" t="e">
        <f t="shared" si="32"/>
        <v>#DIV/0!</v>
      </c>
      <c r="K95" s="74" t="e">
        <f t="shared" si="32"/>
        <v>#DIV/0!</v>
      </c>
    </row>
    <row r="96" spans="1:11" ht="15.75" customHeight="1" x14ac:dyDescent="0.15">
      <c r="A96" s="44" t="s">
        <v>532</v>
      </c>
      <c r="B96" s="74">
        <f t="shared" ref="B96:K96" si="33">B72*(B31/B46)</f>
        <v>3.1971337950424217E-4</v>
      </c>
      <c r="C96" s="74">
        <f t="shared" si="33"/>
        <v>4.2210909123270113E-4</v>
      </c>
      <c r="D96" s="74">
        <f t="shared" si="33"/>
        <v>4.7579887889889155E-5</v>
      </c>
      <c r="E96" s="74">
        <f t="shared" si="33"/>
        <v>1.0729519515102554E-4</v>
      </c>
      <c r="F96" s="74">
        <f t="shared" si="33"/>
        <v>7.3335826751442875E-5</v>
      </c>
      <c r="G96" s="74">
        <f t="shared" si="33"/>
        <v>2.0064116776948074E-3</v>
      </c>
      <c r="H96" s="74">
        <f t="shared" si="33"/>
        <v>1.3234425674213507E-4</v>
      </c>
      <c r="I96" s="74">
        <f t="shared" si="33"/>
        <v>1.8632523351821566E-4</v>
      </c>
      <c r="J96" s="74" t="e">
        <f t="shared" si="33"/>
        <v>#DIV/0!</v>
      </c>
      <c r="K96" s="74" t="e">
        <f t="shared" si="33"/>
        <v>#DIV/0!</v>
      </c>
    </row>
    <row r="97" spans="1:11" ht="15.75" customHeight="1" x14ac:dyDescent="0.15">
      <c r="A97" s="44" t="s">
        <v>533</v>
      </c>
      <c r="B97" s="74">
        <f t="shared" ref="B97:K97" si="34">B76*(B18/B46)</f>
        <v>0</v>
      </c>
      <c r="C97" s="74">
        <f t="shared" si="34"/>
        <v>0</v>
      </c>
      <c r="D97" s="74">
        <f t="shared" si="34"/>
        <v>0</v>
      </c>
      <c r="E97" s="74">
        <f t="shared" si="34"/>
        <v>0</v>
      </c>
      <c r="F97" s="74">
        <f t="shared" si="34"/>
        <v>0</v>
      </c>
      <c r="G97" s="74">
        <f t="shared" si="34"/>
        <v>0</v>
      </c>
      <c r="H97" s="74">
        <f t="shared" si="34"/>
        <v>0</v>
      </c>
      <c r="I97" s="74">
        <f t="shared" si="34"/>
        <v>0</v>
      </c>
      <c r="J97" s="74" t="e">
        <f t="shared" si="34"/>
        <v>#DIV/0!</v>
      </c>
      <c r="K97" s="74" t="e">
        <f t="shared" si="34"/>
        <v>#DIV/0!</v>
      </c>
    </row>
    <row r="98" spans="1:11" s="57" customFormat="1" ht="15.75" customHeight="1" x14ac:dyDescent="0.15">
      <c r="A98" s="57" t="s">
        <v>524</v>
      </c>
      <c r="B98" s="75">
        <f t="shared" ref="B98:K98" si="35">SUM(B94:B97)</f>
        <v>0.19794573229521159</v>
      </c>
      <c r="C98" s="75">
        <f t="shared" si="35"/>
        <v>0.11954788819549782</v>
      </c>
      <c r="D98" s="75">
        <f t="shared" si="35"/>
        <v>0.16252855079210221</v>
      </c>
      <c r="E98" s="75">
        <f t="shared" si="35"/>
        <v>0.33045822457460611</v>
      </c>
      <c r="F98" s="75">
        <f t="shared" si="35"/>
        <v>0.42669681663485504</v>
      </c>
      <c r="G98" s="75">
        <f t="shared" si="35"/>
        <v>0.4715276292019111</v>
      </c>
      <c r="H98" s="75">
        <f t="shared" si="35"/>
        <v>0.680416877254994</v>
      </c>
      <c r="I98" s="75">
        <f t="shared" si="35"/>
        <v>1.0039711741689235</v>
      </c>
      <c r="J98" s="75" t="e">
        <f t="shared" si="35"/>
        <v>#DIV/0!</v>
      </c>
      <c r="K98" s="75" t="e">
        <f t="shared" si="35"/>
        <v>#DIV/0!</v>
      </c>
    </row>
    <row r="99" spans="1:11" ht="15.75" customHeight="1" x14ac:dyDescent="0.15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spans="1:11" ht="15.75" customHeight="1" x14ac:dyDescent="0.15">
      <c r="A100" s="44" t="s">
        <v>534</v>
      </c>
      <c r="B100" s="74">
        <f t="shared" ref="B100:K100" si="36">B84-B91</f>
        <v>0</v>
      </c>
      <c r="C100" s="74">
        <f t="shared" si="36"/>
        <v>0</v>
      </c>
      <c r="D100" s="74">
        <f t="shared" si="36"/>
        <v>0</v>
      </c>
      <c r="E100" s="74">
        <f t="shared" si="36"/>
        <v>0</v>
      </c>
      <c r="F100" s="74">
        <f t="shared" si="36"/>
        <v>0</v>
      </c>
      <c r="G100" s="74">
        <f t="shared" si="36"/>
        <v>0</v>
      </c>
      <c r="H100" s="74">
        <f t="shared" si="36"/>
        <v>0</v>
      </c>
      <c r="I100" s="74">
        <f t="shared" si="36"/>
        <v>0</v>
      </c>
      <c r="J100" s="74" t="e">
        <f t="shared" si="36"/>
        <v>#DIV/0!</v>
      </c>
      <c r="K100" s="74" t="e">
        <f t="shared" si="36"/>
        <v>#DIV/0!</v>
      </c>
    </row>
    <row r="101" spans="1:11" ht="15.75" customHeight="1" x14ac:dyDescent="0.15">
      <c r="A101" s="44" t="s">
        <v>535</v>
      </c>
      <c r="B101" s="74">
        <f t="shared" ref="B101:K101" si="37">B84-B98</f>
        <v>0</v>
      </c>
      <c r="C101" s="74">
        <f t="shared" si="37"/>
        <v>0</v>
      </c>
      <c r="D101" s="74">
        <f t="shared" si="37"/>
        <v>0</v>
      </c>
      <c r="E101" s="74">
        <f t="shared" si="37"/>
        <v>0</v>
      </c>
      <c r="F101" s="74">
        <f t="shared" si="37"/>
        <v>0</v>
      </c>
      <c r="G101" s="74">
        <f t="shared" si="37"/>
        <v>0</v>
      </c>
      <c r="H101" s="74">
        <f t="shared" si="37"/>
        <v>0</v>
      </c>
      <c r="I101" s="74">
        <f t="shared" si="37"/>
        <v>0</v>
      </c>
      <c r="J101" s="74" t="e">
        <f t="shared" si="37"/>
        <v>#DIV/0!</v>
      </c>
      <c r="K101" s="74" t="e">
        <f t="shared" si="37"/>
        <v>#DIV/0!</v>
      </c>
    </row>
    <row r="102" spans="1:11" ht="15.75" customHeight="1" x14ac:dyDescent="0.15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spans="1:11" ht="15.75" customHeight="1" x14ac:dyDescent="0.15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spans="1:11" ht="15.75" customHeight="1" x14ac:dyDescent="0.15">
      <c r="A104" s="44" t="s">
        <v>523</v>
      </c>
      <c r="B104" s="74">
        <f t="shared" ref="B104:K104" si="38">B3</f>
        <v>1087201</v>
      </c>
      <c r="C104" s="74">
        <f t="shared" si="38"/>
        <v>591071</v>
      </c>
      <c r="D104" s="74">
        <f t="shared" si="38"/>
        <v>710509</v>
      </c>
      <c r="E104" s="74">
        <f t="shared" si="38"/>
        <v>1204240</v>
      </c>
      <c r="F104" s="74">
        <f t="shared" si="38"/>
        <v>1192771</v>
      </c>
      <c r="G104" s="74">
        <f t="shared" si="38"/>
        <v>970828</v>
      </c>
      <c r="H104" s="74">
        <f t="shared" si="38"/>
        <v>951134</v>
      </c>
      <c r="I104" s="74">
        <f t="shared" si="38"/>
        <v>533439</v>
      </c>
      <c r="J104" s="74">
        <f t="shared" si="38"/>
        <v>0</v>
      </c>
      <c r="K104" s="74">
        <f t="shared" si="38"/>
        <v>0</v>
      </c>
    </row>
    <row r="105" spans="1:11" ht="15.75" customHeight="1" x14ac:dyDescent="0.15">
      <c r="A105" s="44" t="s">
        <v>521</v>
      </c>
      <c r="B105" s="74">
        <f t="shared" ref="B105:K105" si="39">B46</f>
        <v>5492419.5</v>
      </c>
      <c r="C105" s="74">
        <f t="shared" si="39"/>
        <v>4944219.5</v>
      </c>
      <c r="D105" s="74">
        <f t="shared" si="39"/>
        <v>4371595</v>
      </c>
      <c r="E105" s="74">
        <f t="shared" si="39"/>
        <v>3644152</v>
      </c>
      <c r="F105" s="74">
        <f t="shared" si="39"/>
        <v>2795359.5</v>
      </c>
      <c r="G105" s="74">
        <f t="shared" si="39"/>
        <v>2058899.5</v>
      </c>
      <c r="H105" s="74">
        <f t="shared" si="39"/>
        <v>1397869.5</v>
      </c>
      <c r="I105" s="74">
        <f t="shared" si="39"/>
        <v>531329</v>
      </c>
      <c r="J105" s="74">
        <f t="shared" si="39"/>
        <v>0</v>
      </c>
      <c r="K105" s="74">
        <f t="shared" si="39"/>
        <v>0</v>
      </c>
    </row>
    <row r="106" spans="1:11" ht="15.75" customHeight="1" x14ac:dyDescent="0.15">
      <c r="A106" s="44" t="s">
        <v>537</v>
      </c>
      <c r="B106" s="74">
        <f t="shared" ref="B106:K106" si="40">(B104+B23)/B104</f>
        <v>1</v>
      </c>
      <c r="C106" s="74">
        <f t="shared" si="40"/>
        <v>1</v>
      </c>
      <c r="D106" s="74">
        <f t="shared" si="40"/>
        <v>1</v>
      </c>
      <c r="E106" s="74">
        <f t="shared" si="40"/>
        <v>1</v>
      </c>
      <c r="F106" s="74">
        <f t="shared" si="40"/>
        <v>1</v>
      </c>
      <c r="G106" s="74">
        <f t="shared" si="40"/>
        <v>1</v>
      </c>
      <c r="H106" s="74">
        <f t="shared" si="40"/>
        <v>1</v>
      </c>
      <c r="I106" s="74">
        <f t="shared" si="40"/>
        <v>1</v>
      </c>
      <c r="J106" s="74" t="e">
        <f t="shared" si="40"/>
        <v>#DIV/0!</v>
      </c>
      <c r="K106" s="74" t="e">
        <f t="shared" si="40"/>
        <v>#DIV/0!</v>
      </c>
    </row>
    <row r="107" spans="1:11" ht="15.75" customHeight="1" x14ac:dyDescent="0.15">
      <c r="A107" s="44" t="s">
        <v>538</v>
      </c>
      <c r="B107" s="74">
        <f t="shared" ref="B107:K107" si="41">(B3+B23+B29)/(B3+B23)</f>
        <v>0.82756822335520297</v>
      </c>
      <c r="C107" s="74">
        <f t="shared" si="41"/>
        <v>0.95871223592427979</v>
      </c>
      <c r="D107" s="74">
        <f t="shared" si="41"/>
        <v>0.95506320116986554</v>
      </c>
      <c r="E107" s="74">
        <f t="shared" si="41"/>
        <v>0.79826529595429485</v>
      </c>
      <c r="F107" s="74">
        <f t="shared" si="41"/>
        <v>0.7723879940072319</v>
      </c>
      <c r="G107" s="74">
        <f t="shared" si="41"/>
        <v>0.77422159229029242</v>
      </c>
      <c r="H107" s="74">
        <f t="shared" si="41"/>
        <v>0.70486913515866323</v>
      </c>
      <c r="I107" s="74">
        <f t="shared" si="41"/>
        <v>0.68376327940026882</v>
      </c>
      <c r="J107" s="74" t="e">
        <f t="shared" si="41"/>
        <v>#DIV/0!</v>
      </c>
      <c r="K107" s="74" t="e">
        <f t="shared" si="41"/>
        <v>#DIV/0!</v>
      </c>
    </row>
    <row r="108" spans="1:11" ht="15.75" customHeight="1" x14ac:dyDescent="0.15">
      <c r="A108" s="44" t="s">
        <v>539</v>
      </c>
      <c r="B108" s="74">
        <f t="shared" ref="B108:K108" si="42">B6/B46</f>
        <v>0.16381359799629289</v>
      </c>
      <c r="C108" s="74">
        <f t="shared" si="42"/>
        <v>0.11461202319193151</v>
      </c>
      <c r="D108" s="74">
        <f t="shared" si="42"/>
        <v>0.15522503800100421</v>
      </c>
      <c r="E108" s="74">
        <f t="shared" si="42"/>
        <v>0.26379333244057879</v>
      </c>
      <c r="F108" s="74">
        <f t="shared" si="42"/>
        <v>0.32957549824986732</v>
      </c>
      <c r="G108" s="74">
        <f t="shared" si="42"/>
        <v>0.36506687188957015</v>
      </c>
      <c r="H108" s="74">
        <f t="shared" si="42"/>
        <v>0.47960485581808604</v>
      </c>
      <c r="I108" s="74">
        <f t="shared" si="42"/>
        <v>0.68647862247308167</v>
      </c>
      <c r="J108" s="74" t="e">
        <f t="shared" si="42"/>
        <v>#DIV/0!</v>
      </c>
      <c r="K108" s="74" t="e">
        <f t="shared" si="42"/>
        <v>#DIV/0!</v>
      </c>
    </row>
    <row r="109" spans="1:11" s="57" customFormat="1" ht="15.75" customHeight="1" x14ac:dyDescent="0.15">
      <c r="A109" s="57" t="s">
        <v>522</v>
      </c>
      <c r="B109" s="75">
        <f t="shared" ref="B109:K109" si="43">(B104/B105)*B106*B107</f>
        <v>0.16381359799629291</v>
      </c>
      <c r="C109" s="75">
        <f t="shared" si="43"/>
        <v>0.11461202319193151</v>
      </c>
      <c r="D109" s="75">
        <f t="shared" si="43"/>
        <v>0.15522503800100421</v>
      </c>
      <c r="E109" s="75">
        <f t="shared" si="43"/>
        <v>0.26379333244057879</v>
      </c>
      <c r="F109" s="75">
        <f t="shared" si="43"/>
        <v>0.32957549824986732</v>
      </c>
      <c r="G109" s="75">
        <f t="shared" si="43"/>
        <v>0.36506687188957015</v>
      </c>
      <c r="H109" s="75">
        <f t="shared" si="43"/>
        <v>0.47960485581808604</v>
      </c>
      <c r="I109" s="75">
        <f t="shared" si="43"/>
        <v>0.68647862247308167</v>
      </c>
      <c r="J109" s="75" t="e">
        <f t="shared" si="43"/>
        <v>#DIV/0!</v>
      </c>
      <c r="K109" s="75" t="e">
        <f t="shared" si="43"/>
        <v>#DIV/0!</v>
      </c>
    </row>
    <row r="110" spans="1:11" ht="15.75" customHeight="1" x14ac:dyDescent="0.15">
      <c r="A110" s="44" t="s">
        <v>540</v>
      </c>
      <c r="B110" s="77">
        <f t="shared" ref="B110:K110" si="44">B109-B80</f>
        <v>0</v>
      </c>
      <c r="C110" s="77">
        <f t="shared" si="44"/>
        <v>0</v>
      </c>
      <c r="D110" s="77">
        <f t="shared" si="44"/>
        <v>0</v>
      </c>
      <c r="E110" s="77">
        <f t="shared" si="44"/>
        <v>0</v>
      </c>
      <c r="F110" s="77">
        <f t="shared" si="44"/>
        <v>0</v>
      </c>
      <c r="G110" s="77">
        <f t="shared" si="44"/>
        <v>0</v>
      </c>
      <c r="H110" s="77">
        <f t="shared" si="44"/>
        <v>0</v>
      </c>
      <c r="I110" s="77">
        <f t="shared" si="44"/>
        <v>0</v>
      </c>
      <c r="J110" s="77" t="e">
        <f t="shared" si="44"/>
        <v>#DIV/0!</v>
      </c>
      <c r="K110" s="77" t="e">
        <f t="shared" si="44"/>
        <v>#DIV/0!</v>
      </c>
    </row>
    <row r="113" spans="1:11" ht="15.75" customHeight="1" x14ac:dyDescent="0.15">
      <c r="A113" s="73" t="s">
        <v>454</v>
      </c>
    </row>
    <row r="114" spans="1:11" ht="15.75" customHeight="1" x14ac:dyDescent="0.15">
      <c r="A114" s="73" t="s">
        <v>541</v>
      </c>
    </row>
    <row r="115" spans="1:11" ht="15.75" customHeight="1" x14ac:dyDescent="0.15">
      <c r="A115" s="44" t="s">
        <v>485</v>
      </c>
      <c r="B115" s="74">
        <f t="shared" ref="B115:K115" si="45">B32</f>
        <v>4076587.5</v>
      </c>
      <c r="C115" s="74">
        <f t="shared" si="45"/>
        <v>3431489.5</v>
      </c>
      <c r="D115" s="74">
        <f t="shared" si="45"/>
        <v>3073409.5</v>
      </c>
      <c r="E115" s="74">
        <f t="shared" si="45"/>
        <v>2983914</v>
      </c>
      <c r="F115" s="74">
        <f t="shared" si="45"/>
        <v>2715056.5</v>
      </c>
      <c r="G115" s="74">
        <f t="shared" si="45"/>
        <v>2498211</v>
      </c>
      <c r="H115" s="74">
        <f t="shared" si="45"/>
        <v>2367411.5</v>
      </c>
      <c r="I115" s="74">
        <f t="shared" si="45"/>
        <v>1190651</v>
      </c>
      <c r="J115" s="74">
        <f t="shared" si="45"/>
        <v>0</v>
      </c>
      <c r="K115" s="74">
        <f t="shared" si="45"/>
        <v>0</v>
      </c>
    </row>
    <row r="116" spans="1:11" ht="15.75" customHeight="1" x14ac:dyDescent="0.15">
      <c r="A116" s="44" t="s">
        <v>542</v>
      </c>
      <c r="B116" s="74">
        <f t="shared" ref="B116:K116" si="46">B9</f>
        <v>72367.709315068496</v>
      </c>
      <c r="C116" s="74">
        <f t="shared" si="46"/>
        <v>70667.717863013691</v>
      </c>
      <c r="D116" s="74">
        <f t="shared" si="46"/>
        <v>59567.048164383559</v>
      </c>
      <c r="E116" s="74">
        <f t="shared" si="46"/>
        <v>52270.676054794516</v>
      </c>
      <c r="F116" s="74">
        <f t="shared" si="46"/>
        <v>47920.527068493146</v>
      </c>
      <c r="G116" s="74">
        <f t="shared" si="46"/>
        <v>45290.919013698629</v>
      </c>
      <c r="H116" s="74">
        <f t="shared" si="46"/>
        <v>38503.313643835616</v>
      </c>
      <c r="I116" s="74">
        <f t="shared" si="46"/>
        <v>33148.372657534244</v>
      </c>
      <c r="J116" s="74">
        <f t="shared" si="46"/>
        <v>0</v>
      </c>
      <c r="K116" s="74">
        <f t="shared" si="46"/>
        <v>0</v>
      </c>
    </row>
    <row r="117" spans="1:11" s="57" customFormat="1" ht="15.75" customHeight="1" x14ac:dyDescent="0.15">
      <c r="A117" s="57" t="s">
        <v>543</v>
      </c>
      <c r="B117" s="78">
        <f t="shared" ref="B117:K117" si="47">B115/B116</f>
        <v>56.331581289269408</v>
      </c>
      <c r="C117" s="78">
        <f t="shared" si="47"/>
        <v>48.5580913572417</v>
      </c>
      <c r="D117" s="78">
        <f t="shared" si="47"/>
        <v>51.595799938222534</v>
      </c>
      <c r="E117" s="78">
        <f t="shared" si="47"/>
        <v>57.085812260626028</v>
      </c>
      <c r="F117" s="78">
        <f t="shared" si="47"/>
        <v>56.657484090676853</v>
      </c>
      <c r="G117" s="78">
        <f t="shared" si="47"/>
        <v>55.159203089793664</v>
      </c>
      <c r="H117" s="78">
        <f t="shared" si="47"/>
        <v>61.485915781147909</v>
      </c>
      <c r="I117" s="78">
        <f t="shared" si="47"/>
        <v>35.918837171917055</v>
      </c>
      <c r="J117" s="78" t="e">
        <f t="shared" si="47"/>
        <v>#DIV/0!</v>
      </c>
      <c r="K117" s="78" t="e">
        <f t="shared" si="47"/>
        <v>#DIV/0!</v>
      </c>
    </row>
    <row r="118" spans="1:11" ht="15.75" customHeight="1" x14ac:dyDescent="0.15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spans="1:11" ht="15.75" customHeight="1" x14ac:dyDescent="0.15">
      <c r="A119" s="44" t="s">
        <v>486</v>
      </c>
      <c r="B119" s="74">
        <f t="shared" ref="B119:K119" si="48">B33</f>
        <v>2308640.5</v>
      </c>
      <c r="C119" s="74">
        <f t="shared" si="48"/>
        <v>2430353.5</v>
      </c>
      <c r="D119" s="74">
        <f t="shared" si="48"/>
        <v>2329921</v>
      </c>
      <c r="E119" s="74">
        <f t="shared" si="48"/>
        <v>1763975.5</v>
      </c>
      <c r="F119" s="74">
        <f t="shared" si="48"/>
        <v>1734486</v>
      </c>
      <c r="G119" s="74">
        <f t="shared" si="48"/>
        <v>1639495</v>
      </c>
      <c r="H119" s="74">
        <f t="shared" si="48"/>
        <v>1229982</v>
      </c>
      <c r="I119" s="74">
        <f t="shared" si="48"/>
        <v>632109</v>
      </c>
      <c r="J119" s="74">
        <f t="shared" si="48"/>
        <v>0</v>
      </c>
      <c r="K119" s="74">
        <f t="shared" si="48"/>
        <v>0</v>
      </c>
    </row>
    <row r="120" spans="1:11" ht="15.75" customHeight="1" x14ac:dyDescent="0.15">
      <c r="A120" s="44" t="s">
        <v>544</v>
      </c>
      <c r="B120" s="74">
        <f t="shared" ref="B120:K120" si="49">-B11</f>
        <v>57621.438958904109</v>
      </c>
      <c r="C120" s="74">
        <f t="shared" si="49"/>
        <v>58630.683123287672</v>
      </c>
      <c r="D120" s="74">
        <f t="shared" si="49"/>
        <v>56282.875013698627</v>
      </c>
      <c r="E120" s="74">
        <f t="shared" si="49"/>
        <v>42115.890739726026</v>
      </c>
      <c r="F120" s="74">
        <f t="shared" si="49"/>
        <v>36937.986794520548</v>
      </c>
      <c r="G120" s="74">
        <f t="shared" si="49"/>
        <v>38454.730904109587</v>
      </c>
      <c r="H120" s="74">
        <f t="shared" si="49"/>
        <v>31318.476273972603</v>
      </c>
      <c r="I120" s="74">
        <f t="shared" si="49"/>
        <v>26457.143945205476</v>
      </c>
      <c r="J120" s="74">
        <f t="shared" si="49"/>
        <v>0</v>
      </c>
      <c r="K120" s="74">
        <f t="shared" si="49"/>
        <v>0</v>
      </c>
    </row>
    <row r="121" spans="1:11" s="57" customFormat="1" ht="15.75" customHeight="1" x14ac:dyDescent="0.15">
      <c r="A121" s="57" t="s">
        <v>545</v>
      </c>
      <c r="B121" s="78">
        <f t="shared" ref="B121:K121" si="50">B119/B120</f>
        <v>40.065651634394861</v>
      </c>
      <c r="C121" s="78">
        <f t="shared" si="50"/>
        <v>41.451904882115926</v>
      </c>
      <c r="D121" s="78">
        <f t="shared" si="50"/>
        <v>41.396623740932263</v>
      </c>
      <c r="E121" s="78">
        <f t="shared" si="50"/>
        <v>41.88384642987311</v>
      </c>
      <c r="F121" s="78">
        <f t="shared" si="50"/>
        <v>46.95670096068411</v>
      </c>
      <c r="G121" s="78">
        <f t="shared" si="50"/>
        <v>42.634416142144687</v>
      </c>
      <c r="H121" s="78">
        <f t="shared" si="50"/>
        <v>39.273366598048177</v>
      </c>
      <c r="I121" s="78">
        <f t="shared" si="50"/>
        <v>23.891807872729583</v>
      </c>
      <c r="J121" s="78" t="e">
        <f t="shared" si="50"/>
        <v>#DIV/0!</v>
      </c>
      <c r="K121" s="78" t="e">
        <f t="shared" si="50"/>
        <v>#DIV/0!</v>
      </c>
    </row>
    <row r="122" spans="1:11" ht="15.75" customHeight="1" x14ac:dyDescent="0.15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spans="1:11" ht="15.75" customHeight="1" x14ac:dyDescent="0.15">
      <c r="A123" s="44" t="s">
        <v>546</v>
      </c>
      <c r="B123" s="74">
        <f t="shared" ref="B123:K123" si="51">B34</f>
        <v>4824580</v>
      </c>
      <c r="C123" s="74">
        <f t="shared" si="51"/>
        <v>5145305</v>
      </c>
      <c r="D123" s="74">
        <f t="shared" si="51"/>
        <v>4087317.5</v>
      </c>
      <c r="E123" s="74">
        <f t="shared" si="51"/>
        <v>2740524.5</v>
      </c>
      <c r="F123" s="74">
        <f t="shared" si="51"/>
        <v>2783699.5</v>
      </c>
      <c r="G123" s="74">
        <f t="shared" si="51"/>
        <v>2716481</v>
      </c>
      <c r="H123" s="74">
        <f t="shared" si="51"/>
        <v>2246438</v>
      </c>
      <c r="I123" s="74">
        <f t="shared" si="51"/>
        <v>1035317.5</v>
      </c>
      <c r="J123" s="74">
        <f t="shared" si="51"/>
        <v>0</v>
      </c>
      <c r="K123" s="74">
        <f t="shared" si="51"/>
        <v>0</v>
      </c>
    </row>
    <row r="124" spans="1:11" ht="15.75" customHeight="1" x14ac:dyDescent="0.15">
      <c r="A124" s="44" t="s">
        <v>547</v>
      </c>
      <c r="B124" s="74">
        <f t="shared" ref="B124:K124" si="52">-B12</f>
        <v>48523.010958904109</v>
      </c>
      <c r="C124" s="74">
        <f t="shared" si="52"/>
        <v>44197.124657534245</v>
      </c>
      <c r="D124" s="74">
        <f t="shared" si="52"/>
        <v>36637.517808219178</v>
      </c>
      <c r="E124" s="74">
        <f t="shared" si="52"/>
        <v>32517.417808219179</v>
      </c>
      <c r="F124" s="74">
        <f t="shared" si="52"/>
        <v>30714.494520547945</v>
      </c>
      <c r="G124" s="74">
        <f t="shared" si="52"/>
        <v>27307.786301369862</v>
      </c>
      <c r="H124" s="74">
        <f t="shared" si="52"/>
        <v>23215.594520547944</v>
      </c>
      <c r="I124" s="74">
        <f t="shared" si="52"/>
        <v>10861.805479452054</v>
      </c>
      <c r="J124" s="74">
        <f t="shared" si="52"/>
        <v>0</v>
      </c>
      <c r="K124" s="74">
        <f t="shared" si="52"/>
        <v>0</v>
      </c>
    </row>
    <row r="125" spans="1:11" ht="15.75" customHeight="1" x14ac:dyDescent="0.15">
      <c r="A125" s="44" t="s">
        <v>548</v>
      </c>
      <c r="B125" s="74">
        <f t="shared" ref="B125:K125" si="53">-B13</f>
        <v>4184.2808219178078</v>
      </c>
      <c r="C125" s="74">
        <f t="shared" si="53"/>
        <v>4326.7356164383564</v>
      </c>
      <c r="D125" s="74">
        <f t="shared" si="53"/>
        <v>4221.4712328767127</v>
      </c>
      <c r="E125" s="74">
        <f t="shared" si="53"/>
        <v>3795.4287671232878</v>
      </c>
      <c r="F125" s="74">
        <f t="shared" si="53"/>
        <v>3517.1986301369861</v>
      </c>
      <c r="G125" s="74">
        <f t="shared" si="53"/>
        <v>3249.523287671233</v>
      </c>
      <c r="H125" s="74">
        <f t="shared" si="53"/>
        <v>2684.3945205479454</v>
      </c>
      <c r="I125" s="74">
        <f t="shared" si="53"/>
        <v>1182.9753424657533</v>
      </c>
      <c r="J125" s="74">
        <f t="shared" si="53"/>
        <v>0</v>
      </c>
      <c r="K125" s="74">
        <f t="shared" si="53"/>
        <v>0</v>
      </c>
    </row>
    <row r="126" spans="1:11" s="57" customFormat="1" ht="15.75" customHeight="1" x14ac:dyDescent="0.15">
      <c r="A126" s="57" t="s">
        <v>549</v>
      </c>
      <c r="B126" s="78">
        <f t="shared" ref="B126:K126" si="54">B123/(B124+B125)</f>
        <v>91.535342397453093</v>
      </c>
      <c r="C126" s="78">
        <f t="shared" si="54"/>
        <v>106.03659665469478</v>
      </c>
      <c r="D126" s="78">
        <f t="shared" si="54"/>
        <v>100.03471930959878</v>
      </c>
      <c r="E126" s="78">
        <f t="shared" si="54"/>
        <v>75.469833914394911</v>
      </c>
      <c r="F126" s="78">
        <f t="shared" si="54"/>
        <v>81.31936354262109</v>
      </c>
      <c r="G126" s="78">
        <f t="shared" si="54"/>
        <v>88.897911384653568</v>
      </c>
      <c r="H126" s="78">
        <f t="shared" si="54"/>
        <v>86.735094614733001</v>
      </c>
      <c r="I126" s="78">
        <f t="shared" si="54"/>
        <v>85.955694446182008</v>
      </c>
      <c r="J126" s="78" t="e">
        <f t="shared" si="54"/>
        <v>#DIV/0!</v>
      </c>
      <c r="K126" s="78" t="e">
        <f t="shared" si="54"/>
        <v>#DIV/0!</v>
      </c>
    </row>
    <row r="127" spans="1:11" ht="15.75" customHeight="1" x14ac:dyDescent="0.15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spans="1:11" ht="15.75" customHeight="1" x14ac:dyDescent="0.15">
      <c r="A128" s="44" t="s">
        <v>460</v>
      </c>
      <c r="B128" s="74">
        <f t="shared" ref="B128:K128" si="55">B7</f>
        <v>21650995</v>
      </c>
      <c r="C128" s="74">
        <f t="shared" si="55"/>
        <v>21142391</v>
      </c>
      <c r="D128" s="74">
        <f t="shared" si="55"/>
        <v>17821289</v>
      </c>
      <c r="E128" s="74">
        <f t="shared" si="55"/>
        <v>15638358</v>
      </c>
      <c r="F128" s="74">
        <f t="shared" si="55"/>
        <v>14336879</v>
      </c>
      <c r="G128" s="74">
        <f t="shared" si="55"/>
        <v>13550152</v>
      </c>
      <c r="H128" s="74">
        <f t="shared" si="55"/>
        <v>11519434</v>
      </c>
      <c r="I128" s="74">
        <f t="shared" si="55"/>
        <v>9917341</v>
      </c>
      <c r="J128" s="74">
        <f t="shared" si="55"/>
        <v>0</v>
      </c>
      <c r="K128" s="74">
        <f t="shared" si="55"/>
        <v>0</v>
      </c>
    </row>
    <row r="129" spans="1:11" ht="15.75" customHeight="1" x14ac:dyDescent="0.15">
      <c r="A129" s="44" t="s">
        <v>550</v>
      </c>
      <c r="B129" s="74">
        <f t="shared" ref="B129:K129" si="56">B123</f>
        <v>4824580</v>
      </c>
      <c r="C129" s="74">
        <f t="shared" si="56"/>
        <v>5145305</v>
      </c>
      <c r="D129" s="74">
        <f t="shared" si="56"/>
        <v>4087317.5</v>
      </c>
      <c r="E129" s="74">
        <f t="shared" si="56"/>
        <v>2740524.5</v>
      </c>
      <c r="F129" s="74">
        <f t="shared" si="56"/>
        <v>2783699.5</v>
      </c>
      <c r="G129" s="74">
        <f t="shared" si="56"/>
        <v>2716481</v>
      </c>
      <c r="H129" s="74">
        <f t="shared" si="56"/>
        <v>2246438</v>
      </c>
      <c r="I129" s="74">
        <f t="shared" si="56"/>
        <v>1035317.5</v>
      </c>
      <c r="J129" s="74">
        <f t="shared" si="56"/>
        <v>0</v>
      </c>
      <c r="K129" s="74">
        <f t="shared" si="56"/>
        <v>0</v>
      </c>
    </row>
    <row r="130" spans="1:11" s="57" customFormat="1" ht="15.75" customHeight="1" x14ac:dyDescent="0.15">
      <c r="A130" s="57" t="s">
        <v>551</v>
      </c>
      <c r="B130" s="78">
        <f t="shared" ref="B130:K130" si="57">B128/B129</f>
        <v>4.4876434839923887</v>
      </c>
      <c r="C130" s="78">
        <f t="shared" si="57"/>
        <v>4.1090646715792358</v>
      </c>
      <c r="D130" s="78">
        <f t="shared" si="57"/>
        <v>4.3601430522586027</v>
      </c>
      <c r="E130" s="78">
        <f t="shared" si="57"/>
        <v>5.7063376007038071</v>
      </c>
      <c r="F130" s="78">
        <f t="shared" si="57"/>
        <v>5.1502969339901812</v>
      </c>
      <c r="G130" s="78">
        <f t="shared" si="57"/>
        <v>4.9881269186127195</v>
      </c>
      <c r="H130" s="78">
        <f t="shared" si="57"/>
        <v>5.1278664267609431</v>
      </c>
      <c r="I130" s="78">
        <f t="shared" si="57"/>
        <v>9.5790334848971455</v>
      </c>
      <c r="J130" s="78" t="e">
        <f t="shared" si="57"/>
        <v>#DIV/0!</v>
      </c>
      <c r="K130" s="78" t="e">
        <f t="shared" si="57"/>
        <v>#DIV/0!</v>
      </c>
    </row>
    <row r="131" spans="1:11" ht="15.75" customHeight="1" x14ac:dyDescent="0.15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spans="1:11" ht="15.75" customHeight="1" x14ac:dyDescent="0.15">
      <c r="A132" s="44" t="s">
        <v>460</v>
      </c>
      <c r="B132" s="74">
        <f t="shared" ref="B132:K132" si="58">B128</f>
        <v>21650995</v>
      </c>
      <c r="C132" s="74">
        <f t="shared" si="58"/>
        <v>21142391</v>
      </c>
      <c r="D132" s="74">
        <f t="shared" si="58"/>
        <v>17821289</v>
      </c>
      <c r="E132" s="74">
        <f t="shared" si="58"/>
        <v>15638358</v>
      </c>
      <c r="F132" s="74">
        <f t="shared" si="58"/>
        <v>14336879</v>
      </c>
      <c r="G132" s="74">
        <f t="shared" si="58"/>
        <v>13550152</v>
      </c>
      <c r="H132" s="74">
        <f t="shared" si="58"/>
        <v>11519434</v>
      </c>
      <c r="I132" s="74">
        <f t="shared" si="58"/>
        <v>9917341</v>
      </c>
      <c r="J132" s="74">
        <f t="shared" si="58"/>
        <v>0</v>
      </c>
      <c r="K132" s="74">
        <f t="shared" si="58"/>
        <v>0</v>
      </c>
    </row>
    <row r="133" spans="1:11" ht="15.75" customHeight="1" x14ac:dyDescent="0.15">
      <c r="A133" s="44" t="s">
        <v>552</v>
      </c>
      <c r="B133" s="74">
        <f>AVERAGE('RC'!B102:C102)</f>
        <v>14640303.5</v>
      </c>
      <c r="C133" s="74">
        <f>AVERAGE('RC'!C102:D102)</f>
        <v>14571180.5</v>
      </c>
      <c r="D133" s="74">
        <f>AVERAGE('RC'!D102:E102)</f>
        <v>13376275</v>
      </c>
      <c r="E133" s="74">
        <f>AVERAGE('RC'!E102:F102)</f>
        <v>11476466</v>
      </c>
      <c r="F133" s="74">
        <f>AVERAGE('RC'!F102:G102)</f>
        <v>7997149.5</v>
      </c>
      <c r="G133" s="74">
        <f>AVERAGE('RC'!G102:H102)</f>
        <v>4955131.5</v>
      </c>
      <c r="H133" s="74">
        <f>AVERAGE('RC'!H102:I102)</f>
        <v>3906341.5</v>
      </c>
      <c r="I133" s="74">
        <f>AVERAGE('RC'!I102:J102)</f>
        <v>1794954</v>
      </c>
      <c r="J133" s="74">
        <f>AVERAGE('RC'!J102:K102)</f>
        <v>0</v>
      </c>
      <c r="K133" s="74">
        <f>AVERAGE('RC'!K102:L102)</f>
        <v>0</v>
      </c>
    </row>
    <row r="134" spans="1:11" s="57" customFormat="1" ht="15.75" customHeight="1" x14ac:dyDescent="0.15">
      <c r="A134" s="57" t="s">
        <v>553</v>
      </c>
      <c r="B134" s="78">
        <f t="shared" ref="B134:K134" si="59">B132/B133</f>
        <v>1.4788624429814587</v>
      </c>
      <c r="C134" s="78">
        <f t="shared" si="59"/>
        <v>1.4509731040666196</v>
      </c>
      <c r="D134" s="78">
        <f t="shared" si="59"/>
        <v>1.3323058175762685</v>
      </c>
      <c r="E134" s="78">
        <f t="shared" si="59"/>
        <v>1.3626457831182526</v>
      </c>
      <c r="F134" s="78">
        <f t="shared" si="59"/>
        <v>1.7927486537546911</v>
      </c>
      <c r="G134" s="78">
        <f t="shared" si="59"/>
        <v>2.7345696072848926</v>
      </c>
      <c r="H134" s="78">
        <f t="shared" si="59"/>
        <v>2.9489060288251809</v>
      </c>
      <c r="I134" s="78">
        <f t="shared" si="59"/>
        <v>5.5251226493826584</v>
      </c>
      <c r="J134" s="78" t="e">
        <f t="shared" si="59"/>
        <v>#DIV/0!</v>
      </c>
      <c r="K134" s="78" t="e">
        <f t="shared" si="59"/>
        <v>#DIV/0!</v>
      </c>
    </row>
    <row r="135" spans="1:11" ht="15.75" customHeight="1" x14ac:dyDescent="0.15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spans="1:11" ht="15.75" customHeight="1" x14ac:dyDescent="0.15">
      <c r="A136" s="44" t="s">
        <v>460</v>
      </c>
      <c r="B136" s="74">
        <f t="shared" ref="B136:K136" si="60">B132</f>
        <v>21650995</v>
      </c>
      <c r="C136" s="74">
        <f t="shared" si="60"/>
        <v>21142391</v>
      </c>
      <c r="D136" s="74">
        <f t="shared" si="60"/>
        <v>17821289</v>
      </c>
      <c r="E136" s="74">
        <f t="shared" si="60"/>
        <v>15638358</v>
      </c>
      <c r="F136" s="74">
        <f t="shared" si="60"/>
        <v>14336879</v>
      </c>
      <c r="G136" s="74">
        <f t="shared" si="60"/>
        <v>13550152</v>
      </c>
      <c r="H136" s="74">
        <f t="shared" si="60"/>
        <v>11519434</v>
      </c>
      <c r="I136" s="74">
        <f t="shared" si="60"/>
        <v>9917341</v>
      </c>
      <c r="J136" s="74">
        <f t="shared" si="60"/>
        <v>0</v>
      </c>
      <c r="K136" s="74">
        <f t="shared" si="60"/>
        <v>0</v>
      </c>
    </row>
    <row r="137" spans="1:11" ht="15.75" customHeight="1" x14ac:dyDescent="0.15">
      <c r="A137" s="44" t="s">
        <v>554</v>
      </c>
      <c r="B137" s="74">
        <f t="shared" ref="B137:K137" si="61">B14</f>
        <v>14459613.5</v>
      </c>
      <c r="C137" s="74">
        <f t="shared" si="61"/>
        <v>14819580</v>
      </c>
      <c r="D137" s="74">
        <f t="shared" si="61"/>
        <v>13651821.5</v>
      </c>
      <c r="E137" s="74">
        <f t="shared" si="61"/>
        <v>11530386.5</v>
      </c>
      <c r="F137" s="74">
        <f t="shared" si="61"/>
        <v>8096229.5</v>
      </c>
      <c r="G137" s="74">
        <f t="shared" si="61"/>
        <v>4888290.5</v>
      </c>
      <c r="H137" s="74">
        <f t="shared" si="61"/>
        <v>3636602.5</v>
      </c>
      <c r="I137" s="74">
        <f t="shared" si="61"/>
        <v>1624966</v>
      </c>
      <c r="J137" s="74">
        <f t="shared" si="61"/>
        <v>0</v>
      </c>
      <c r="K137" s="74">
        <f t="shared" si="61"/>
        <v>0</v>
      </c>
    </row>
    <row r="138" spans="1:11" s="57" customFormat="1" ht="15.75" customHeight="1" x14ac:dyDescent="0.15">
      <c r="A138" s="57" t="s">
        <v>555</v>
      </c>
      <c r="B138" s="78">
        <f t="shared" ref="B138:K138" si="62">B136/B137</f>
        <v>1.497342581113942</v>
      </c>
      <c r="C138" s="78">
        <f t="shared" si="62"/>
        <v>1.4266525097202485</v>
      </c>
      <c r="D138" s="78">
        <f t="shared" si="62"/>
        <v>1.3054147389782382</v>
      </c>
      <c r="E138" s="78">
        <f t="shared" si="62"/>
        <v>1.3562735299462858</v>
      </c>
      <c r="F138" s="78">
        <f t="shared" si="62"/>
        <v>1.7708093625557428</v>
      </c>
      <c r="G138" s="78">
        <f t="shared" si="62"/>
        <v>2.7719612817609756</v>
      </c>
      <c r="H138" s="78">
        <f t="shared" si="62"/>
        <v>3.1676362758921273</v>
      </c>
      <c r="I138" s="78">
        <f t="shared" si="62"/>
        <v>6.1031067726955515</v>
      </c>
      <c r="J138" s="78" t="e">
        <f t="shared" si="62"/>
        <v>#DIV/0!</v>
      </c>
      <c r="K138" s="78" t="e">
        <f t="shared" si="62"/>
        <v>#DIV/0!</v>
      </c>
    </row>
    <row r="139" spans="1:11" ht="15.75" customHeight="1" x14ac:dyDescent="0.15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spans="1:11" ht="15.75" customHeight="1" x14ac:dyDescent="0.15">
      <c r="A140" s="44" t="s">
        <v>511</v>
      </c>
      <c r="B140" s="74">
        <f t="shared" ref="B140:K140" si="63">B64</f>
        <v>0.10988184435220208</v>
      </c>
      <c r="C140" s="74">
        <f t="shared" si="63"/>
        <v>7.5395321594809037E-2</v>
      </c>
      <c r="D140" s="74">
        <f t="shared" si="63"/>
        <v>7.0611456500511677E-2</v>
      </c>
      <c r="E140" s="74">
        <f t="shared" si="63"/>
        <v>0.12239459622624098</v>
      </c>
      <c r="F140" s="74">
        <f t="shared" si="63"/>
        <v>0.16695747075845616</v>
      </c>
      <c r="G140" s="74">
        <f t="shared" si="63"/>
        <v>0.21881412326047317</v>
      </c>
      <c r="H140" s="74">
        <f t="shared" si="63"/>
        <v>0.28954223069472124</v>
      </c>
      <c r="I140" s="74">
        <f t="shared" si="63"/>
        <v>0.39129864871018838</v>
      </c>
      <c r="J140" s="74" t="e">
        <f t="shared" si="63"/>
        <v>#DIV/0!</v>
      </c>
      <c r="K140" s="74" t="e">
        <f t="shared" si="63"/>
        <v>#DIV/0!</v>
      </c>
    </row>
    <row r="141" spans="1:11" ht="15.75" customHeight="1" x14ac:dyDescent="0.15">
      <c r="A141" s="44" t="s">
        <v>556</v>
      </c>
      <c r="B141" s="74">
        <f t="shared" ref="B141:K141" si="64">B60</f>
        <v>7.3384571933068202E-2</v>
      </c>
      <c r="C141" s="74">
        <f t="shared" si="64"/>
        <v>5.2847712446525086E-2</v>
      </c>
      <c r="D141" s="74">
        <f t="shared" si="64"/>
        <v>5.4091205187234211E-2</v>
      </c>
      <c r="E141" s="74">
        <f t="shared" si="64"/>
        <v>9.0243297921687171E-2</v>
      </c>
      <c r="F141" s="74">
        <f t="shared" si="64"/>
        <v>9.428314209808146E-2</v>
      </c>
      <c r="G141" s="74">
        <f t="shared" si="64"/>
        <v>7.8938376484632797E-2</v>
      </c>
      <c r="H141" s="74">
        <f t="shared" si="64"/>
        <v>9.1406400696423112E-2</v>
      </c>
      <c r="I141" s="74">
        <f t="shared" si="64"/>
        <v>6.4114665412835961E-2</v>
      </c>
      <c r="J141" s="74" t="e">
        <f t="shared" si="64"/>
        <v>#DIV/0!</v>
      </c>
      <c r="K141" s="74" t="e">
        <f t="shared" si="64"/>
        <v>#DIV/0!</v>
      </c>
    </row>
    <row r="142" spans="1:11" s="57" customFormat="1" ht="15.75" customHeight="1" x14ac:dyDescent="0.15">
      <c r="A142" s="57" t="s">
        <v>557</v>
      </c>
      <c r="B142" s="78">
        <f t="shared" ref="B142:K142" si="65">B140/B141</f>
        <v>1.497342581113942</v>
      </c>
      <c r="C142" s="78">
        <f t="shared" si="65"/>
        <v>1.4266525097202487</v>
      </c>
      <c r="D142" s="78">
        <f t="shared" si="65"/>
        <v>1.3054147389782382</v>
      </c>
      <c r="E142" s="78">
        <f t="shared" si="65"/>
        <v>1.3562735299462858</v>
      </c>
      <c r="F142" s="78">
        <f t="shared" si="65"/>
        <v>1.7708093625557428</v>
      </c>
      <c r="G142" s="78">
        <f t="shared" si="65"/>
        <v>2.7719612817609756</v>
      </c>
      <c r="H142" s="78">
        <f t="shared" si="65"/>
        <v>3.1676362758921273</v>
      </c>
      <c r="I142" s="78">
        <f t="shared" si="65"/>
        <v>6.1031067726955515</v>
      </c>
      <c r="J142" s="78" t="e">
        <f t="shared" si="65"/>
        <v>#DIV/0!</v>
      </c>
      <c r="K142" s="78" t="e">
        <f t="shared" si="65"/>
        <v>#DIV/0!</v>
      </c>
    </row>
    <row r="145" spans="1:11" ht="15.75" customHeight="1" x14ac:dyDescent="0.15">
      <c r="A145" s="73" t="s">
        <v>454</v>
      </c>
    </row>
    <row r="146" spans="1:11" ht="15.75" customHeight="1" x14ac:dyDescent="0.15">
      <c r="A146" s="73" t="s">
        <v>558</v>
      </c>
    </row>
    <row r="147" spans="1:11" ht="15.75" customHeight="1" x14ac:dyDescent="0.15">
      <c r="A147" s="44" t="s">
        <v>559</v>
      </c>
      <c r="B147" s="74">
        <f t="shared" ref="B147:K147" si="66">B37</f>
        <v>9705479</v>
      </c>
      <c r="C147" s="74">
        <f t="shared" si="66"/>
        <v>10479983</v>
      </c>
      <c r="D147" s="74">
        <f t="shared" si="66"/>
        <v>9950581</v>
      </c>
      <c r="E147" s="74">
        <f t="shared" si="66"/>
        <v>6369238</v>
      </c>
      <c r="F147" s="74">
        <f t="shared" si="66"/>
        <v>5733199</v>
      </c>
      <c r="G147" s="74">
        <f t="shared" si="66"/>
        <v>6091180</v>
      </c>
      <c r="H147" s="74">
        <f t="shared" si="66"/>
        <v>4916830</v>
      </c>
      <c r="I147" s="74">
        <f t="shared" si="66"/>
        <v>4530450</v>
      </c>
      <c r="J147" s="74">
        <f t="shared" si="66"/>
        <v>0</v>
      </c>
      <c r="K147" s="74">
        <f t="shared" si="66"/>
        <v>0</v>
      </c>
    </row>
    <row r="148" spans="1:11" ht="15.75" customHeight="1" x14ac:dyDescent="0.15">
      <c r="A148" s="44" t="s">
        <v>560</v>
      </c>
      <c r="B148" s="74">
        <f t="shared" ref="B148:K148" si="67">B39</f>
        <v>7731693</v>
      </c>
      <c r="C148" s="74">
        <f t="shared" si="67"/>
        <v>8455666</v>
      </c>
      <c r="D148" s="74">
        <f t="shared" si="67"/>
        <v>9155562</v>
      </c>
      <c r="E148" s="74">
        <f t="shared" si="67"/>
        <v>6552733</v>
      </c>
      <c r="F148" s="74">
        <f t="shared" si="67"/>
        <v>5110565</v>
      </c>
      <c r="G148" s="74">
        <f t="shared" si="67"/>
        <v>6131837</v>
      </c>
      <c r="H148" s="74">
        <f t="shared" si="67"/>
        <v>3685275</v>
      </c>
      <c r="I148" s="74">
        <f t="shared" si="67"/>
        <v>3922106</v>
      </c>
      <c r="J148" s="74">
        <f t="shared" si="67"/>
        <v>0</v>
      </c>
      <c r="K148" s="74">
        <f t="shared" si="67"/>
        <v>0</v>
      </c>
    </row>
    <row r="149" spans="1:11" s="57" customFormat="1" ht="15.75" customHeight="1" x14ac:dyDescent="0.15">
      <c r="A149" s="57" t="s">
        <v>561</v>
      </c>
      <c r="B149" s="78">
        <f t="shared" ref="B149:K149" si="68">B147/B148</f>
        <v>1.2552850973260319</v>
      </c>
      <c r="C149" s="78">
        <f t="shared" si="68"/>
        <v>1.2394036140973401</v>
      </c>
      <c r="D149" s="78">
        <f t="shared" si="68"/>
        <v>1.0868345383931648</v>
      </c>
      <c r="E149" s="78">
        <f t="shared" si="68"/>
        <v>0.97199718041311922</v>
      </c>
      <c r="F149" s="78">
        <f t="shared" si="68"/>
        <v>1.121832713212727</v>
      </c>
      <c r="G149" s="78">
        <f t="shared" si="68"/>
        <v>0.99336952368433795</v>
      </c>
      <c r="H149" s="78">
        <f t="shared" si="68"/>
        <v>1.3341826593673471</v>
      </c>
      <c r="I149" s="78">
        <f t="shared" si="68"/>
        <v>1.1551064657609968</v>
      </c>
      <c r="J149" s="78" t="e">
        <f t="shared" si="68"/>
        <v>#DIV/0!</v>
      </c>
      <c r="K149" s="78" t="e">
        <f t="shared" si="68"/>
        <v>#DIV/0!</v>
      </c>
    </row>
    <row r="150" spans="1:11" ht="15.75" customHeight="1" x14ac:dyDescent="0.15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spans="1:11" ht="15.75" customHeight="1" x14ac:dyDescent="0.15">
      <c r="A151" s="44" t="s">
        <v>562</v>
      </c>
      <c r="B151" s="74">
        <f t="shared" ref="B151:K151" si="69">B37-B35</f>
        <v>5096665</v>
      </c>
      <c r="C151" s="74">
        <f t="shared" si="69"/>
        <v>5439637</v>
      </c>
      <c r="D151" s="74">
        <f t="shared" si="69"/>
        <v>4700317</v>
      </c>
      <c r="E151" s="74">
        <f t="shared" si="69"/>
        <v>3444867</v>
      </c>
      <c r="F151" s="74">
        <f t="shared" si="69"/>
        <v>3176521</v>
      </c>
      <c r="G151" s="74">
        <f t="shared" si="69"/>
        <v>3080459</v>
      </c>
      <c r="H151" s="74">
        <f t="shared" si="69"/>
        <v>2494589</v>
      </c>
      <c r="I151" s="74">
        <f t="shared" si="69"/>
        <v>2459815</v>
      </c>
      <c r="J151" s="74">
        <f t="shared" si="69"/>
        <v>0</v>
      </c>
      <c r="K151" s="74">
        <f t="shared" si="69"/>
        <v>0</v>
      </c>
    </row>
    <row r="152" spans="1:11" ht="15.75" customHeight="1" x14ac:dyDescent="0.15">
      <c r="A152" s="44" t="s">
        <v>563</v>
      </c>
      <c r="B152" s="74">
        <f t="shared" ref="B152:K152" si="70">B148</f>
        <v>7731693</v>
      </c>
      <c r="C152" s="74">
        <f t="shared" si="70"/>
        <v>8455666</v>
      </c>
      <c r="D152" s="74">
        <f t="shared" si="70"/>
        <v>9155562</v>
      </c>
      <c r="E152" s="74">
        <f t="shared" si="70"/>
        <v>6552733</v>
      </c>
      <c r="F152" s="74">
        <f t="shared" si="70"/>
        <v>5110565</v>
      </c>
      <c r="G152" s="74">
        <f t="shared" si="70"/>
        <v>6131837</v>
      </c>
      <c r="H152" s="74">
        <f t="shared" si="70"/>
        <v>3685275</v>
      </c>
      <c r="I152" s="74">
        <f t="shared" si="70"/>
        <v>3922106</v>
      </c>
      <c r="J152" s="74">
        <f t="shared" si="70"/>
        <v>0</v>
      </c>
      <c r="K152" s="74">
        <f t="shared" si="70"/>
        <v>0</v>
      </c>
    </row>
    <row r="153" spans="1:11" s="57" customFormat="1" ht="15.75" customHeight="1" x14ac:dyDescent="0.15">
      <c r="A153" s="57" t="s">
        <v>564</v>
      </c>
      <c r="B153" s="78">
        <f t="shared" ref="B153:K153" si="71">B151/B152</f>
        <v>0.6591913310577644</v>
      </c>
      <c r="C153" s="78">
        <f t="shared" si="71"/>
        <v>0.64331266159283018</v>
      </c>
      <c r="D153" s="78">
        <f t="shared" si="71"/>
        <v>0.51338377698714721</v>
      </c>
      <c r="E153" s="78">
        <f t="shared" si="71"/>
        <v>0.52571453773562882</v>
      </c>
      <c r="F153" s="78">
        <f t="shared" si="71"/>
        <v>0.6215596514279732</v>
      </c>
      <c r="G153" s="78">
        <f t="shared" si="71"/>
        <v>0.50237131221850806</v>
      </c>
      <c r="H153" s="78">
        <f t="shared" si="71"/>
        <v>0.676907150755371</v>
      </c>
      <c r="I153" s="78">
        <f t="shared" si="71"/>
        <v>0.62716688432184142</v>
      </c>
      <c r="J153" s="78" t="e">
        <f t="shared" si="71"/>
        <v>#DIV/0!</v>
      </c>
      <c r="K153" s="78" t="e">
        <f t="shared" si="71"/>
        <v>#DIV/0!</v>
      </c>
    </row>
    <row r="154" spans="1:11" ht="15.75" customHeight="1" x14ac:dyDescent="0.15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spans="1:11" ht="15.75" customHeight="1" x14ac:dyDescent="0.15">
      <c r="A155" s="44" t="s">
        <v>565</v>
      </c>
      <c r="B155" s="74">
        <f t="shared" ref="B155:K155" si="72">B48</f>
        <v>5757287</v>
      </c>
      <c r="C155" s="74">
        <f t="shared" si="72"/>
        <v>5227552</v>
      </c>
      <c r="D155" s="74">
        <f t="shared" si="72"/>
        <v>4660887</v>
      </c>
      <c r="E155" s="74">
        <f t="shared" si="72"/>
        <v>4082303</v>
      </c>
      <c r="F155" s="74">
        <f t="shared" si="72"/>
        <v>3206001</v>
      </c>
      <c r="G155" s="74">
        <f t="shared" si="72"/>
        <v>2384718</v>
      </c>
      <c r="H155" s="74">
        <f t="shared" si="72"/>
        <v>1733081</v>
      </c>
      <c r="I155" s="74">
        <f t="shared" si="72"/>
        <v>1062658</v>
      </c>
      <c r="J155" s="74">
        <f t="shared" si="72"/>
        <v>0</v>
      </c>
      <c r="K155" s="74">
        <f t="shared" si="72"/>
        <v>0</v>
      </c>
    </row>
    <row r="156" spans="1:11" ht="15.75" customHeight="1" x14ac:dyDescent="0.15">
      <c r="A156" s="44" t="s">
        <v>566</v>
      </c>
      <c r="B156" s="74">
        <f t="shared" ref="B156:K156" si="73">B45+B20</f>
        <v>8842950</v>
      </c>
      <c r="C156" s="74">
        <f t="shared" si="73"/>
        <v>9182852</v>
      </c>
      <c r="D156" s="74">
        <f t="shared" si="73"/>
        <v>9614947</v>
      </c>
      <c r="E156" s="74">
        <f t="shared" si="73"/>
        <v>9565702</v>
      </c>
      <c r="F156" s="74">
        <f t="shared" si="73"/>
        <v>7064989</v>
      </c>
      <c r="G156" s="74">
        <f t="shared" si="73"/>
        <v>2608097</v>
      </c>
      <c r="H156" s="74">
        <f t="shared" si="73"/>
        <v>1192931</v>
      </c>
      <c r="I156" s="74">
        <f t="shared" si="73"/>
        <v>900307</v>
      </c>
      <c r="J156" s="74">
        <f t="shared" si="73"/>
        <v>0</v>
      </c>
      <c r="K156" s="74">
        <f t="shared" si="73"/>
        <v>0</v>
      </c>
    </row>
    <row r="157" spans="1:11" s="57" customFormat="1" ht="15.75" customHeight="1" x14ac:dyDescent="0.15">
      <c r="A157" s="57" t="s">
        <v>567</v>
      </c>
      <c r="B157" s="78">
        <f t="shared" ref="B157:K157" si="74">B155-B156</f>
        <v>-3085663</v>
      </c>
      <c r="C157" s="78">
        <f t="shared" si="74"/>
        <v>-3955300</v>
      </c>
      <c r="D157" s="78">
        <f t="shared" si="74"/>
        <v>-4954060</v>
      </c>
      <c r="E157" s="78">
        <f t="shared" si="74"/>
        <v>-5483399</v>
      </c>
      <c r="F157" s="78">
        <f t="shared" si="74"/>
        <v>-3858988</v>
      </c>
      <c r="G157" s="78">
        <f t="shared" si="74"/>
        <v>-223379</v>
      </c>
      <c r="H157" s="78">
        <f t="shared" si="74"/>
        <v>540150</v>
      </c>
      <c r="I157" s="78">
        <f t="shared" si="74"/>
        <v>162351</v>
      </c>
      <c r="J157" s="78">
        <f t="shared" si="74"/>
        <v>0</v>
      </c>
      <c r="K157" s="78">
        <f t="shared" si="74"/>
        <v>0</v>
      </c>
    </row>
    <row r="158" spans="1:11" ht="15.75" customHeight="1" x14ac:dyDescent="0.15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spans="1:11" ht="15.75" customHeight="1" x14ac:dyDescent="0.15">
      <c r="A159" s="44" t="s">
        <v>565</v>
      </c>
      <c r="B159" s="74">
        <f t="shared" ref="B159:K159" si="75">B155</f>
        <v>5757287</v>
      </c>
      <c r="C159" s="74">
        <f t="shared" si="75"/>
        <v>5227552</v>
      </c>
      <c r="D159" s="74">
        <f t="shared" si="75"/>
        <v>4660887</v>
      </c>
      <c r="E159" s="74">
        <f t="shared" si="75"/>
        <v>4082303</v>
      </c>
      <c r="F159" s="74">
        <f t="shared" si="75"/>
        <v>3206001</v>
      </c>
      <c r="G159" s="74">
        <f t="shared" si="75"/>
        <v>2384718</v>
      </c>
      <c r="H159" s="74">
        <f t="shared" si="75"/>
        <v>1733081</v>
      </c>
      <c r="I159" s="74">
        <f t="shared" si="75"/>
        <v>1062658</v>
      </c>
      <c r="J159" s="74">
        <f t="shared" si="75"/>
        <v>0</v>
      </c>
      <c r="K159" s="74">
        <f t="shared" si="75"/>
        <v>0</v>
      </c>
    </row>
    <row r="160" spans="1:11" ht="15.75" customHeight="1" x14ac:dyDescent="0.15">
      <c r="A160" s="44" t="s">
        <v>568</v>
      </c>
      <c r="B160" s="74">
        <f t="shared" ref="B160:K160" si="76">B41+B22+B43</f>
        <v>5110204</v>
      </c>
      <c r="C160" s="74">
        <f t="shared" si="76"/>
        <v>6691873</v>
      </c>
      <c r="D160" s="74">
        <f t="shared" si="76"/>
        <v>6717513</v>
      </c>
      <c r="E160" s="74">
        <f t="shared" si="76"/>
        <v>7372195</v>
      </c>
      <c r="F160" s="74">
        <f t="shared" si="76"/>
        <v>6304053</v>
      </c>
      <c r="G160" s="74">
        <f t="shared" si="76"/>
        <v>588287</v>
      </c>
      <c r="H160" s="74">
        <f t="shared" si="76"/>
        <v>808395</v>
      </c>
      <c r="I160" s="74">
        <f t="shared" si="76"/>
        <v>952264</v>
      </c>
      <c r="J160" s="74">
        <f t="shared" si="76"/>
        <v>0</v>
      </c>
      <c r="K160" s="74">
        <f t="shared" si="76"/>
        <v>0</v>
      </c>
    </row>
    <row r="161" spans="1:11" ht="15.75" customHeight="1" x14ac:dyDescent="0.15">
      <c r="A161" s="44" t="s">
        <v>566</v>
      </c>
      <c r="B161" s="74">
        <f t="shared" ref="B161:K161" si="77">B156</f>
        <v>8842950</v>
      </c>
      <c r="C161" s="74">
        <f t="shared" si="77"/>
        <v>9182852</v>
      </c>
      <c r="D161" s="74">
        <f t="shared" si="77"/>
        <v>9614947</v>
      </c>
      <c r="E161" s="74">
        <f t="shared" si="77"/>
        <v>9565702</v>
      </c>
      <c r="F161" s="74">
        <f t="shared" si="77"/>
        <v>7064989</v>
      </c>
      <c r="G161" s="74">
        <f t="shared" si="77"/>
        <v>2608097</v>
      </c>
      <c r="H161" s="74">
        <f t="shared" si="77"/>
        <v>1192931</v>
      </c>
      <c r="I161" s="74">
        <f t="shared" si="77"/>
        <v>900307</v>
      </c>
      <c r="J161" s="74">
        <f t="shared" si="77"/>
        <v>0</v>
      </c>
      <c r="K161" s="74">
        <f t="shared" si="77"/>
        <v>0</v>
      </c>
    </row>
    <row r="162" spans="1:11" s="57" customFormat="1" ht="15.75" customHeight="1" x14ac:dyDescent="0.15">
      <c r="A162" s="57" t="s">
        <v>569</v>
      </c>
      <c r="B162" s="78">
        <f t="shared" ref="B162:K162" si="78">B159+B160-B161</f>
        <v>2024541</v>
      </c>
      <c r="C162" s="78">
        <f t="shared" si="78"/>
        <v>2736573</v>
      </c>
      <c r="D162" s="78">
        <f t="shared" si="78"/>
        <v>1763453</v>
      </c>
      <c r="E162" s="78">
        <f t="shared" si="78"/>
        <v>1888796</v>
      </c>
      <c r="F162" s="78">
        <f t="shared" si="78"/>
        <v>2445065</v>
      </c>
      <c r="G162" s="78">
        <f t="shared" si="78"/>
        <v>364908</v>
      </c>
      <c r="H162" s="78">
        <f t="shared" si="78"/>
        <v>1348545</v>
      </c>
      <c r="I162" s="78">
        <f t="shared" si="78"/>
        <v>1114615</v>
      </c>
      <c r="J162" s="78">
        <f t="shared" si="78"/>
        <v>0</v>
      </c>
      <c r="K162" s="78">
        <f t="shared" si="78"/>
        <v>0</v>
      </c>
    </row>
    <row r="165" spans="1:11" ht="15.75" customHeight="1" x14ac:dyDescent="0.15">
      <c r="A165" s="73" t="s">
        <v>454</v>
      </c>
    </row>
    <row r="166" spans="1:11" ht="15.75" customHeight="1" x14ac:dyDescent="0.15">
      <c r="A166" s="73" t="s">
        <v>570</v>
      </c>
    </row>
    <row r="167" spans="1:11" ht="15.75" customHeight="1" x14ac:dyDescent="0.15">
      <c r="A167" s="44" t="s">
        <v>571</v>
      </c>
      <c r="B167" s="74">
        <f t="shared" ref="B167:K167" si="79">B16-B15</f>
        <v>-995051</v>
      </c>
      <c r="C167" s="74">
        <f t="shared" si="79"/>
        <v>275118</v>
      </c>
      <c r="D167" s="74">
        <f t="shared" si="79"/>
        <v>2060399</v>
      </c>
      <c r="E167" s="74">
        <f t="shared" si="79"/>
        <v>2182471</v>
      </c>
      <c r="F167" s="74">
        <f t="shared" si="79"/>
        <v>4685843</v>
      </c>
      <c r="G167" s="74">
        <f t="shared" si="79"/>
        <v>1730035</v>
      </c>
      <c r="H167" s="74">
        <f t="shared" si="79"/>
        <v>773341</v>
      </c>
      <c r="I167" s="74">
        <f t="shared" si="79"/>
        <v>3249932</v>
      </c>
      <c r="J167" s="74">
        <f t="shared" si="79"/>
        <v>0</v>
      </c>
      <c r="K167" s="74">
        <f t="shared" si="79"/>
        <v>0</v>
      </c>
    </row>
    <row r="168" spans="1:11" ht="15.75" customHeight="1" x14ac:dyDescent="0.15">
      <c r="A168" s="44" t="s">
        <v>572</v>
      </c>
      <c r="B168" s="74">
        <f t="shared" ref="B168:K168" si="80">B15</f>
        <v>14957139</v>
      </c>
      <c r="C168" s="74">
        <f t="shared" si="80"/>
        <v>14682021</v>
      </c>
      <c r="D168" s="74">
        <f t="shared" si="80"/>
        <v>12621622</v>
      </c>
      <c r="E168" s="74">
        <f t="shared" si="80"/>
        <v>10439151</v>
      </c>
      <c r="F168" s="74">
        <f t="shared" si="80"/>
        <v>5753308</v>
      </c>
      <c r="G168" s="74">
        <f t="shared" si="80"/>
        <v>4023273</v>
      </c>
      <c r="H168" s="74">
        <f t="shared" si="80"/>
        <v>3249932</v>
      </c>
      <c r="I168" s="74">
        <f t="shared" si="80"/>
        <v>0</v>
      </c>
      <c r="J168" s="74">
        <f t="shared" si="80"/>
        <v>0</v>
      </c>
      <c r="K168" s="74">
        <f t="shared" si="80"/>
        <v>0</v>
      </c>
    </row>
    <row r="169" spans="1:11" s="57" customFormat="1" ht="15.75" customHeight="1" x14ac:dyDescent="0.15">
      <c r="A169" s="57" t="s">
        <v>573</v>
      </c>
      <c r="B169" s="78">
        <f t="shared" ref="B169:K169" si="81">B167/B168</f>
        <v>-6.6526827089057605E-2</v>
      </c>
      <c r="C169" s="78">
        <f t="shared" si="81"/>
        <v>1.873842844932588E-2</v>
      </c>
      <c r="D169" s="78">
        <f t="shared" si="81"/>
        <v>0.16324359896057733</v>
      </c>
      <c r="E169" s="78">
        <f t="shared" si="81"/>
        <v>0.2090659479875327</v>
      </c>
      <c r="F169" s="78">
        <f t="shared" si="81"/>
        <v>0.81446065463555928</v>
      </c>
      <c r="G169" s="78">
        <f t="shared" si="81"/>
        <v>0.4300068625718414</v>
      </c>
      <c r="H169" s="78">
        <f t="shared" si="81"/>
        <v>0.23795605569593456</v>
      </c>
      <c r="I169" s="78" t="e">
        <f t="shared" si="81"/>
        <v>#DIV/0!</v>
      </c>
      <c r="J169" s="78" t="e">
        <f t="shared" si="81"/>
        <v>#DIV/0!</v>
      </c>
      <c r="K169" s="78" t="e">
        <f t="shared" si="81"/>
        <v>#DIV/0!</v>
      </c>
    </row>
    <row r="170" spans="1:11" ht="15.75" customHeight="1" x14ac:dyDescent="0.15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spans="1:11" ht="15.75" customHeight="1" x14ac:dyDescent="0.15">
      <c r="A171" s="44" t="s">
        <v>574</v>
      </c>
      <c r="B171" s="74">
        <f t="shared" ref="B171:K171" si="82">B48-B47</f>
        <v>529735</v>
      </c>
      <c r="C171" s="74">
        <f t="shared" si="82"/>
        <v>566665</v>
      </c>
      <c r="D171" s="74">
        <f t="shared" si="82"/>
        <v>578584</v>
      </c>
      <c r="E171" s="74">
        <f t="shared" si="82"/>
        <v>876302</v>
      </c>
      <c r="F171" s="74">
        <f t="shared" si="82"/>
        <v>821283</v>
      </c>
      <c r="G171" s="74">
        <f t="shared" si="82"/>
        <v>651637</v>
      </c>
      <c r="H171" s="74">
        <f t="shared" si="82"/>
        <v>670423</v>
      </c>
      <c r="I171" s="74">
        <f t="shared" si="82"/>
        <v>1062658</v>
      </c>
      <c r="J171" s="74">
        <f t="shared" si="82"/>
        <v>0</v>
      </c>
      <c r="K171" s="74">
        <f t="shared" si="82"/>
        <v>0</v>
      </c>
    </row>
    <row r="172" spans="1:11" ht="15.75" customHeight="1" x14ac:dyDescent="0.15">
      <c r="A172" s="44" t="s">
        <v>575</v>
      </c>
      <c r="B172" s="74">
        <f t="shared" ref="B172:K172" si="83">B47</f>
        <v>5227552</v>
      </c>
      <c r="C172" s="74">
        <f t="shared" si="83"/>
        <v>4660887</v>
      </c>
      <c r="D172" s="74">
        <f t="shared" si="83"/>
        <v>4082303</v>
      </c>
      <c r="E172" s="74">
        <f t="shared" si="83"/>
        <v>3206001</v>
      </c>
      <c r="F172" s="74">
        <f t="shared" si="83"/>
        <v>2384718</v>
      </c>
      <c r="G172" s="74">
        <f t="shared" si="83"/>
        <v>1733081</v>
      </c>
      <c r="H172" s="74">
        <f t="shared" si="83"/>
        <v>1062658</v>
      </c>
      <c r="I172" s="74">
        <f t="shared" si="83"/>
        <v>0</v>
      </c>
      <c r="J172" s="74">
        <f t="shared" si="83"/>
        <v>0</v>
      </c>
      <c r="K172" s="74">
        <f t="shared" si="83"/>
        <v>0</v>
      </c>
    </row>
    <row r="173" spans="1:11" s="57" customFormat="1" ht="15.75" customHeight="1" x14ac:dyDescent="0.15">
      <c r="A173" s="57" t="s">
        <v>576</v>
      </c>
      <c r="B173" s="78">
        <f t="shared" ref="B173:K173" si="84">B171/B172</f>
        <v>0.10133519475272555</v>
      </c>
      <c r="C173" s="78">
        <f t="shared" si="84"/>
        <v>0.12157878961665451</v>
      </c>
      <c r="D173" s="78">
        <f t="shared" si="84"/>
        <v>0.14172980300580335</v>
      </c>
      <c r="E173" s="78">
        <f t="shared" si="84"/>
        <v>0.2733317924729281</v>
      </c>
      <c r="F173" s="78">
        <f t="shared" si="84"/>
        <v>0.34439417994077287</v>
      </c>
      <c r="G173" s="78">
        <f t="shared" si="84"/>
        <v>0.37599915987769755</v>
      </c>
      <c r="H173" s="78">
        <f t="shared" si="84"/>
        <v>0.63089253551001356</v>
      </c>
      <c r="I173" s="78" t="e">
        <f t="shared" si="84"/>
        <v>#DIV/0!</v>
      </c>
      <c r="J173" s="78" t="e">
        <f t="shared" si="84"/>
        <v>#DIV/0!</v>
      </c>
      <c r="K173" s="78" t="e">
        <f t="shared" si="84"/>
        <v>#DIV/0!</v>
      </c>
    </row>
    <row r="174" spans="1:11" ht="15.75" customHeight="1" x14ac:dyDescent="0.15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spans="1:11" ht="15.75" customHeight="1" x14ac:dyDescent="0.15">
      <c r="A175" s="44" t="s">
        <v>577</v>
      </c>
      <c r="B175" s="74">
        <f t="shared" ref="B175:K175" si="85">B167-B171</f>
        <v>-1524786</v>
      </c>
      <c r="C175" s="74">
        <f t="shared" si="85"/>
        <v>-291547</v>
      </c>
      <c r="D175" s="74">
        <f t="shared" si="85"/>
        <v>1481815</v>
      </c>
      <c r="E175" s="74">
        <f t="shared" si="85"/>
        <v>1306169</v>
      </c>
      <c r="F175" s="74">
        <f t="shared" si="85"/>
        <v>3864560</v>
      </c>
      <c r="G175" s="74">
        <f t="shared" si="85"/>
        <v>1078398</v>
      </c>
      <c r="H175" s="74">
        <f t="shared" si="85"/>
        <v>102918</v>
      </c>
      <c r="I175" s="74">
        <f t="shared" si="85"/>
        <v>2187274</v>
      </c>
      <c r="J175" s="74">
        <f t="shared" si="85"/>
        <v>0</v>
      </c>
      <c r="K175" s="74">
        <f t="shared" si="85"/>
        <v>0</v>
      </c>
    </row>
    <row r="176" spans="1:11" ht="15.75" customHeight="1" x14ac:dyDescent="0.15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spans="1:11" ht="15.75" customHeight="1" x14ac:dyDescent="0.15">
      <c r="A177" s="44" t="s">
        <v>578</v>
      </c>
      <c r="B177" s="74">
        <f t="shared" ref="B177:K177" si="86">B175</f>
        <v>-1524786</v>
      </c>
      <c r="C177" s="74">
        <f t="shared" si="86"/>
        <v>-291547</v>
      </c>
      <c r="D177" s="74">
        <f t="shared" si="86"/>
        <v>1481815</v>
      </c>
      <c r="E177" s="74">
        <f t="shared" si="86"/>
        <v>1306169</v>
      </c>
      <c r="F177" s="74">
        <f t="shared" si="86"/>
        <v>3864560</v>
      </c>
      <c r="G177" s="74">
        <f t="shared" si="86"/>
        <v>1078398</v>
      </c>
      <c r="H177" s="74">
        <f t="shared" si="86"/>
        <v>102918</v>
      </c>
      <c r="I177" s="74">
        <f t="shared" si="86"/>
        <v>2187274</v>
      </c>
      <c r="J177" s="74">
        <f t="shared" si="86"/>
        <v>0</v>
      </c>
      <c r="K177" s="74">
        <f t="shared" si="86"/>
        <v>0</v>
      </c>
    </row>
    <row r="178" spans="1:11" ht="15.75" customHeight="1" x14ac:dyDescent="0.15">
      <c r="A178" s="44" t="s">
        <v>579</v>
      </c>
      <c r="B178" s="74">
        <f t="shared" ref="B178:K178" si="87">B171</f>
        <v>529735</v>
      </c>
      <c r="C178" s="74">
        <f t="shared" si="87"/>
        <v>566665</v>
      </c>
      <c r="D178" s="74">
        <f t="shared" si="87"/>
        <v>578584</v>
      </c>
      <c r="E178" s="74">
        <f t="shared" si="87"/>
        <v>876302</v>
      </c>
      <c r="F178" s="74">
        <f t="shared" si="87"/>
        <v>821283</v>
      </c>
      <c r="G178" s="74">
        <f t="shared" si="87"/>
        <v>651637</v>
      </c>
      <c r="H178" s="74">
        <f t="shared" si="87"/>
        <v>670423</v>
      </c>
      <c r="I178" s="74">
        <f t="shared" si="87"/>
        <v>1062658</v>
      </c>
      <c r="J178" s="74">
        <f t="shared" si="87"/>
        <v>0</v>
      </c>
      <c r="K178" s="74">
        <f t="shared" si="87"/>
        <v>0</v>
      </c>
    </row>
    <row r="179" spans="1:11" s="57" customFormat="1" ht="15.75" customHeight="1" x14ac:dyDescent="0.15">
      <c r="A179" s="57" t="s">
        <v>580</v>
      </c>
      <c r="B179" s="78">
        <f t="shared" ref="B179:K179" si="88">B177/B178</f>
        <v>-2.8783939139381012</v>
      </c>
      <c r="C179" s="78">
        <f t="shared" si="88"/>
        <v>-0.51449621910652676</v>
      </c>
      <c r="D179" s="78">
        <f t="shared" si="88"/>
        <v>2.5611060796703677</v>
      </c>
      <c r="E179" s="78">
        <f t="shared" si="88"/>
        <v>1.4905466380311809</v>
      </c>
      <c r="F179" s="78">
        <f t="shared" si="88"/>
        <v>4.7055156383366024</v>
      </c>
      <c r="G179" s="78">
        <f t="shared" si="88"/>
        <v>1.6549060289701167</v>
      </c>
      <c r="H179" s="78">
        <f t="shared" si="88"/>
        <v>0.15351203643073105</v>
      </c>
      <c r="I179" s="78">
        <f t="shared" si="88"/>
        <v>2.0583047415066749</v>
      </c>
      <c r="J179" s="78" t="e">
        <f t="shared" si="88"/>
        <v>#DIV/0!</v>
      </c>
      <c r="K179" s="78" t="e">
        <f t="shared" si="88"/>
        <v>#DIV/0!</v>
      </c>
    </row>
    <row r="180" spans="1:11" ht="15.75" customHeight="1" x14ac:dyDescent="0.15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spans="1:11" ht="15.75" customHeight="1" x14ac:dyDescent="0.15">
      <c r="A181" s="44" t="s">
        <v>581</v>
      </c>
      <c r="B181" s="74">
        <f t="shared" ref="B181:K181" si="89">B169-B173</f>
        <v>-0.16786202184178317</v>
      </c>
      <c r="C181" s="74">
        <f t="shared" si="89"/>
        <v>-0.10284036116732863</v>
      </c>
      <c r="D181" s="74">
        <f t="shared" si="89"/>
        <v>2.1513795954773984E-2</v>
      </c>
      <c r="E181" s="74">
        <f t="shared" si="89"/>
        <v>-6.4265844485395407E-2</v>
      </c>
      <c r="F181" s="74">
        <f t="shared" si="89"/>
        <v>0.47006647469478641</v>
      </c>
      <c r="G181" s="74">
        <f t="shared" si="89"/>
        <v>5.4007702694143844E-2</v>
      </c>
      <c r="H181" s="74">
        <f t="shared" si="89"/>
        <v>-0.39293647981407898</v>
      </c>
      <c r="I181" s="74" t="e">
        <f t="shared" si="89"/>
        <v>#DIV/0!</v>
      </c>
      <c r="J181" s="74" t="e">
        <f t="shared" si="89"/>
        <v>#DIV/0!</v>
      </c>
      <c r="K181" s="74" t="e">
        <f t="shared" si="89"/>
        <v>#DIV/0!</v>
      </c>
    </row>
    <row r="182" spans="1:11" ht="15.75" customHeight="1" x14ac:dyDescent="0.15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spans="1:11" ht="15.75" customHeight="1" x14ac:dyDescent="0.15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spans="1:11" ht="15.75" customHeight="1" x14ac:dyDescent="0.15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spans="1:11" ht="15.75" customHeight="1" x14ac:dyDescent="0.15">
      <c r="A185" s="44" t="s">
        <v>583</v>
      </c>
      <c r="B185" s="74">
        <f t="shared" ref="B185:K185" si="90">(B7-B8)/B8</f>
        <v>2.4056124967133566E-2</v>
      </c>
      <c r="C185" s="74">
        <f t="shared" si="90"/>
        <v>0.18635588031819697</v>
      </c>
      <c r="D185" s="74">
        <f t="shared" si="90"/>
        <v>0.13958824833144248</v>
      </c>
      <c r="E185" s="74">
        <f t="shared" si="90"/>
        <v>9.0778404421213293E-2</v>
      </c>
      <c r="F185" s="74">
        <f t="shared" si="90"/>
        <v>5.8060381905678991E-2</v>
      </c>
      <c r="G185" s="74">
        <f t="shared" si="90"/>
        <v>0.17628626545366727</v>
      </c>
      <c r="H185" s="74">
        <f t="shared" si="90"/>
        <v>0.16154461160506631</v>
      </c>
      <c r="I185" s="74" t="e">
        <f t="shared" si="90"/>
        <v>#DIV/0!</v>
      </c>
      <c r="J185" s="74" t="e">
        <f t="shared" si="90"/>
        <v>#DIV/0!</v>
      </c>
      <c r="K185" s="74" t="e">
        <f t="shared" si="90"/>
        <v>#DIV/0!</v>
      </c>
    </row>
    <row r="186" spans="1:11" ht="15.75" customHeight="1" x14ac:dyDescent="0.15">
      <c r="A186" s="44" t="s">
        <v>584</v>
      </c>
      <c r="B186" s="74">
        <f t="shared" ref="B186:K186" si="91">B167/(B7-B8)</f>
        <v>-1.9564356552445517</v>
      </c>
      <c r="C186" s="74">
        <f t="shared" si="91"/>
        <v>8.2839370787166425E-2</v>
      </c>
      <c r="D186" s="74">
        <f t="shared" si="91"/>
        <v>0.94386812959273558</v>
      </c>
      <c r="E186" s="74">
        <f t="shared" si="91"/>
        <v>1.6769160316839533</v>
      </c>
      <c r="F186" s="74">
        <f t="shared" si="91"/>
        <v>5.9561232803755306</v>
      </c>
      <c r="G186" s="74">
        <f t="shared" si="91"/>
        <v>0.85193266618013919</v>
      </c>
      <c r="H186" s="74">
        <f t="shared" si="91"/>
        <v>0.48270668431857577</v>
      </c>
      <c r="I186" s="74">
        <f t="shared" si="91"/>
        <v>0.32770195156141146</v>
      </c>
      <c r="J186" s="74" t="e">
        <f t="shared" si="91"/>
        <v>#DIV/0!</v>
      </c>
      <c r="K186" s="74" t="e">
        <f t="shared" si="91"/>
        <v>#DIV/0!</v>
      </c>
    </row>
    <row r="187" spans="1:11" ht="15.75" customHeight="1" x14ac:dyDescent="0.15">
      <c r="A187" s="44" t="s">
        <v>585</v>
      </c>
      <c r="B187" s="74">
        <f t="shared" ref="B187:K187" si="92">B8/B15</f>
        <v>1.4135317589814469</v>
      </c>
      <c r="C187" s="74">
        <f t="shared" si="92"/>
        <v>1.2138171577332575</v>
      </c>
      <c r="D187" s="74">
        <f t="shared" si="92"/>
        <v>1.2390133375884653</v>
      </c>
      <c r="E187" s="74">
        <f t="shared" si="92"/>
        <v>1.3733759574892632</v>
      </c>
      <c r="F187" s="74">
        <f t="shared" si="92"/>
        <v>2.3551932210130242</v>
      </c>
      <c r="G187" s="74">
        <f t="shared" si="92"/>
        <v>2.8631996884128919</v>
      </c>
      <c r="H187" s="74">
        <f t="shared" si="92"/>
        <v>3.0515533863477757</v>
      </c>
      <c r="I187" s="74" t="e">
        <f t="shared" si="92"/>
        <v>#DIV/0!</v>
      </c>
      <c r="J187" s="74" t="e">
        <f t="shared" si="92"/>
        <v>#DIV/0!</v>
      </c>
      <c r="K187" s="74" t="e">
        <f t="shared" si="92"/>
        <v>#DIV/0!</v>
      </c>
    </row>
    <row r="188" spans="1:11" s="57" customFormat="1" ht="15.75" customHeight="1" x14ac:dyDescent="0.15">
      <c r="A188" s="57" t="s">
        <v>586</v>
      </c>
      <c r="B188" s="78">
        <f t="shared" ref="B188:K188" si="93">B185*B186*B187</f>
        <v>-6.6526827089057605E-2</v>
      </c>
      <c r="C188" s="78">
        <f t="shared" si="93"/>
        <v>1.8738428449325877E-2</v>
      </c>
      <c r="D188" s="78">
        <f t="shared" si="93"/>
        <v>0.16324359896057736</v>
      </c>
      <c r="E188" s="78">
        <f t="shared" si="93"/>
        <v>0.2090659479875327</v>
      </c>
      <c r="F188" s="78">
        <f t="shared" si="93"/>
        <v>0.81446065463555917</v>
      </c>
      <c r="G188" s="78">
        <f t="shared" si="93"/>
        <v>0.4300068625718414</v>
      </c>
      <c r="H188" s="78">
        <f t="shared" si="93"/>
        <v>0.23795605569593453</v>
      </c>
      <c r="I188" s="78" t="e">
        <f t="shared" si="93"/>
        <v>#DIV/0!</v>
      </c>
      <c r="J188" s="78" t="e">
        <f t="shared" si="93"/>
        <v>#DIV/0!</v>
      </c>
      <c r="K188" s="78" t="e">
        <f t="shared" si="93"/>
        <v>#DIV/0!</v>
      </c>
    </row>
    <row r="189" spans="1:11" ht="15.75" customHeight="1" x14ac:dyDescent="0.15">
      <c r="A189" s="44" t="s">
        <v>587</v>
      </c>
      <c r="B189" s="74">
        <f t="shared" ref="B189:K189" si="94">B167/B168</f>
        <v>-6.6526827089057605E-2</v>
      </c>
      <c r="C189" s="74">
        <f t="shared" si="94"/>
        <v>1.873842844932588E-2</v>
      </c>
      <c r="D189" s="74">
        <f t="shared" si="94"/>
        <v>0.16324359896057733</v>
      </c>
      <c r="E189" s="74">
        <f t="shared" si="94"/>
        <v>0.2090659479875327</v>
      </c>
      <c r="F189" s="74">
        <f t="shared" si="94"/>
        <v>0.81446065463555928</v>
      </c>
      <c r="G189" s="74">
        <f t="shared" si="94"/>
        <v>0.4300068625718414</v>
      </c>
      <c r="H189" s="74">
        <f t="shared" si="94"/>
        <v>0.23795605569593456</v>
      </c>
      <c r="I189" s="74" t="e">
        <f t="shared" si="94"/>
        <v>#DIV/0!</v>
      </c>
      <c r="J189" s="74" t="e">
        <f t="shared" si="94"/>
        <v>#DIV/0!</v>
      </c>
      <c r="K189" s="74" t="e">
        <f t="shared" si="94"/>
        <v>#DIV/0!</v>
      </c>
    </row>
    <row r="190" spans="1:11" ht="15.75" customHeight="1" x14ac:dyDescent="0.15">
      <c r="A190" s="44" t="s">
        <v>588</v>
      </c>
      <c r="B190" s="74">
        <f t="shared" ref="B190:K190" si="95">B188-B189</f>
        <v>0</v>
      </c>
      <c r="C190" s="74">
        <f t="shared" si="95"/>
        <v>0</v>
      </c>
      <c r="D190" s="74">
        <f t="shared" si="95"/>
        <v>0</v>
      </c>
      <c r="E190" s="74">
        <f t="shared" si="95"/>
        <v>0</v>
      </c>
      <c r="F190" s="74">
        <f t="shared" si="95"/>
        <v>0</v>
      </c>
      <c r="G190" s="74">
        <f t="shared" si="95"/>
        <v>0</v>
      </c>
      <c r="H190" s="74">
        <f t="shared" si="95"/>
        <v>0</v>
      </c>
      <c r="I190" s="74" t="e">
        <f t="shared" si="95"/>
        <v>#DIV/0!</v>
      </c>
      <c r="J190" s="74" t="e">
        <f t="shared" si="95"/>
        <v>#DIV/0!</v>
      </c>
      <c r="K190" s="74" t="e">
        <f t="shared" si="95"/>
        <v>#DIV/0!</v>
      </c>
    </row>
    <row r="191" spans="1:11" ht="15.75" customHeight="1" x14ac:dyDescent="0.15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spans="1:11" ht="15.75" customHeight="1" x14ac:dyDescent="0.15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spans="1:11" ht="15.75" customHeight="1" x14ac:dyDescent="0.15">
      <c r="A193" s="44" t="s">
        <v>590</v>
      </c>
      <c r="B193" s="74">
        <f t="shared" ref="B193:K193" si="96">B6/B47</f>
        <v>0.17211363942434241</v>
      </c>
      <c r="C193" s="74">
        <f t="shared" si="96"/>
        <v>0.121579218719527</v>
      </c>
      <c r="D193" s="74">
        <f t="shared" si="96"/>
        <v>0.16622504502972954</v>
      </c>
      <c r="E193" s="74">
        <f t="shared" si="96"/>
        <v>0.29984488463977399</v>
      </c>
      <c r="F193" s="74">
        <f t="shared" si="96"/>
        <v>0.38632743997403468</v>
      </c>
      <c r="G193" s="74">
        <f t="shared" si="96"/>
        <v>0.43369929045439887</v>
      </c>
      <c r="H193" s="74">
        <f t="shared" si="96"/>
        <v>0.6308944175830794</v>
      </c>
      <c r="I193" s="74" t="e">
        <f t="shared" si="96"/>
        <v>#DIV/0!</v>
      </c>
      <c r="J193" s="74" t="e">
        <f t="shared" si="96"/>
        <v>#DIV/0!</v>
      </c>
      <c r="K193" s="74" t="e">
        <f t="shared" si="96"/>
        <v>#DIV/0!</v>
      </c>
    </row>
    <row r="194" spans="1:11" ht="15.75" customHeight="1" x14ac:dyDescent="0.15">
      <c r="A194" s="44" t="s">
        <v>591</v>
      </c>
      <c r="B194" s="74">
        <f t="shared" ref="B194:K194" si="97">B49/B6</f>
        <v>0.41123088738547992</v>
      </c>
      <c r="C194" s="74">
        <f t="shared" si="97"/>
        <v>3.5294096885825359E-6</v>
      </c>
      <c r="D194" s="74">
        <f t="shared" si="97"/>
        <v>0.1473619214213189</v>
      </c>
      <c r="E194" s="74">
        <f t="shared" si="97"/>
        <v>8.8422692949049364E-2</v>
      </c>
      <c r="F194" s="74">
        <f t="shared" si="97"/>
        <v>0.10854331247110005</v>
      </c>
      <c r="G194" s="74">
        <f t="shared" si="97"/>
        <v>0.13304179150546275</v>
      </c>
      <c r="H194" s="74">
        <f t="shared" si="97"/>
        <v>2.9831823097289034E-6</v>
      </c>
      <c r="I194" s="74">
        <f t="shared" si="97"/>
        <v>-1.5295904547273993</v>
      </c>
      <c r="J194" s="74" t="e">
        <f t="shared" si="97"/>
        <v>#DIV/0!</v>
      </c>
      <c r="K194" s="74" t="e">
        <f t="shared" si="97"/>
        <v>#DIV/0!</v>
      </c>
    </row>
    <row r="195" spans="1:11" ht="15.75" customHeight="1" x14ac:dyDescent="0.15">
      <c r="A195" s="44" t="s">
        <v>592</v>
      </c>
      <c r="B195" s="74">
        <f t="shared" ref="B195:K195" si="98">B193*(1-B194)</f>
        <v>0.10133519475272555</v>
      </c>
      <c r="C195" s="74">
        <f t="shared" si="98"/>
        <v>0.12157878961665451</v>
      </c>
      <c r="D195" s="74">
        <f t="shared" si="98"/>
        <v>0.14172980300580335</v>
      </c>
      <c r="E195" s="74">
        <f t="shared" si="98"/>
        <v>0.2733317924729281</v>
      </c>
      <c r="F195" s="74">
        <f t="shared" si="98"/>
        <v>0.34439417994077287</v>
      </c>
      <c r="G195" s="74">
        <f t="shared" si="98"/>
        <v>0.37599915987769761</v>
      </c>
      <c r="H195" s="74">
        <f t="shared" si="98"/>
        <v>0.63089253551001356</v>
      </c>
      <c r="I195" s="74" t="e">
        <f t="shared" si="98"/>
        <v>#DIV/0!</v>
      </c>
      <c r="J195" s="74" t="e">
        <f t="shared" si="98"/>
        <v>#DIV/0!</v>
      </c>
      <c r="K195" s="74" t="e">
        <f t="shared" si="98"/>
        <v>#DIV/0!</v>
      </c>
    </row>
    <row r="196" spans="1:11" ht="15.75" customHeight="1" x14ac:dyDescent="0.15">
      <c r="A196" s="44" t="s">
        <v>593</v>
      </c>
      <c r="B196" s="74">
        <f t="shared" ref="B196:K196" si="99">B50/B6</f>
        <v>0</v>
      </c>
      <c r="C196" s="74">
        <f t="shared" si="99"/>
        <v>0</v>
      </c>
      <c r="D196" s="74">
        <f t="shared" si="99"/>
        <v>0</v>
      </c>
      <c r="E196" s="74">
        <f t="shared" si="99"/>
        <v>0</v>
      </c>
      <c r="F196" s="74">
        <f t="shared" si="99"/>
        <v>0</v>
      </c>
      <c r="G196" s="74">
        <f t="shared" si="99"/>
        <v>0</v>
      </c>
      <c r="H196" s="74">
        <f t="shared" si="99"/>
        <v>0</v>
      </c>
      <c r="I196" s="74">
        <f t="shared" si="99"/>
        <v>0</v>
      </c>
      <c r="J196" s="74" t="e">
        <f t="shared" si="99"/>
        <v>#DIV/0!</v>
      </c>
      <c r="K196" s="74" t="e">
        <f t="shared" si="99"/>
        <v>#DIV/0!</v>
      </c>
    </row>
    <row r="197" spans="1:11" s="57" customFormat="1" ht="15.75" customHeight="1" x14ac:dyDescent="0.15">
      <c r="A197" s="57" t="s">
        <v>594</v>
      </c>
      <c r="B197" s="78">
        <f t="shared" ref="B197:K197" si="100">B193*(1-B194+B196)</f>
        <v>0.10133519475272555</v>
      </c>
      <c r="C197" s="78">
        <f t="shared" si="100"/>
        <v>0.12157878961665451</v>
      </c>
      <c r="D197" s="78">
        <f t="shared" si="100"/>
        <v>0.14172980300580335</v>
      </c>
      <c r="E197" s="78">
        <f t="shared" si="100"/>
        <v>0.2733317924729281</v>
      </c>
      <c r="F197" s="78">
        <f t="shared" si="100"/>
        <v>0.34439417994077287</v>
      </c>
      <c r="G197" s="78">
        <f t="shared" si="100"/>
        <v>0.37599915987769761</v>
      </c>
      <c r="H197" s="78">
        <f t="shared" si="100"/>
        <v>0.63089253551001356</v>
      </c>
      <c r="I197" s="78" t="e">
        <f t="shared" si="100"/>
        <v>#DIV/0!</v>
      </c>
      <c r="J197" s="78" t="e">
        <f t="shared" si="100"/>
        <v>#DIV/0!</v>
      </c>
      <c r="K197" s="78" t="e">
        <f t="shared" si="100"/>
        <v>#DIV/0!</v>
      </c>
    </row>
    <row r="198" spans="1:11" ht="15.75" customHeight="1" x14ac:dyDescent="0.15">
      <c r="A198" s="44" t="s">
        <v>595</v>
      </c>
      <c r="B198" s="74">
        <f t="shared" ref="B198:K198" si="101">B173</f>
        <v>0.10133519475272555</v>
      </c>
      <c r="C198" s="74">
        <f t="shared" si="101"/>
        <v>0.12157878961665451</v>
      </c>
      <c r="D198" s="74">
        <f t="shared" si="101"/>
        <v>0.14172980300580335</v>
      </c>
      <c r="E198" s="74">
        <f t="shared" si="101"/>
        <v>0.2733317924729281</v>
      </c>
      <c r="F198" s="74">
        <f t="shared" si="101"/>
        <v>0.34439417994077287</v>
      </c>
      <c r="G198" s="74">
        <f t="shared" si="101"/>
        <v>0.37599915987769755</v>
      </c>
      <c r="H198" s="74">
        <f t="shared" si="101"/>
        <v>0.63089253551001356</v>
      </c>
      <c r="I198" s="74" t="e">
        <f t="shared" si="101"/>
        <v>#DIV/0!</v>
      </c>
      <c r="J198" s="74" t="e">
        <f t="shared" si="101"/>
        <v>#DIV/0!</v>
      </c>
      <c r="K198" s="74" t="e">
        <f t="shared" si="101"/>
        <v>#DIV/0!</v>
      </c>
    </row>
    <row r="199" spans="1:11" ht="15.75" customHeight="1" x14ac:dyDescent="0.15">
      <c r="A199" s="44" t="s">
        <v>588</v>
      </c>
      <c r="B199" s="74">
        <f t="shared" ref="B199:K199" si="102">B197-B198</f>
        <v>0</v>
      </c>
      <c r="C199" s="74">
        <f t="shared" si="102"/>
        <v>0</v>
      </c>
      <c r="D199" s="74">
        <f t="shared" si="102"/>
        <v>0</v>
      </c>
      <c r="E199" s="74">
        <f t="shared" si="102"/>
        <v>0</v>
      </c>
      <c r="F199" s="74">
        <f t="shared" si="102"/>
        <v>0</v>
      </c>
      <c r="G199" s="74">
        <f t="shared" si="102"/>
        <v>0</v>
      </c>
      <c r="H199" s="74">
        <f t="shared" si="102"/>
        <v>0</v>
      </c>
      <c r="I199" s="74" t="e">
        <f t="shared" si="102"/>
        <v>#DIV/0!</v>
      </c>
      <c r="J199" s="74" t="e">
        <f t="shared" si="102"/>
        <v>#DIV/0!</v>
      </c>
      <c r="K199" s="74" t="e">
        <f t="shared" si="102"/>
        <v>#DIV/0!</v>
      </c>
    </row>
    <row r="200" spans="1:11" ht="15.75" customHeight="1" x14ac:dyDescent="0.15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spans="1:11" ht="15.75" customHeight="1" x14ac:dyDescent="0.15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spans="1:11" ht="15.75" customHeight="1" x14ac:dyDescent="0.15">
      <c r="A202" s="44" t="s">
        <v>597</v>
      </c>
      <c r="B202" s="74">
        <f t="shared" ref="B202:K202" si="103">B24</f>
        <v>9025896</v>
      </c>
      <c r="C202" s="74">
        <f t="shared" si="103"/>
        <v>9934062.5</v>
      </c>
      <c r="D202" s="74">
        <f t="shared" si="103"/>
        <v>9338928.5</v>
      </c>
      <c r="E202" s="74">
        <f t="shared" si="103"/>
        <v>7918841.5</v>
      </c>
      <c r="F202" s="74">
        <f t="shared" si="103"/>
        <v>5307382</v>
      </c>
      <c r="G202" s="74">
        <f t="shared" si="103"/>
        <v>2835903</v>
      </c>
      <c r="H202" s="74">
        <f t="shared" si="103"/>
        <v>2245245</v>
      </c>
      <c r="I202" s="74">
        <f t="shared" si="103"/>
        <v>1096893</v>
      </c>
      <c r="J202" s="74">
        <f t="shared" si="103"/>
        <v>0</v>
      </c>
      <c r="K202" s="74">
        <f t="shared" si="103"/>
        <v>0</v>
      </c>
    </row>
    <row r="203" spans="1:11" ht="15.75" customHeight="1" x14ac:dyDescent="0.15">
      <c r="A203" s="44" t="s">
        <v>598</v>
      </c>
      <c r="B203" s="74">
        <f t="shared" ref="B203:K203" si="104">B48</f>
        <v>5757287</v>
      </c>
      <c r="C203" s="74">
        <f t="shared" si="104"/>
        <v>5227552</v>
      </c>
      <c r="D203" s="74">
        <f t="shared" si="104"/>
        <v>4660887</v>
      </c>
      <c r="E203" s="74">
        <f t="shared" si="104"/>
        <v>4082303</v>
      </c>
      <c r="F203" s="74">
        <f t="shared" si="104"/>
        <v>3206001</v>
      </c>
      <c r="G203" s="74">
        <f t="shared" si="104"/>
        <v>2384718</v>
      </c>
      <c r="H203" s="74">
        <f t="shared" si="104"/>
        <v>1733081</v>
      </c>
      <c r="I203" s="74">
        <f t="shared" si="104"/>
        <v>1062658</v>
      </c>
      <c r="J203" s="74">
        <f t="shared" si="104"/>
        <v>0</v>
      </c>
      <c r="K203" s="74">
        <f t="shared" si="104"/>
        <v>0</v>
      </c>
    </row>
    <row r="204" spans="1:11" s="57" customFormat="1" ht="15.75" customHeight="1" x14ac:dyDescent="0.15">
      <c r="A204" s="57" t="s">
        <v>599</v>
      </c>
      <c r="B204" s="78">
        <f t="shared" ref="B204:K204" si="105">B202/B203</f>
        <v>1.5677342470507376</v>
      </c>
      <c r="C204" s="78">
        <f t="shared" si="105"/>
        <v>1.9003278207466898</v>
      </c>
      <c r="D204" s="78">
        <f t="shared" si="105"/>
        <v>2.0036805226129704</v>
      </c>
      <c r="E204" s="78">
        <f t="shared" si="105"/>
        <v>1.9397975848436533</v>
      </c>
      <c r="F204" s="78">
        <f t="shared" si="105"/>
        <v>1.6554523844502855</v>
      </c>
      <c r="G204" s="78">
        <f t="shared" si="105"/>
        <v>1.1891984712657848</v>
      </c>
      <c r="H204" s="78">
        <f t="shared" si="105"/>
        <v>1.2955222519893761</v>
      </c>
      <c r="I204" s="78">
        <f t="shared" si="105"/>
        <v>1.0322163857045259</v>
      </c>
      <c r="J204" s="78" t="e">
        <f t="shared" si="105"/>
        <v>#DIV/0!</v>
      </c>
      <c r="K204" s="78" t="e">
        <f t="shared" si="105"/>
        <v>#DIV/0!</v>
      </c>
    </row>
    <row r="205" spans="1:11" ht="15.75" customHeight="1" x14ac:dyDescent="0.15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spans="1:11" ht="15.75" customHeight="1" x14ac:dyDescent="0.15">
      <c r="A206" s="44" t="s">
        <v>600</v>
      </c>
      <c r="B206" s="74">
        <f t="shared" ref="B206:K206" si="106">B175/B48</f>
        <v>-0.26484453528198265</v>
      </c>
      <c r="C206" s="74">
        <f t="shared" si="106"/>
        <v>-5.5771229057118898E-2</v>
      </c>
      <c r="D206" s="74">
        <f t="shared" si="106"/>
        <v>0.31792553649123012</v>
      </c>
      <c r="E206" s="74">
        <f t="shared" si="106"/>
        <v>0.31995885655719331</v>
      </c>
      <c r="F206" s="74">
        <f t="shared" si="106"/>
        <v>1.2054144711745256</v>
      </c>
      <c r="G206" s="74">
        <f t="shared" si="106"/>
        <v>0.45221195965309108</v>
      </c>
      <c r="H206" s="74">
        <f t="shared" si="106"/>
        <v>5.9384414231071714E-2</v>
      </c>
      <c r="I206" s="74">
        <f t="shared" si="106"/>
        <v>2.0583047415066749</v>
      </c>
      <c r="J206" s="74" t="e">
        <f t="shared" si="106"/>
        <v>#DIV/0!</v>
      </c>
      <c r="K206" s="74" t="e">
        <f t="shared" si="106"/>
        <v>#DIV/0!</v>
      </c>
    </row>
    <row r="207" spans="1:11" ht="15.75" customHeight="1" x14ac:dyDescent="0.15">
      <c r="A207" s="44" t="s">
        <v>601</v>
      </c>
      <c r="B207" s="74">
        <f t="shared" ref="B207:K207" si="107">B169-B173</f>
        <v>-0.16786202184178317</v>
      </c>
      <c r="C207" s="74">
        <f t="shared" si="107"/>
        <v>-0.10284036116732863</v>
      </c>
      <c r="D207" s="74">
        <f t="shared" si="107"/>
        <v>2.1513795954773984E-2</v>
      </c>
      <c r="E207" s="74">
        <f t="shared" si="107"/>
        <v>-6.4265844485395407E-2</v>
      </c>
      <c r="F207" s="74">
        <f t="shared" si="107"/>
        <v>0.47006647469478641</v>
      </c>
      <c r="G207" s="74">
        <f t="shared" si="107"/>
        <v>5.4007702694143844E-2</v>
      </c>
      <c r="H207" s="74">
        <f t="shared" si="107"/>
        <v>-0.39293647981407898</v>
      </c>
      <c r="I207" s="74" t="e">
        <f t="shared" si="107"/>
        <v>#DIV/0!</v>
      </c>
      <c r="J207" s="74" t="e">
        <f t="shared" si="107"/>
        <v>#DIV/0!</v>
      </c>
      <c r="K207" s="74" t="e">
        <f t="shared" si="107"/>
        <v>#DIV/0!</v>
      </c>
    </row>
    <row r="208" spans="1:11" ht="15.75" customHeight="1" x14ac:dyDescent="0.15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spans="1:11" ht="15.75" customHeight="1" x14ac:dyDescent="0.15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spans="1:11" ht="15.75" customHeight="1" x14ac:dyDescent="0.15">
      <c r="A210" s="57" t="s">
        <v>603</v>
      </c>
      <c r="B210" s="74">
        <f>'RC'!B94-'RC'!C94</f>
        <v>0</v>
      </c>
      <c r="C210" s="74">
        <f>'RC'!C94-'RC'!D94</f>
        <v>0</v>
      </c>
      <c r="D210" s="74">
        <f>'RC'!D94-'RC'!E94</f>
        <v>0</v>
      </c>
      <c r="E210" s="74">
        <f>'RC'!E94-'RC'!F94</f>
        <v>52190</v>
      </c>
      <c r="F210" s="74">
        <f>'RC'!F94-'RC'!G94</f>
        <v>0</v>
      </c>
      <c r="G210" s="74">
        <f>'RC'!G94-'RC'!H94</f>
        <v>0</v>
      </c>
      <c r="H210" s="74">
        <f>'RC'!H94-'RC'!I94</f>
        <v>0</v>
      </c>
      <c r="I210" s="74">
        <f>'RC'!I94-'RC'!J94</f>
        <v>6512</v>
      </c>
      <c r="J210" s="74">
        <f>'RC'!J94-'RC'!K94</f>
        <v>0</v>
      </c>
      <c r="K210" s="74">
        <f>'RC'!K94-'RC'!L94</f>
        <v>0</v>
      </c>
    </row>
    <row r="211" spans="1:11" ht="15.75" customHeight="1" x14ac:dyDescent="0.15">
      <c r="A211" s="57" t="s">
        <v>604</v>
      </c>
      <c r="B211" s="74">
        <f>'RC'!C94</f>
        <v>58702</v>
      </c>
      <c r="C211" s="74">
        <f>'RC'!D94</f>
        <v>58702</v>
      </c>
      <c r="D211" s="74">
        <f>'RC'!E94</f>
        <v>58702</v>
      </c>
      <c r="E211" s="74">
        <f>'RC'!F94</f>
        <v>6512</v>
      </c>
      <c r="F211" s="74">
        <f>'RC'!G94</f>
        <v>6512</v>
      </c>
      <c r="G211" s="74">
        <f>'RC'!H94</f>
        <v>6512</v>
      </c>
      <c r="H211" s="74">
        <f>'RC'!I94</f>
        <v>6512</v>
      </c>
      <c r="I211" s="74">
        <f>'RC'!J94</f>
        <v>0</v>
      </c>
      <c r="J211" s="74">
        <f>'RC'!K94</f>
        <v>0</v>
      </c>
      <c r="K211" s="74">
        <f>'RC'!L94</f>
        <v>0</v>
      </c>
    </row>
    <row r="212" spans="1:11" s="57" customFormat="1" ht="15.75" customHeight="1" x14ac:dyDescent="0.15">
      <c r="A212" s="57" t="s">
        <v>602</v>
      </c>
      <c r="B212" s="78">
        <f>('RC'!B94-'RC'!C94)/'RC'!C94</f>
        <v>0</v>
      </c>
      <c r="C212" s="78">
        <f>('RC'!C94-'RC'!D94)/'RC'!D94</f>
        <v>0</v>
      </c>
      <c r="D212" s="78">
        <f>('RC'!D94-'RC'!E94)/'RC'!E94</f>
        <v>0</v>
      </c>
      <c r="E212" s="78">
        <f>('RC'!E94-'RC'!F94)/'RC'!F94</f>
        <v>8.0144348894348898</v>
      </c>
      <c r="F212" s="78">
        <f>('RC'!F94-'RC'!G94)/'RC'!G94</f>
        <v>0</v>
      </c>
      <c r="G212" s="78">
        <f>('RC'!G94-'RC'!H94)/'RC'!H94</f>
        <v>0</v>
      </c>
      <c r="H212" s="78">
        <f>('RC'!H94-'RC'!I94)/'RC'!I94</f>
        <v>0</v>
      </c>
      <c r="I212" s="78" t="e">
        <f>('RC'!I94-'RC'!J94)/'RC'!J94</f>
        <v>#DIV/0!</v>
      </c>
      <c r="J212" s="78" t="e">
        <f>('RC'!J94-'RC'!K94)/'RC'!K94</f>
        <v>#DIV/0!</v>
      </c>
      <c r="K212" s="78" t="e">
        <f>('RC'!K94-'RC'!L94)/'RC'!L94</f>
        <v>#DIV/0!</v>
      </c>
    </row>
    <row r="215" spans="1:11" ht="15.75" customHeight="1" x14ac:dyDescent="0.15">
      <c r="A215" s="73" t="s">
        <v>454</v>
      </c>
    </row>
    <row r="216" spans="1:11" ht="15.75" customHeight="1" x14ac:dyDescent="0.15">
      <c r="A216" s="73" t="s">
        <v>605</v>
      </c>
    </row>
    <row r="217" spans="1:11" ht="15.75" customHeight="1" x14ac:dyDescent="0.15">
      <c r="A217" s="44" t="s">
        <v>457</v>
      </c>
      <c r="B217" s="74">
        <f t="shared" ref="B217:K217" si="108">B4</f>
        <v>1588849</v>
      </c>
      <c r="C217" s="74">
        <f t="shared" si="108"/>
        <v>1117327</v>
      </c>
      <c r="D217" s="74">
        <f t="shared" si="108"/>
        <v>963975</v>
      </c>
      <c r="E217" s="74">
        <f t="shared" si="108"/>
        <v>1411257</v>
      </c>
      <c r="F217" s="74">
        <f t="shared" si="108"/>
        <v>1351726</v>
      </c>
      <c r="G217" s="74">
        <f t="shared" si="108"/>
        <v>1069627</v>
      </c>
      <c r="H217" s="74">
        <f t="shared" si="108"/>
        <v>1052950</v>
      </c>
      <c r="I217" s="74">
        <f t="shared" si="108"/>
        <v>635847</v>
      </c>
      <c r="J217" s="74">
        <f t="shared" si="108"/>
        <v>0</v>
      </c>
      <c r="K217" s="74">
        <f t="shared" si="108"/>
        <v>0</v>
      </c>
    </row>
    <row r="218" spans="1:11" ht="15.75" customHeight="1" x14ac:dyDescent="0.15">
      <c r="A218" s="44" t="s">
        <v>606</v>
      </c>
      <c r="B218" s="74">
        <f t="shared" ref="B218:K218" si="109">-B27</f>
        <v>503404</v>
      </c>
      <c r="C218" s="74">
        <f t="shared" si="109"/>
        <v>528343</v>
      </c>
      <c r="D218" s="74">
        <f t="shared" si="109"/>
        <v>253674</v>
      </c>
      <c r="E218" s="74">
        <f t="shared" si="109"/>
        <v>207408</v>
      </c>
      <c r="F218" s="74">
        <f t="shared" si="109"/>
        <v>159160</v>
      </c>
      <c r="G218" s="74">
        <f t="shared" si="109"/>
        <v>102930</v>
      </c>
      <c r="H218" s="74">
        <f t="shared" si="109"/>
        <v>102001</v>
      </c>
      <c r="I218" s="74">
        <f t="shared" si="109"/>
        <v>102507</v>
      </c>
      <c r="J218" s="74">
        <f t="shared" si="109"/>
        <v>0</v>
      </c>
      <c r="K218" s="74">
        <f t="shared" si="109"/>
        <v>0</v>
      </c>
    </row>
    <row r="219" spans="1:11" s="57" customFormat="1" ht="15.75" customHeight="1" x14ac:dyDescent="0.15">
      <c r="A219" s="57" t="s">
        <v>607</v>
      </c>
      <c r="B219" s="78">
        <f t="shared" ref="B219:K219" si="110">B217/B218</f>
        <v>3.1562105187880909</v>
      </c>
      <c r="C219" s="78">
        <f t="shared" si="110"/>
        <v>2.1147758179818794</v>
      </c>
      <c r="D219" s="78">
        <f t="shared" si="110"/>
        <v>3.800054400529814</v>
      </c>
      <c r="E219" s="78">
        <f t="shared" si="110"/>
        <v>6.8042553806989119</v>
      </c>
      <c r="F219" s="78">
        <f t="shared" si="110"/>
        <v>8.4928750942447859</v>
      </c>
      <c r="G219" s="78">
        <f t="shared" si="110"/>
        <v>10.391790537258331</v>
      </c>
      <c r="H219" s="78">
        <f t="shared" si="110"/>
        <v>10.322938010411663</v>
      </c>
      <c r="I219" s="78">
        <f t="shared" si="110"/>
        <v>6.2029617489537303</v>
      </c>
      <c r="J219" s="78" t="e">
        <f t="shared" si="110"/>
        <v>#DIV/0!</v>
      </c>
      <c r="K219" s="78" t="e">
        <f t="shared" si="110"/>
        <v>#DIV/0!</v>
      </c>
    </row>
    <row r="220" spans="1:11" ht="15.75" customHeight="1" x14ac:dyDescent="0.15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spans="1:11" ht="15.75" customHeight="1" x14ac:dyDescent="0.15">
      <c r="A221" s="44" t="s">
        <v>608</v>
      </c>
      <c r="B221" s="74">
        <f t="shared" ref="B221:K221" si="111">B25</f>
        <v>9025896</v>
      </c>
      <c r="C221" s="74">
        <f t="shared" si="111"/>
        <v>9934062.5</v>
      </c>
      <c r="D221" s="74">
        <f t="shared" si="111"/>
        <v>9338928.5</v>
      </c>
      <c r="E221" s="74">
        <f t="shared" si="111"/>
        <v>7918841.5</v>
      </c>
      <c r="F221" s="74">
        <f t="shared" si="111"/>
        <v>5307382</v>
      </c>
      <c r="G221" s="74">
        <f t="shared" si="111"/>
        <v>2835903</v>
      </c>
      <c r="H221" s="74">
        <f t="shared" si="111"/>
        <v>2245245</v>
      </c>
      <c r="I221" s="74">
        <f t="shared" si="111"/>
        <v>1096893</v>
      </c>
      <c r="J221" s="74">
        <f t="shared" si="111"/>
        <v>0</v>
      </c>
      <c r="K221" s="74">
        <f t="shared" si="111"/>
        <v>0</v>
      </c>
    </row>
    <row r="222" spans="1:11" ht="15.75" customHeight="1" x14ac:dyDescent="0.15">
      <c r="A222" s="44" t="s">
        <v>609</v>
      </c>
      <c r="B222" s="74">
        <f t="shared" ref="B222:K222" si="112">B5</f>
        <v>2481804</v>
      </c>
      <c r="C222" s="74">
        <f t="shared" si="112"/>
        <v>1835259</v>
      </c>
      <c r="D222" s="74">
        <f t="shared" si="112"/>
        <v>1706003</v>
      </c>
      <c r="E222" s="74">
        <f t="shared" si="112"/>
        <v>1926582</v>
      </c>
      <c r="F222" s="74">
        <f t="shared" si="112"/>
        <v>1540277</v>
      </c>
      <c r="G222" s="74">
        <f t="shared" si="112"/>
        <v>1357618</v>
      </c>
      <c r="H222" s="74">
        <f t="shared" si="112"/>
        <v>1405132</v>
      </c>
      <c r="I222" s="74">
        <f t="shared" si="112"/>
        <v>1124651</v>
      </c>
      <c r="J222" s="74">
        <f t="shared" si="112"/>
        <v>0</v>
      </c>
      <c r="K222" s="74">
        <f t="shared" si="112"/>
        <v>0</v>
      </c>
    </row>
    <row r="223" spans="1:11" s="57" customFormat="1" ht="15.75" customHeight="1" x14ac:dyDescent="0.15">
      <c r="A223" s="57" t="s">
        <v>610</v>
      </c>
      <c r="B223" s="78">
        <f t="shared" ref="B223:K223" si="113">B221/B222</f>
        <v>3.6368286939661632</v>
      </c>
      <c r="C223" s="78">
        <f t="shared" si="113"/>
        <v>5.4128940383891324</v>
      </c>
      <c r="D223" s="78">
        <f t="shared" si="113"/>
        <v>5.4741571380589598</v>
      </c>
      <c r="E223" s="78">
        <f t="shared" si="113"/>
        <v>4.1103059719233332</v>
      </c>
      <c r="F223" s="78">
        <f t="shared" si="113"/>
        <v>3.4457321637601548</v>
      </c>
      <c r="G223" s="78">
        <f t="shared" si="113"/>
        <v>2.0888814084668885</v>
      </c>
      <c r="H223" s="78">
        <f t="shared" si="113"/>
        <v>1.5978890239493513</v>
      </c>
      <c r="I223" s="78">
        <f t="shared" si="113"/>
        <v>0.97531856549276175</v>
      </c>
      <c r="J223" s="78" t="e">
        <f t="shared" si="113"/>
        <v>#DIV/0!</v>
      </c>
      <c r="K223" s="78" t="e">
        <f t="shared" si="113"/>
        <v>#DIV/0!</v>
      </c>
    </row>
  </sheetData>
  <conditionalFormatting sqref="B58:K223">
    <cfRule type="cellIs" dxfId="0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B218"/>
  <sheetViews>
    <sheetView topLeftCell="A224" zoomScaleNormal="100" workbookViewId="0">
      <selection activeCell="P39" sqref="P39"/>
    </sheetView>
  </sheetViews>
  <sheetFormatPr baseColWidth="10" defaultColWidth="10.6640625" defaultRowHeight="12.75" customHeight="1" x14ac:dyDescent="0.15"/>
  <sheetData>
    <row r="3" spans="2:2" ht="24.75" customHeight="1" x14ac:dyDescent="0.25">
      <c r="B3" s="79" t="s">
        <v>507</v>
      </c>
    </row>
    <row r="80" spans="2:2" ht="24.75" customHeight="1" x14ac:dyDescent="0.25">
      <c r="B80" s="79" t="s">
        <v>541</v>
      </c>
    </row>
    <row r="135" spans="2:2" ht="24.75" customHeight="1" x14ac:dyDescent="0.25">
      <c r="B135" s="79" t="s">
        <v>558</v>
      </c>
    </row>
    <row r="218" spans="2:2" ht="24.75" customHeight="1" x14ac:dyDescent="0.25">
      <c r="B218" s="79" t="s">
        <v>605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input</vt:lpstr>
      <vt:lpstr>case</vt:lpstr>
      <vt:lpstr>RC</vt:lpstr>
      <vt:lpstr>RF</vt:lpstr>
      <vt:lpstr>ind</vt:lpstr>
      <vt:lpstr>grph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Box, Alif Mahajan Fuhad</cp:lastModifiedBy>
  <cp:lastPrinted>2026-01-23T13:44:49Z</cp:lastPrinted>
  <dcterms:modified xsi:type="dcterms:W3CDTF">2026-01-23T13:45:04Z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2026-01-23T13:31:43Z</dcterms:created>
  <dc:creator>openpyxl</dc:creator>
  <dc:description/>
  <dc:language>it-IT</dc:language>
  <cp:lastModifiedBy>Box, Alif Mahajan Fuhad</cp:lastModifiedBy>
  <dcterms:modified xsi:type="dcterms:W3CDTF">2026-01-23T13:31:43Z</dcterms:modified>
  <cp:revision>0</cp:revision>
  <dc:subject/>
  <dc:title/>
</cp:coreProperties>
</file>